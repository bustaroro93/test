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namedSheetViews/namedSheetView2.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https://epsvefr.sharepoint.com/sites/DPT-DemandeOS-2025/Documents partages/"/>
    </mc:Choice>
  </mc:AlternateContent>
  <xr:revisionPtr revIDLastSave="40166" documentId="6_{8C99E842-8A05-4032-9D21-9F831E62EBCE}" xr6:coauthVersionLast="47" xr6:coauthVersionMax="47" xr10:uidLastSave="{2057159E-D712-4BF6-A10C-830B0F7AB69A}"/>
  <workbookProtection workbookAlgorithmName="SHA-512" workbookHashValue="3xUvO3mEbwJOKsAn3XBkS7JdRmUlWfd8pDl2ZGvH9WewDiRsud9EYhy26U3hDN0Bd2odF2Whp5w4FAo/aUdMYw==" workbookSaltValue="tw97OJ6zUg63ruQUBoKf6Q==" workbookSpinCount="100000" lockStructure="1"/>
  <bookViews>
    <workbookView xWindow="-108" yWindow="-108" windowWidth="23256" windowHeight="12576" tabRatio="400" firstSheet="2" activeTab="2" xr2:uid="{00000000-000D-0000-FFFF-FFFF00000000}"/>
  </bookViews>
  <sheets>
    <sheet name="ListesCachees" sheetId="9" state="veryHidden" r:id="rId1"/>
    <sheet name="HiddenData" sheetId="10" state="veryHidden" r:id="rId2"/>
    <sheet name="Demande OS" sheetId="1" r:id="rId3"/>
    <sheet name="Feuil2" sheetId="15" state="veryHidden" r:id="rId4"/>
    <sheet name="Liste des UFS pour les techs" sheetId="11" r:id="rId5"/>
    <sheet name="Usersmap" sheetId="16" state="veryHidden" r:id="rId6"/>
    <sheet name="CodesProjets" sheetId="13" state="veryHidden" r:id="rId7"/>
    <sheet name="ReferentsDPT" sheetId="2" state="veryHidden" r:id="rId8"/>
    <sheet name="Entreprises" sheetId="3" state="veryHidden" r:id="rId9"/>
    <sheet name="UFS" sheetId="4" state="veryHidden" r:id="rId10"/>
    <sheet name="Classes" sheetId="5" state="veryHidden" r:id="rId11"/>
    <sheet name="Comptes" sheetId="6" state="veryHidden" r:id="rId12"/>
    <sheet name="ImputationProgramme" sheetId="7" state="veryHidden" r:id="rId13"/>
    <sheet name="CategorieHomogene" sheetId="8" state="veryHidden" r:id="rId14"/>
    <sheet name="TempLists" sheetId="12" state="veryHidden" r:id="rId15"/>
  </sheets>
  <functionGroups builtInGroupCount="19"/>
  <externalReferences>
    <externalReference r:id="rId16"/>
  </externalReferences>
  <definedNames>
    <definedName name="_xlnm._FilterDatabase" localSheetId="13" hidden="1">CategorieHomogene!$A$1:$E$684</definedName>
    <definedName name="_xlnm._FilterDatabase" localSheetId="2" hidden="1">'Demande OS'!$A$1:$AD$1502</definedName>
    <definedName name="_xlnm._FilterDatabase" localSheetId="4" hidden="1">'Liste des UFS pour les techs'!$A$1:$F$1</definedName>
    <definedName name="_xleta.AND" hidden="1" xlm="1">#NAME?</definedName>
    <definedName name="Classes">Classes!$A$2:$A$4</definedName>
    <definedName name="DropdownList">HiddenData!$A$1:$A$12</definedName>
    <definedName name="Entreprises">Entreprises!$A$2:$A$23</definedName>
    <definedName name="_xlnm.Print_Titles" localSheetId="4">'Liste des UFS pour les techs'!$1:$1</definedName>
    <definedName name="Liste_Sites">OFFSET(UFS!$E$2,MATCH([1]Données_Principales!XEV1,UFS!$A$2:$A$175,0)-1,0,COUNTIF(UFS!$A$2:$A$175,[1]Données_Principales!XEV1),1)</definedName>
    <definedName name="ReferentsDPT">ReferentsDPT!$A$2:$A$16</definedName>
    <definedName name="Services_UF">OFFSET(UFS!$F$2,MATCH([1]Données_Principales!XFA1,UFS!$A$2:$A$1009,0)-1,0,COUNTIF(UFS!$A$2:$A$175,[1]Données_Principales!XFA1),1)</definedName>
    <definedName name="Sites_UF">OFFSET(UFS!$E$2,MATCH([1]Données_Principales!XEV1,UFS!$A$1:$A$1009,0)-1,0,COUNTIF(UFS!$A$1:$A$175,[1]Données_Principales!XEV1),1)</definedName>
    <definedName name="ValidList_G10">TempLists!$A$1:$A$2</definedName>
    <definedName name="ValidList_G1005">TempLists!$A$1:$A$2</definedName>
    <definedName name="ValidList_G101">TempLists!$A$1:$A$2</definedName>
    <definedName name="ValidList_G1011">TempLists!$A$1:$A$2</definedName>
    <definedName name="ValidList_G1013">TempLists!$A$1:$A$2</definedName>
    <definedName name="ValidList_G1014">TempLists!$A$1:$A$2</definedName>
    <definedName name="ValidList_G1016">TempLists!$A$1:$A$2</definedName>
    <definedName name="ValidList_G1017">TempLists!$A$1:$A$2</definedName>
    <definedName name="ValidList_G1018">TempLists!$A$1:$A$2</definedName>
    <definedName name="ValidList_G1019">TempLists!$A$1:$A$2</definedName>
    <definedName name="ValidList_G102">TempLists!$A$1:$A$2</definedName>
    <definedName name="ValidList_G1020">TempLists!$A$1:$A$2</definedName>
    <definedName name="ValidList_G1021">TempLists!$A$1:$A$5</definedName>
    <definedName name="ValidList_G1022">TempLists!$A$1:$A$5</definedName>
    <definedName name="ValidList_G1024">TempLists!$A$1:$A$2</definedName>
    <definedName name="ValidList_G1025">TempLists!$A$1:$A$2</definedName>
    <definedName name="ValidList_G1026">TempLists!$A$1:$A$2</definedName>
    <definedName name="ValidList_G1027">TempLists!$A$1:$A$2</definedName>
    <definedName name="ValidList_G103">TempLists!$A$1:$A$8</definedName>
    <definedName name="ValidList_G1030">TempLists!$A$1:$A$2</definedName>
    <definedName name="ValidList_G1031">TempLists!$A$1:$A$2</definedName>
    <definedName name="ValidList_G1032">TempLists!$A$1:$A$2</definedName>
    <definedName name="ValidList_G1033">TempLists!$A$1:$A$2</definedName>
    <definedName name="ValidList_G1034">TempLists!$A$1:$A$2</definedName>
    <definedName name="ValidList_G1036">TempLists!$A$1:$A$5</definedName>
    <definedName name="ValidList_G1038">TempLists!$A$1:$A$9</definedName>
    <definedName name="ValidList_G1039">TempLists!$A$1:$A$26</definedName>
    <definedName name="ValidList_G104">TempLists!$A$1:$A$2</definedName>
    <definedName name="ValidList_G1040">TempLists!$A$1:$A$8</definedName>
    <definedName name="ValidList_G1041">TempLists!$A$1:$A$8</definedName>
    <definedName name="ValidList_G1042">TempLists!$A$1:$A$5</definedName>
    <definedName name="ValidList_G1043">TempLists!$A$1:$A$5</definedName>
    <definedName name="ValidList_G105">TempLists!$A$1:$A$2</definedName>
    <definedName name="ValidList_G1051">TempLists!$A$1:$A$2</definedName>
    <definedName name="ValidList_G1052">TempLists!$A$1:$A$9</definedName>
    <definedName name="ValidList_G1055">TempLists!$A$1:$A$2</definedName>
    <definedName name="ValidList_G1056">TempLists!$A$1:$A$2</definedName>
    <definedName name="ValidList_G1057">TempLists!$A$1:$A$2</definedName>
    <definedName name="ValidList_G1058">TempLists!$A$1:$A$24</definedName>
    <definedName name="ValidList_G1059">TempLists!$A$1:$A$24</definedName>
    <definedName name="ValidList_G106">TempLists!$A$1:$A$5</definedName>
    <definedName name="ValidList_G1062">TempLists!$A$1:$A$26</definedName>
    <definedName name="ValidList_G1063">TempLists!$A$1:$A$2</definedName>
    <definedName name="ValidList_G1064">TempLists!$A$1:$A$2</definedName>
    <definedName name="ValidList_G1065">TempLists!$A$1:$A$2</definedName>
    <definedName name="ValidList_G1068">TempLists!$A$1:$A$2</definedName>
    <definedName name="ValidList_G1069">TempLists!$A$1:$A$26</definedName>
    <definedName name="ValidList_G107">TempLists!$A$1:$A$2</definedName>
    <definedName name="ValidList_G1070">TempLists!$A$1:$A$2</definedName>
    <definedName name="ValidList_G1072">TempLists!$A$1:$A$2</definedName>
    <definedName name="ValidList_G1073">TempLists!$A$1:$A$3</definedName>
    <definedName name="ValidList_G1075">TempLists!$A$1:$A$2</definedName>
    <definedName name="ValidList_G108">TempLists!$A$1:$A$8</definedName>
    <definedName name="ValidList_G1080">TempLists!$A$1:$A$2</definedName>
    <definedName name="ValidList_G1081">TempLists!$A$1:$A$2</definedName>
    <definedName name="ValidList_G1082">TempLists!$A$1:$A$2</definedName>
    <definedName name="ValidList_G1083">TempLists!$A$1:$A$2</definedName>
    <definedName name="ValidList_G1084">TempLists!$A$1:$A$2</definedName>
    <definedName name="ValidList_G1086">TempLists!$A$1:$A$8</definedName>
    <definedName name="ValidList_G11">TempLists!$A$1:$A$2</definedName>
    <definedName name="ValidList_G110">TempLists!$A$1:$A$8</definedName>
    <definedName name="ValidList_G1103">TempLists!$A$1:$A$5</definedName>
    <definedName name="ValidList_G1104">TempLists!$A$1:$A$2</definedName>
    <definedName name="ValidList_G111">TempLists!$A$1:$A$2</definedName>
    <definedName name="ValidList_G1110">TempLists!$A$1:$A$2</definedName>
    <definedName name="ValidList_G1111">TempLists!$A$1:$A$2</definedName>
    <definedName name="ValidList_G1112">TempLists!$A$1:$A$2</definedName>
    <definedName name="ValidList_G1113">TempLists!$A$1:$A$2</definedName>
    <definedName name="ValidList_G1114">TempLists!$A$1:$A$2</definedName>
    <definedName name="ValidList_G1115">TempLists!$A$1:$A$2</definedName>
    <definedName name="ValidList_G1118">TempLists!$A$1:$A$2</definedName>
    <definedName name="ValidList_G1119">TempLists!$A$1:$A$2</definedName>
    <definedName name="ValidList_G112">TempLists!$A$1:$A$2</definedName>
    <definedName name="ValidList_G1122">TempLists!$A$1:$A$2</definedName>
    <definedName name="ValidList_G113">TempLists!$A$1:$A$9</definedName>
    <definedName name="ValidList_G114">TempLists!$A$1:$A$2</definedName>
    <definedName name="ValidList_G115">TempLists!$A$1:$A$2</definedName>
    <definedName name="ValidList_G116">TempLists!$A$1:$A$2</definedName>
    <definedName name="ValidList_G117">TempLists!$A$1:$A$2</definedName>
    <definedName name="ValidList_G118">TempLists!$A$1:$A$2</definedName>
    <definedName name="ValidList_G119">TempLists!$A$1:$A$2</definedName>
    <definedName name="ValidList_G12">TempLists!$A$1:$A$2</definedName>
    <definedName name="ValidList_G121">TempLists!$A$1:$A$2</definedName>
    <definedName name="ValidList_G122">TempLists!$A$1:$A$2</definedName>
    <definedName name="ValidList_G123">TempLists!$A$1:$A$2</definedName>
    <definedName name="ValidList_G124">TempLists!$A$1:$A$2</definedName>
    <definedName name="ValidList_G125">TempLists!$A$1:$A$2</definedName>
    <definedName name="ValidList_G126">TempLists!$A$1:$A$2</definedName>
    <definedName name="ValidList_G127">TempLists!$A$1:$A$2</definedName>
    <definedName name="ValidList_G128">TempLists!$A$1:$A$2</definedName>
    <definedName name="ValidList_G13">TempLists!$A$1:$A$2</definedName>
    <definedName name="ValidList_G130">TempLists!$A$1:$A$2</definedName>
    <definedName name="ValidList_G131">TempLists!$A$1:$A$20</definedName>
    <definedName name="ValidList_G135">TempLists!$A$1:$A$2</definedName>
    <definedName name="ValidList_G136">TempLists!$A$1:$A$2</definedName>
    <definedName name="ValidList_G143">TempLists!$A$1:$A$2</definedName>
    <definedName name="ValidList_G144">TempLists!$A$1:$A$2</definedName>
    <definedName name="ValidList_G145">TempLists!$A$1:$A$2</definedName>
    <definedName name="ValidList_G146">TempLists!$A$1:$A$2</definedName>
    <definedName name="ValidList_G147">TempLists!$A$1:$A$2</definedName>
    <definedName name="ValidList_G148">TempLists!$A$1:$A$2</definedName>
    <definedName name="ValidList_G149">TempLists!$A$1:$A$2</definedName>
    <definedName name="ValidList_G150">TempLists!$A$1:$A$5</definedName>
    <definedName name="ValidList_G151">TempLists!$A$1:$A$2</definedName>
    <definedName name="ValidList_G153">TempLists!$A$1:$A$2</definedName>
    <definedName name="ValidList_G154">TempLists!$A$1:$A$2</definedName>
    <definedName name="ValidList_G155">TempLists!$A$1:$A$9</definedName>
    <definedName name="ValidList_G156">TempLists!$A$1:$A$2</definedName>
    <definedName name="ValidList_G157">TempLists!$A$1:$A$2</definedName>
    <definedName name="ValidList_G158">TempLists!$A$1:$A$2</definedName>
    <definedName name="ValidList_G159">TempLists!$A$1:$A$2</definedName>
    <definedName name="ValidList_G16">TempLists!$A$1:$A$7</definedName>
    <definedName name="ValidList_G160">TempLists!$A$1:$A$2</definedName>
    <definedName name="ValidList_G161">TempLists!$A$1:$A$2</definedName>
    <definedName name="ValidList_G162">TempLists!$A$1:$A$2</definedName>
    <definedName name="ValidList_G163">TempLists!$A$1:$A$2</definedName>
    <definedName name="ValidList_G164">TempLists!$A$1:$A$9</definedName>
    <definedName name="ValidList_G165">TempLists!$A$1:$A$9</definedName>
    <definedName name="ValidList_G166">TempLists!$A$1:$A$9</definedName>
    <definedName name="ValidList_G167">TempLists!$A$1:$A$2</definedName>
    <definedName name="ValidList_G168">TempLists!$A$1:$A$3</definedName>
    <definedName name="ValidList_G17">TempLists!$A$1:$A$2</definedName>
    <definedName name="ValidList_G174">TempLists!$A$1:$A$2</definedName>
    <definedName name="ValidList_G175">TempLists!$A$1:$A$2</definedName>
    <definedName name="ValidList_G176">TempLists!$A$1:$A$2</definedName>
    <definedName name="ValidList_G177">TempLists!$A$1:$A$5</definedName>
    <definedName name="ValidList_G179">TempLists!$A$1:$A$5</definedName>
    <definedName name="ValidList_G18">TempLists!$A$1:$A$3</definedName>
    <definedName name="ValidList_G180">TempLists!$A$1:$A$2</definedName>
    <definedName name="ValidList_G181">TempLists!$A$1:$A$3</definedName>
    <definedName name="ValidList_G182">TempLists!$A$1:$A$2</definedName>
    <definedName name="ValidList_G183">TempLists!$A$1:$A$5</definedName>
    <definedName name="ValidList_G184">TempLists!$A$1:$A$2</definedName>
    <definedName name="ValidList_G187">TempLists!$A$1:$A$2</definedName>
    <definedName name="ValidList_G19">TempLists!$A$1:$A$5</definedName>
    <definedName name="ValidList_G192">TempLists!$A$1:$A$2</definedName>
    <definedName name="ValidList_G193">TempLists!$A$1:$A$2</definedName>
    <definedName name="ValidList_G194">TempLists!$A$1:$A$2</definedName>
    <definedName name="ValidList_G195">TempLists!$A$1:$A$7</definedName>
    <definedName name="ValidList_G196">TempLists!$A$1:$A$2</definedName>
    <definedName name="ValidList_G197">TempLists!$A$1:$A$2</definedName>
    <definedName name="ValidList_G198">TempLists!$A$1:$A$2</definedName>
    <definedName name="ValidList_G20">TempLists!$A$1:$A$7</definedName>
    <definedName name="ValidList_G201">TempLists!$A$1:$A$9</definedName>
    <definedName name="ValidList_G202">TempLists!$A$1:$A$2</definedName>
    <definedName name="ValidList_G203">TempLists!$A$1:$A$9</definedName>
    <definedName name="ValidList_G204">TempLists!$A$1:$A$2</definedName>
    <definedName name="ValidList_G205">TempLists!$A$1:$A$2</definedName>
    <definedName name="ValidList_G206">TempLists!$A$1:$A$2</definedName>
    <definedName name="ValidList_G207">TempLists!$A$1:$A$9</definedName>
    <definedName name="ValidList_G208">TempLists!$A$1:$A$2</definedName>
    <definedName name="ValidList_G209">TempLists!$A$1:$A$2</definedName>
    <definedName name="ValidList_G21">TempLists!$A$1:$A$2</definedName>
    <definedName name="ValidList_G210">TempLists!$A$1:$A$2</definedName>
    <definedName name="ValidList_G216">TempLists!$A$1:$A$2</definedName>
    <definedName name="ValidList_G217">TempLists!$A$1:$A$2</definedName>
    <definedName name="ValidList_G218">TempLists!$A$1:$A$2</definedName>
    <definedName name="ValidList_G219">TempLists!$A$1:$A$2</definedName>
    <definedName name="ValidList_G22">TempLists!$A$1:$A$2</definedName>
    <definedName name="ValidList_G220">TempLists!$A$1:$A$2</definedName>
    <definedName name="ValidList_G221">TempLists!$A$1:$A$2</definedName>
    <definedName name="ValidList_G222">TempLists!$A$1:$A$2</definedName>
    <definedName name="ValidList_G223">TempLists!$A$1:$A$2</definedName>
    <definedName name="ValidList_G224">TempLists!$A$1:$A$20</definedName>
    <definedName name="ValidList_G225">TempLists!$A$1:$A$2</definedName>
    <definedName name="ValidList_G226">TempLists!$A$1:$A$2</definedName>
    <definedName name="ValidList_G23">TempLists!$A$1:$A$2</definedName>
    <definedName name="ValidList_G234">TempLists!$A$1:$A$23</definedName>
    <definedName name="ValidList_G235">TempLists!$A$1:$A$2</definedName>
    <definedName name="ValidList_G236">TempLists!$A$1:$A$3</definedName>
    <definedName name="ValidList_G238">TempLists!$A$1:$A$2</definedName>
    <definedName name="ValidList_G239">TempLists!$A$1:$A$2</definedName>
    <definedName name="ValidList_G24">TempLists!$A$1:$A$2</definedName>
    <definedName name="ValidList_G240">TempLists!$A$1:$A$2</definedName>
    <definedName name="ValidList_G241">TempLists!$A$1:$A$2</definedName>
    <definedName name="ValidList_G242">TempLists!$A$1:$A$2</definedName>
    <definedName name="ValidList_G243">TempLists!$A$1:$A$3</definedName>
    <definedName name="ValidList_G244">TempLists!$A$1:$A$3</definedName>
    <definedName name="ValidList_G245">TempLists!$A$1:$A$3</definedName>
    <definedName name="ValidList_G246">TempLists!$A$1:$A$8</definedName>
    <definedName name="ValidList_G247">TempLists!$A$1:$A$8</definedName>
    <definedName name="ValidList_G248">TempLists!$A$1:$A$8</definedName>
    <definedName name="ValidList_G249">TempLists!$A$1:$A$9</definedName>
    <definedName name="ValidList_G25">TempLists!$A$1:$A$7</definedName>
    <definedName name="ValidList_G253">TempLists!$A$1:$A$2</definedName>
    <definedName name="ValidList_G254">TempLists!$A$1:$A$2</definedName>
    <definedName name="ValidList_G26">TempLists!$A$1:$A$7</definedName>
    <definedName name="ValidList_G268">TempLists!$A$1:$A$2</definedName>
    <definedName name="ValidList_G269">TempLists!$A$1:$A$2</definedName>
    <definedName name="ValidList_G27">TempLists!$A$1:$A$2</definedName>
    <definedName name="ValidList_G270">TempLists!$A$1:$A$7</definedName>
    <definedName name="ValidList_G271">TempLists!$A$1:$A$7</definedName>
    <definedName name="ValidList_G272">TempLists!$A$1:$A$2</definedName>
    <definedName name="ValidList_G273">TempLists!$A$1:$A$2</definedName>
    <definedName name="ValidList_G274">TempLists!$A$1:$A$2</definedName>
    <definedName name="ValidList_G275">TempLists!$A$1:$A$2</definedName>
    <definedName name="ValidList_G276">TempLists!$A$1:$A$2</definedName>
    <definedName name="ValidList_G280">TempLists!$A$1:$A$2</definedName>
    <definedName name="ValidList_G282">TempLists!$A$1:$A$5</definedName>
    <definedName name="ValidList_G283">TempLists!$A$1:$A$7</definedName>
    <definedName name="ValidList_G284">TempLists!$A$1:$A$5</definedName>
    <definedName name="ValidList_G285">TempLists!$A$1:$A$3</definedName>
    <definedName name="ValidList_G286">TempLists!$A$1:$A$2</definedName>
    <definedName name="ValidList_G287">TempLists!$A$1:$A$3</definedName>
    <definedName name="ValidList_G292">TempLists!$A$1:$A$2</definedName>
    <definedName name="ValidList_G293">TempLists!$A$1:$A$2</definedName>
    <definedName name="ValidList_G294">TempLists!$A$1:$A$8</definedName>
    <definedName name="ValidList_G295">TempLists!$A$1:$A$2</definedName>
    <definedName name="ValidList_G296">TempLists!$A$1:$A$8</definedName>
    <definedName name="ValidList_G297">TempLists!$A$1:$A$2</definedName>
    <definedName name="ValidList_G298">TempLists!$A$1:$A$2</definedName>
    <definedName name="ValidList_G299">TempLists!$A$1:$A$5</definedName>
    <definedName name="ValidList_G3">TempLists!$A$1:$A$8</definedName>
    <definedName name="ValidList_G300">TempLists!$A$1:$A$5</definedName>
    <definedName name="ValidList_G301">TempLists!$A$1:$A$5</definedName>
    <definedName name="ValidList_G302">TempLists!$A$1:$A$2</definedName>
    <definedName name="ValidList_G303">TempLists!$A$1:$A$2</definedName>
    <definedName name="ValidList_G304">TempLists!$A$1:$A$2</definedName>
    <definedName name="ValidList_G305">TempLists!$A$1:$A$2</definedName>
    <definedName name="ValidList_G306">TempLists!$A$1:$A$2</definedName>
    <definedName name="ValidList_G31">TempLists!$A$1:$A$2</definedName>
    <definedName name="ValidList_G310">TempLists!$A$1:$A$2</definedName>
    <definedName name="ValidList_G311">TempLists!$A$1:$A$2</definedName>
    <definedName name="ValidList_G312">TempLists!$A$1:$A$2</definedName>
    <definedName name="ValidList_G313">TempLists!$A$1:$A$2</definedName>
    <definedName name="ValidList_G314">TempLists!$A$1:$A$2</definedName>
    <definedName name="ValidList_G315">TempLists!$A$1:$A$2</definedName>
    <definedName name="ValidList_G316">TempLists!$A$1:$A$3</definedName>
    <definedName name="ValidList_G317">TempLists!$A$1:$A$5</definedName>
    <definedName name="ValidList_G318">TempLists!$A$1:$A$7</definedName>
    <definedName name="ValidList_G319">TempLists!$A$1:$A$2</definedName>
    <definedName name="ValidList_G32">TempLists!$A$1:$A$2</definedName>
    <definedName name="ValidList_G320">TempLists!$A$1:$A$2</definedName>
    <definedName name="ValidList_G321">TempLists!$A$1:$A$2</definedName>
    <definedName name="ValidList_G322">TempLists!$A$1:$A$8</definedName>
    <definedName name="ValidList_G325">TempLists!$A$1:$A$23</definedName>
    <definedName name="ValidList_G327">TempLists!$A$1:$A$7</definedName>
    <definedName name="ValidList_G328">TempLists!$A$1:$A$2</definedName>
    <definedName name="ValidList_G329">TempLists!$A$1:$A$7</definedName>
    <definedName name="ValidList_G33">TempLists!$A$1:$A$2</definedName>
    <definedName name="ValidList_G330">TempLists!$A$1:$A$7</definedName>
    <definedName name="ValidList_G331">TempLists!$A$1:$A$5</definedName>
    <definedName name="ValidList_G332">TempLists!$A$1:$A$8</definedName>
    <definedName name="ValidList_G333">TempLists!$A$1:$A$3</definedName>
    <definedName name="ValidList_G334">TempLists!$A$1:$A$2</definedName>
    <definedName name="ValidList_G335">TempLists!$A$1:$A$5</definedName>
    <definedName name="ValidList_G336">TempLists!$A$1:$A$2</definedName>
    <definedName name="ValidList_G337">TempLists!$A$1:$A$2</definedName>
    <definedName name="ValidList_G34">TempLists!$A$1:$A$3</definedName>
    <definedName name="ValidList_G340">TempLists!$A$1:$A$2</definedName>
    <definedName name="ValidList_G341">TempLists!$A$1:$A$2</definedName>
    <definedName name="ValidList_G342">TempLists!$A$1:$A$2</definedName>
    <definedName name="ValidList_G344">TempLists!$A$1:$A$2</definedName>
    <definedName name="ValidList_G346">TempLists!$A$1:$A$2</definedName>
    <definedName name="ValidList_G347">TempLists!$A$1:$A$2</definedName>
    <definedName name="ValidList_G348">TempLists!$A$1:$A$2</definedName>
    <definedName name="ValidList_G349">TempLists!$A$1:$A$2</definedName>
    <definedName name="ValidList_G35">TempLists!$A$1:$A$8</definedName>
    <definedName name="ValidList_G351">TempLists!$A$1:$A$2</definedName>
    <definedName name="ValidList_G352">TempLists!$A$1:$A$2</definedName>
    <definedName name="ValidList_G353">TempLists!$A$1:$A$2</definedName>
    <definedName name="ValidList_G354">TempLists!$A$1:$A$2</definedName>
    <definedName name="ValidList_G355">TempLists!$A$1:$A$2</definedName>
    <definedName name="ValidList_G356">TempLists!$A$1:$A$7</definedName>
    <definedName name="ValidList_G357">TempLists!$A$1:$A$7</definedName>
    <definedName name="ValidList_G358">TempLists!$A$1:$A$2</definedName>
    <definedName name="ValidList_G359">TempLists!$A$1:$A$9</definedName>
    <definedName name="ValidList_G36">TempLists!$A$1:$A$5</definedName>
    <definedName name="ValidList_G360">TempLists!$A$1:$A$2</definedName>
    <definedName name="ValidList_G361">TempLists!$A$1:$A$2</definedName>
    <definedName name="ValidList_G362">TempLists!$A$1:$A$7</definedName>
    <definedName name="ValidList_G363">TempLists!$A$1:$A$2</definedName>
    <definedName name="ValidList_G364">TempLists!$A$1:$A$2</definedName>
    <definedName name="ValidList_G365">TempLists!$A$1:$A$2</definedName>
    <definedName name="ValidList_G366">TempLists!$A$1:$A$2</definedName>
    <definedName name="ValidList_G367">TempLists!$A$1:$A$2</definedName>
    <definedName name="ValidList_G369">TempLists!$A$1:$A$2</definedName>
    <definedName name="ValidList_G37">TempLists!$A$1:$A$2</definedName>
    <definedName name="ValidList_G370">TempLists!$A$1:$A$2</definedName>
    <definedName name="ValidList_G371">TempLists!$A$1:$A$2</definedName>
    <definedName name="ValidList_G372">TempLists!$A$1:$A$2</definedName>
    <definedName name="ValidList_G373">TempLists!$A$1:$A$2</definedName>
    <definedName name="ValidList_G374">TempLists!$A$1:$A$2</definedName>
    <definedName name="ValidList_G375">TempLists!$A$1:$A$2</definedName>
    <definedName name="ValidList_G38">TempLists!$A$1:$A$3</definedName>
    <definedName name="ValidList_G381">TempLists!$A$1:$A$2</definedName>
    <definedName name="ValidList_G382">TempLists!$A$1:$A$2</definedName>
    <definedName name="ValidList_G384">TempLists!$A$1:$A$5</definedName>
    <definedName name="ValidList_G385">TempLists!$A$1:$A$2</definedName>
    <definedName name="ValidList_G387">TempLists!$A$1:$A$2</definedName>
    <definedName name="ValidList_G389">TempLists!$A$1:$A$2</definedName>
    <definedName name="ValidList_G39">TempLists!$A$1:$A$5</definedName>
    <definedName name="ValidList_G391">TempLists!$A$1:$A$2</definedName>
    <definedName name="ValidList_G392">TempLists!$A$1:$A$2</definedName>
    <definedName name="ValidList_G393">TempLists!$A$1:$A$2</definedName>
    <definedName name="ValidList_G394">TempLists!$A$1:$A$2</definedName>
    <definedName name="ValidList_G395">TempLists!$A$1:$A$2</definedName>
    <definedName name="ValidList_G396">TempLists!$A$1:$A$2</definedName>
    <definedName name="ValidList_G397">TempLists!$A$1:$A$2</definedName>
    <definedName name="ValidList_G398">TempLists!$A$1:$A$23</definedName>
    <definedName name="ValidList_G399">TempLists!$A$1:$A$9</definedName>
    <definedName name="ValidList_G4">TempLists!$A$1:$A$8</definedName>
    <definedName name="ValidList_G400">TempLists!$A$1:$A$2</definedName>
    <definedName name="ValidList_G401">TempLists!$A$1:$A$2</definedName>
    <definedName name="ValidList_G402">TempLists!$A$1:$A$2</definedName>
    <definedName name="ValidList_G403">TempLists!$A$1:$A$2</definedName>
    <definedName name="ValidList_G404">TempLists!$A$1:$A$2</definedName>
    <definedName name="ValidList_G408">TempLists!$A$1:$A$2</definedName>
    <definedName name="ValidList_G409">TempLists!$A$1:$A$2</definedName>
    <definedName name="ValidList_G413">TempLists!$A$1:$A$2</definedName>
    <definedName name="ValidList_G417">TempLists!$A$1:$A$2</definedName>
    <definedName name="ValidList_G418">TempLists!$A$1:$A$2</definedName>
    <definedName name="ValidList_G419">TempLists!$A$1:$A$5</definedName>
    <definedName name="ValidList_G42">TempLists!$A$1:$A$8</definedName>
    <definedName name="ValidList_G420">TempLists!$A$1:$A$2</definedName>
    <definedName name="ValidList_G421">TempLists!$A$1:$A$2</definedName>
    <definedName name="ValidList_G425">TempLists!$A$1:$A$8</definedName>
    <definedName name="ValidList_G426">TempLists!$A$1:$A$2</definedName>
    <definedName name="ValidList_G428">TempLists!$A$1:$A$9</definedName>
    <definedName name="ValidList_G429">TempLists!$A$1:$A$2</definedName>
    <definedName name="ValidList_G43">TempLists!$A$1:$A$3</definedName>
    <definedName name="ValidList_G430">TempLists!$A$1:$A$2</definedName>
    <definedName name="ValidList_G431">TempLists!$A$1:$A$2</definedName>
    <definedName name="ValidList_G432">TempLists!$A$1:$A$2</definedName>
    <definedName name="ValidList_G433">TempLists!$A$1:$A$2</definedName>
    <definedName name="ValidList_G436">TempLists!$A$1:$A$2</definedName>
    <definedName name="ValidList_G437">TempLists!$A$1:$A$2</definedName>
    <definedName name="ValidList_G438">TempLists!$A$1:$A$2</definedName>
    <definedName name="ValidList_G439">TempLists!$A$1:$A$3</definedName>
    <definedName name="ValidList_G44">TempLists!$A$1:$A$3</definedName>
    <definedName name="ValidList_G440">TempLists!$A$1:$A$7</definedName>
    <definedName name="ValidList_G441">TempLists!$A$1:$A$2</definedName>
    <definedName name="ValidList_G442">TempLists!$A$1:$A$8</definedName>
    <definedName name="ValidList_G443">TempLists!$A$1:$A$2</definedName>
    <definedName name="ValidList_G444">TempLists!$A$1:$A$7</definedName>
    <definedName name="ValidList_G445">TempLists!$A$1:$A$2</definedName>
    <definedName name="ValidList_G446">TempLists!$A$1:$A$23</definedName>
    <definedName name="ValidList_G447">TempLists!$A$1:$A$24</definedName>
    <definedName name="ValidList_G448">TempLists!$A$1:$A$2</definedName>
    <definedName name="ValidList_G45">TempLists!$A$1:$A$2</definedName>
    <definedName name="ValidList_G451">TempLists!$A$1:$A$2</definedName>
    <definedName name="ValidList_G452">TempLists!$A$1:$A$2</definedName>
    <definedName name="ValidList_G454">TempLists!$A$1:$A$2</definedName>
    <definedName name="ValidList_G455">TempLists!$A$1:$A$2</definedName>
    <definedName name="ValidList_G456">TempLists!$A$1:$A$2</definedName>
    <definedName name="ValidList_G457">TempLists!$A$1:$A$2</definedName>
    <definedName name="ValidList_G458">TempLists!$A$1:$A$2</definedName>
    <definedName name="ValidList_G459">TempLists!$A$1:$A$2</definedName>
    <definedName name="ValidList_G460">TempLists!$A$1:$A$3</definedName>
    <definedName name="ValidList_G461">TempLists!$A$1:$A$2</definedName>
    <definedName name="ValidList_G462">TempLists!$A$1:$A$2</definedName>
    <definedName name="ValidList_G463">TempLists!$A$1:$A$9</definedName>
    <definedName name="ValidList_G465">TempLists!$A$1:$A$2</definedName>
    <definedName name="ValidList_G466">TempLists!$A$1:$A$2</definedName>
    <definedName name="ValidList_G467">TempLists!$A$1:$A$2</definedName>
    <definedName name="ValidList_G468">TempLists!$A$1:$A$2</definedName>
    <definedName name="ValidList_G469">TempLists!$A$1:$A$2</definedName>
    <definedName name="ValidList_G470">TempLists!$A$1:$A$7</definedName>
    <definedName name="ValidList_G471">TempLists!$A$1:$A$2</definedName>
    <definedName name="ValidList_G472">TempLists!$A$1:$A$5</definedName>
    <definedName name="ValidList_G473">TempLists!$A$1:$A$7</definedName>
    <definedName name="ValidList_G475">TempLists!$A$1:$A$8</definedName>
    <definedName name="ValidList_G476">TempLists!$A$1:$A$5</definedName>
    <definedName name="ValidList_G477">TempLists!$A$1:$A$2</definedName>
    <definedName name="ValidList_G478">TempLists!$A$1:$A$3</definedName>
    <definedName name="ValidList_G479">TempLists!$A$1:$A$8</definedName>
    <definedName name="ValidList_G48">TempLists!$A$1:$A$2</definedName>
    <definedName name="ValidList_G480">TempLists!$A$1:$A$7</definedName>
    <definedName name="ValidList_G481">TempLists!$A$1:$A$2</definedName>
    <definedName name="ValidList_G483">TempLists!$A$1:$A$2</definedName>
    <definedName name="ValidList_G484">TempLists!$A$1:$A$2</definedName>
    <definedName name="ValidList_G486">TempLists!$A$1:$A$2</definedName>
    <definedName name="ValidList_G487">TempLists!$A$1:$A$2</definedName>
    <definedName name="ValidList_G489">TempLists!$A$1:$A$24</definedName>
    <definedName name="ValidList_G49">TempLists!$A$1:$A$2</definedName>
    <definedName name="ValidList_G490">TempLists!$A$1:$A$7</definedName>
    <definedName name="ValidList_G491">TempLists!$A$1:$A$2</definedName>
    <definedName name="ValidList_G496">TempLists!$A$1:$A$2</definedName>
    <definedName name="ValidList_G497">TempLists!$A$1:$A$9</definedName>
    <definedName name="ValidList_G498">TempLists!$A$1:$A$9</definedName>
    <definedName name="ValidList_G499">TempLists!$A$1:$A$2</definedName>
    <definedName name="ValidList_G5">TempLists!$A$1:$A$2</definedName>
    <definedName name="ValidList_G50">TempLists!$A$1:$A$2</definedName>
    <definedName name="ValidList_G502">TempLists!$A$1:$A$2</definedName>
    <definedName name="ValidList_G503">TempLists!$A$1:$A$3</definedName>
    <definedName name="ValidList_G507">TempLists!$A$1:$A$2</definedName>
    <definedName name="ValidList_G508">TempLists!$A$1:$A$2</definedName>
    <definedName name="ValidList_G509">TempLists!$A$1:$A$2</definedName>
    <definedName name="ValidList_G51">TempLists!$A$1:$A$2</definedName>
    <definedName name="ValidList_G510">TempLists!$A$1:$A$3</definedName>
    <definedName name="ValidList_G511">TempLists!$A$1:$A$2</definedName>
    <definedName name="ValidList_G512">TempLists!$A$1:$A$2</definedName>
    <definedName name="ValidList_G513">TempLists!$A$1:$A$2</definedName>
    <definedName name="ValidList_G515">TempLists!$A$1:$A$2</definedName>
    <definedName name="ValidList_G516">TempLists!$A$1:$A$2</definedName>
    <definedName name="ValidList_G517">TempLists!$A$1:$A$2</definedName>
    <definedName name="ValidList_G518">TempLists!$A$1:$A$25</definedName>
    <definedName name="ValidList_G519">TempLists!$A$1:$A$25</definedName>
    <definedName name="ValidList_G52">TempLists!$A$1:$A$2</definedName>
    <definedName name="ValidList_G520">TempLists!$A$1:$A$25</definedName>
    <definedName name="ValidList_G521">TempLists!$A$1:$A$25</definedName>
    <definedName name="ValidList_G524">TempLists!$A$1:$A$2</definedName>
    <definedName name="ValidList_G528">TempLists!$A$1:$A$2</definedName>
    <definedName name="ValidList_G53">TempLists!$A$1:$A$2</definedName>
    <definedName name="ValidList_G533">TempLists!$A$1:$A$2</definedName>
    <definedName name="ValidList_G534">TempLists!$A$1:$A$2</definedName>
    <definedName name="ValidList_G535">TempLists!$A$1:$A$8</definedName>
    <definedName name="ValidList_G538">TempLists!$A$1:$A$5</definedName>
    <definedName name="ValidList_G539">TempLists!$A$1:$A$2</definedName>
    <definedName name="ValidList_G54">TempLists!$A$1:$A$2</definedName>
    <definedName name="ValidList_G540">TempLists!$A$1:$A$2</definedName>
    <definedName name="ValidList_G544">TempLists!$A$1:$A$2</definedName>
    <definedName name="ValidList_G545">TempLists!$A$1:$A$3</definedName>
    <definedName name="ValidList_G546">TempLists!$A$1:$A$2</definedName>
    <definedName name="ValidList_G549">TempLists!$A$1:$A$2</definedName>
    <definedName name="ValidList_G550">TempLists!$A$1:$A$2</definedName>
    <definedName name="ValidList_G551">TempLists!$A$1:$A$2</definedName>
    <definedName name="ValidList_G552">TempLists!$A$1:$A$2</definedName>
    <definedName name="ValidList_G553">TempLists!$A$1:$A$2</definedName>
    <definedName name="ValidList_G554">TempLists!$A$1:$A$3</definedName>
    <definedName name="ValidList_G555">TempLists!$A$1:$A$2</definedName>
    <definedName name="ValidList_G556">TempLists!$A$1:$A$2</definedName>
    <definedName name="ValidList_G557">TempLists!$A$1:$A$5</definedName>
    <definedName name="ValidList_G558">TempLists!$A$1:$A$3</definedName>
    <definedName name="ValidList_G559">TempLists!$A$1:$A$8</definedName>
    <definedName name="ValidList_G560">TempLists!$A$1:$A$2</definedName>
    <definedName name="ValidList_G561">TempLists!$A$1:$A$2</definedName>
    <definedName name="ValidList_G562">TempLists!$A$1:$A$2</definedName>
    <definedName name="ValidList_G565">TempLists!$A$1:$A$8</definedName>
    <definedName name="ValidList_G566">TempLists!$A$1:$A$5</definedName>
    <definedName name="ValidList_G567">TempLists!$A$1:$A$2</definedName>
    <definedName name="ValidList_G568">TempLists!$A$1:$A$8</definedName>
    <definedName name="ValidList_G574">TempLists!$A$1:$A$2</definedName>
    <definedName name="ValidList_G576">TempLists!$A$1:$A$2</definedName>
    <definedName name="ValidList_G58">TempLists!$A$1:$A$9</definedName>
    <definedName name="ValidList_G580">TempLists!$A$1:$A$5</definedName>
    <definedName name="ValidList_G581">TempLists!$A$1:$A$2</definedName>
    <definedName name="ValidList_G582">TempLists!$A$1:$A$2</definedName>
    <definedName name="ValidList_G583">TempLists!$A$1:$A$2</definedName>
    <definedName name="ValidList_G584">TempLists!$A$1:$A$2</definedName>
    <definedName name="ValidList_G585">TempLists!$A$1:$A$5</definedName>
    <definedName name="ValidList_G586">TempLists!$A$1:$A$2</definedName>
    <definedName name="ValidList_G587">TempLists!$A$1:$A$26</definedName>
    <definedName name="ValidList_G588">TempLists!$A$1:$A$26</definedName>
    <definedName name="ValidList_G589">TempLists!$A$1:$A$2</definedName>
    <definedName name="ValidList_G59">TempLists!$A$1:$A$2</definedName>
    <definedName name="ValidList_G591">TempLists!$A$1:$A$2</definedName>
    <definedName name="ValidList_G592">TempLists!$A$1:$A$2</definedName>
    <definedName name="ValidList_G593">TempLists!$A$1:$A$5</definedName>
    <definedName name="ValidList_G594">TempLists!$A$1:$A$9</definedName>
    <definedName name="ValidList_G595">TempLists!$A$1:$A$3</definedName>
    <definedName name="ValidList_G596">TempLists!$A$1:$A$8</definedName>
    <definedName name="ValidList_G597">TempLists!$A$1:$A$3</definedName>
    <definedName name="ValidList_G6">TempLists!$A$1:$A$2</definedName>
    <definedName name="ValidList_G60">TempLists!$A$1:$A$8</definedName>
    <definedName name="ValidList_G603">TempLists!$A$1:$A$2</definedName>
    <definedName name="ValidList_G604">TempLists!$A$1:$A$2</definedName>
    <definedName name="ValidList_G606">TempLists!$A$1:$A$2</definedName>
    <definedName name="ValidList_G607">TempLists!$A$1:$A$5</definedName>
    <definedName name="ValidList_G608">TempLists!$A$1:$A$2</definedName>
    <definedName name="ValidList_G609">TempLists!$A$1:$A$2</definedName>
    <definedName name="ValidList_G612">TempLists!$A$1:$A$2</definedName>
    <definedName name="ValidList_G613">TempLists!$A$1:$A$2</definedName>
    <definedName name="ValidList_G615">TempLists!$A$1:$A$2</definedName>
    <definedName name="ValidList_G616">TempLists!$A$1:$A$2</definedName>
    <definedName name="ValidList_G617">TempLists!$A$1:$A$2</definedName>
    <definedName name="ValidList_G619">TempLists!$A$1:$A$3</definedName>
    <definedName name="ValidList_G622">TempLists!$A$1:$A$2</definedName>
    <definedName name="ValidList_G625">TempLists!$A$1:$A$2</definedName>
    <definedName name="ValidList_G626">TempLists!$A$1:$A$24</definedName>
    <definedName name="ValidList_G629">TempLists!$A$1:$A$8</definedName>
    <definedName name="ValidList_G630">TempLists!$A$1:$A$8</definedName>
    <definedName name="ValidList_G631">TempLists!$A$1:$A$2</definedName>
    <definedName name="ValidList_G632">TempLists!$A$1:$A$20</definedName>
    <definedName name="ValidList_G633">TempLists!$A$1:$A$3</definedName>
    <definedName name="ValidList_G634">TempLists!$A$1:$A$2</definedName>
    <definedName name="ValidList_G637">TempLists!$A$1:$A$2</definedName>
    <definedName name="ValidList_G645">TempLists!$A$1:$A$2</definedName>
    <definedName name="ValidList_G646">TempLists!$A$1:$A$2</definedName>
    <definedName name="ValidList_G647">TempLists!$A$1:$A$2</definedName>
    <definedName name="ValidList_G648">TempLists!$A$1:$A$2</definedName>
    <definedName name="ValidList_G649">TempLists!$A$1:$A$2</definedName>
    <definedName name="ValidList_G650">TempLists!$A$1:$A$2</definedName>
    <definedName name="ValidList_G651">TempLists!$A$1:$A$8</definedName>
    <definedName name="ValidList_G652">TempLists!$A$1:$A$3</definedName>
    <definedName name="ValidList_G653">TempLists!$A$1:$A$5</definedName>
    <definedName name="ValidList_G654">TempLists!$A$1:$A$5</definedName>
    <definedName name="ValidList_G655">TempLists!$A$1:$A$8</definedName>
    <definedName name="ValidList_G656">TempLists!$A$1:$A$2</definedName>
    <definedName name="ValidList_G657">TempLists!$A$1:$A$2</definedName>
    <definedName name="ValidList_G658">TempLists!$A$1:$A$8</definedName>
    <definedName name="ValidList_G659">TempLists!$A$1:$A$2</definedName>
    <definedName name="ValidList_G660">TempLists!$A$1:$A$2</definedName>
    <definedName name="ValidList_G661">TempLists!$A$1:$A$2</definedName>
    <definedName name="ValidList_G664">TempLists!$A$1:$A$2</definedName>
    <definedName name="ValidList_G665">TempLists!$A$1:$A$2</definedName>
    <definedName name="ValidList_G666">TempLists!$A$1:$A$2</definedName>
    <definedName name="ValidList_G667">TempLists!$A$1:$A$2</definedName>
    <definedName name="ValidList_G668">TempLists!$A$1:$A$2</definedName>
    <definedName name="ValidList_G669">TempLists!$A$1:$A$2</definedName>
    <definedName name="ValidList_G670">TempLists!$A$1:$A$2</definedName>
    <definedName name="ValidList_G671">TempLists!$A$1:$A$2</definedName>
    <definedName name="ValidList_G672">TempLists!$A$1:$A$2</definedName>
    <definedName name="ValidList_G678">TempLists!$A$1:$A$2</definedName>
    <definedName name="ValidList_G679">TempLists!$A$1:$A$2</definedName>
    <definedName name="ValidList_G681">TempLists!$A$1:$A$2</definedName>
    <definedName name="ValidList_G683">TempLists!$A$1:$A$2</definedName>
    <definedName name="ValidList_G684">TempLists!$A$1:$A$2</definedName>
    <definedName name="ValidList_G685">TempLists!$A$1:$A$2</definedName>
    <definedName name="ValidList_G690">TempLists!$A$1:$A$2</definedName>
    <definedName name="ValidList_G691">TempLists!$A$1:$A$2</definedName>
    <definedName name="ValidList_G692">TempLists!$A$1:$A$2</definedName>
    <definedName name="ValidList_G693">TempLists!$A$1:$A$2</definedName>
    <definedName name="ValidList_G694">TempLists!$A$1:$A$3</definedName>
    <definedName name="ValidList_G696">TempLists!$A$1:$A$4</definedName>
    <definedName name="ValidList_G697">TempLists!$A$1:$A$3</definedName>
    <definedName name="ValidList_G698">TempLists!$A$1:$A$2</definedName>
    <definedName name="ValidList_G699">TempLists!$A$1:$A$26</definedName>
    <definedName name="ValidList_G7">TempLists!$A$1:$A$2</definedName>
    <definedName name="ValidList_G700">TempLists!$A$1:$A$9</definedName>
    <definedName name="ValidList_G701">TempLists!$A$1:$A$8</definedName>
    <definedName name="ValidList_G702">TempLists!$A$1:$A$2</definedName>
    <definedName name="ValidList_G703">TempLists!$A$1:$A$4</definedName>
    <definedName name="ValidList_G71">TempLists!$A$1:$A$2</definedName>
    <definedName name="ValidList_G712">TempLists!$A$1:$A$2</definedName>
    <definedName name="ValidList_G713">TempLists!$A$1:$A$2</definedName>
    <definedName name="ValidList_G714">TempLists!$A$1:$A$26</definedName>
    <definedName name="ValidList_G715">TempLists!$A$1:$A$2</definedName>
    <definedName name="ValidList_G716">TempLists!$A$1:$A$2</definedName>
    <definedName name="ValidList_G717">TempLists!$A$1:$A$2</definedName>
    <definedName name="ValidList_G718">TempLists!$A$1:$A$3</definedName>
    <definedName name="ValidList_G719">TempLists!$A$1:$A$2</definedName>
    <definedName name="ValidList_G72">TempLists!$A$1:$A$2</definedName>
    <definedName name="ValidList_G720">TempLists!$A$1:$A$2</definedName>
    <definedName name="ValidList_G721">TempLists!$A$1:$A$2</definedName>
    <definedName name="ValidList_G722">TempLists!$A$1:$A$2</definedName>
    <definedName name="ValidList_G725">TempLists!$A$1:$A$2</definedName>
    <definedName name="ValidList_G728">TempLists!$A$1:$A$5</definedName>
    <definedName name="ValidList_G73">TempLists!$A$1:$A$2</definedName>
    <definedName name="ValidList_G730">TempLists!$A$1:$A$2</definedName>
    <definedName name="ValidList_G731">TempLists!$A$1:$A$2</definedName>
    <definedName name="ValidList_G732">TempLists!$A$1:$A$2</definedName>
    <definedName name="ValidList_G733">TempLists!$A$1:$A$2</definedName>
    <definedName name="ValidList_G735">TempLists!$A$1:$A$2</definedName>
    <definedName name="ValidList_G736">TempLists!$A$1:$A$2</definedName>
    <definedName name="ValidList_G739">TempLists!$A$1:$A$2</definedName>
    <definedName name="ValidList_G74">TempLists!$A$1:$A$2</definedName>
    <definedName name="ValidList_G740">TempLists!$A$1:$A$2</definedName>
    <definedName name="ValidList_G741">TempLists!$A$1:$A$2</definedName>
    <definedName name="ValidList_G742">TempLists!$A$1:$A$2</definedName>
    <definedName name="ValidList_G743">TempLists!$A$1:$A$8</definedName>
    <definedName name="ValidList_G744">TempLists!$A$1:$A$2</definedName>
    <definedName name="ValidList_G745">TempLists!$A$1:$A$2</definedName>
    <definedName name="ValidList_G746">TempLists!$A$1:$A$2</definedName>
    <definedName name="ValidList_G747">TempLists!$A$1:$A$2</definedName>
    <definedName name="ValidList_G75">TempLists!$A$1:$A$2</definedName>
    <definedName name="ValidList_G751">TempLists!$A$1:$A$2</definedName>
    <definedName name="ValidList_G752">TempLists!$A$1:$A$2</definedName>
    <definedName name="ValidList_G753">TempLists!$A$1:$A$26</definedName>
    <definedName name="ValidList_G754">TempLists!$A$1:$A$2</definedName>
    <definedName name="ValidList_G755">TempLists!$A$1:$A$2</definedName>
    <definedName name="ValidList_G756">TempLists!$A$1:$A$2</definedName>
    <definedName name="ValidList_G757">TempLists!$A$1:$A$2</definedName>
    <definedName name="ValidList_G758">TempLists!$A$1:$A$8</definedName>
    <definedName name="ValidList_G759">TempLists!$A$1:$A$2</definedName>
    <definedName name="ValidList_G76">TempLists!$A$1:$A$2</definedName>
    <definedName name="ValidList_G760">TempLists!$A$1:$A$3</definedName>
    <definedName name="ValidList_G762">TempLists!$A$1:$A$2</definedName>
    <definedName name="ValidList_G763">TempLists!$A$1:$A$2</definedName>
    <definedName name="ValidList_G764">TempLists!$A$1:$A$3</definedName>
    <definedName name="ValidList_G769">TempLists!$A$1:$A$2</definedName>
    <definedName name="ValidList_G77">TempLists!$A$1:$A$2</definedName>
    <definedName name="ValidList_G770">TempLists!$A$1:$A$2</definedName>
    <definedName name="ValidList_G771">TempLists!$A$1:$A$5</definedName>
    <definedName name="ValidList_G772">TempLists!$A$1:$A$8</definedName>
    <definedName name="ValidList_G773">TempLists!$A$1:$A$2</definedName>
    <definedName name="ValidList_G774">TempLists!$A$1:$A$2</definedName>
    <definedName name="ValidList_G775">TempLists!$A$1:$A$2</definedName>
    <definedName name="ValidList_G776">TempLists!$A$1:$A$2</definedName>
    <definedName name="ValidList_G777">TempLists!$A$1:$A$2</definedName>
    <definedName name="ValidList_G778">TempLists!$A$1:$A$2</definedName>
    <definedName name="ValidList_G779">TempLists!$A$1:$A$2</definedName>
    <definedName name="ValidList_G78">TempLists!$A$1:$A$2</definedName>
    <definedName name="ValidList_G780">TempLists!$A$1:$A$2</definedName>
    <definedName name="ValidList_G781">TempLists!$A$1:$A$2</definedName>
    <definedName name="ValidList_G782">TempLists!$A$1:$A$2</definedName>
    <definedName name="ValidList_G783">TempLists!$A$1:$A$3</definedName>
    <definedName name="ValidList_G784">TempLists!$A$1:$A$2</definedName>
    <definedName name="ValidList_G785">TempLists!$A$1:$A$2</definedName>
    <definedName name="ValidList_G786">TempLists!$A$1:$A$2</definedName>
    <definedName name="ValidList_G787">TempLists!$A$1:$A$4</definedName>
    <definedName name="ValidList_G788">TempLists!$A$1:$A$2</definedName>
    <definedName name="ValidList_G789">TempLists!$A$1:$A$2</definedName>
    <definedName name="ValidList_G79">TempLists!$A$1:$A$2</definedName>
    <definedName name="ValidList_G790">TempLists!$A$1:$A$2</definedName>
    <definedName name="ValidList_G791">TempLists!$A$1:$A$5</definedName>
    <definedName name="ValidList_G792">TempLists!$A$1:$A$2</definedName>
    <definedName name="ValidList_G793">TempLists!$A$1:$A$3</definedName>
    <definedName name="ValidList_G794">TempLists!$A$1:$A$8</definedName>
    <definedName name="ValidList_G795">TempLists!$A$1:$A$8</definedName>
    <definedName name="ValidList_G796">TempLists!$A$1:$A$5</definedName>
    <definedName name="ValidList_G798">TempLists!$A$1:$A$2</definedName>
    <definedName name="ValidList_G799">TempLists!$A$1:$A$5</definedName>
    <definedName name="ValidList_G8">TempLists!$A$1:$A$2</definedName>
    <definedName name="ValidList_G80">TempLists!$A$1:$A$2</definedName>
    <definedName name="ValidList_G800">TempLists!$A$1:$A$8</definedName>
    <definedName name="ValidList_G801">TempLists!$A$1:$A$2</definedName>
    <definedName name="ValidList_G803">TempLists!$A$1:$A$2</definedName>
    <definedName name="ValidList_G804">TempLists!$A$1:$A$9</definedName>
    <definedName name="ValidList_G809">TempLists!$A$1:$A$2</definedName>
    <definedName name="ValidList_G81">TempLists!$A$1:$A$2</definedName>
    <definedName name="ValidList_G810">TempLists!$A$1:$A$2</definedName>
    <definedName name="ValidList_G811">TempLists!$A$1:$A$2</definedName>
    <definedName name="ValidList_G812">TempLists!$A$1:$A$2</definedName>
    <definedName name="ValidList_G813">TempLists!$A$1:$A$2</definedName>
    <definedName name="ValidList_G817">TempLists!$A$1:$A$2</definedName>
    <definedName name="ValidList_G818">TempLists!$A$1:$A$26</definedName>
    <definedName name="ValidList_G819">TempLists!$A$1:$A$3</definedName>
    <definedName name="ValidList_G82">TempLists!$A$1:$A$2</definedName>
    <definedName name="ValidList_G825">TempLists!$A$1:$A$2</definedName>
    <definedName name="ValidList_G827">TempLists!$A$1:$A$2</definedName>
    <definedName name="ValidList_G828">TempLists!$A$1:$A$2</definedName>
    <definedName name="ValidList_G829">TempLists!$A$1:$A$2</definedName>
    <definedName name="ValidList_G83">TempLists!$A$1:$A$2</definedName>
    <definedName name="ValidList_G830">TempLists!$A$1:$A$2</definedName>
    <definedName name="ValidList_G831">TempLists!$A$1:$A$3</definedName>
    <definedName name="ValidList_G832">TempLists!$A$1:$A$2</definedName>
    <definedName name="ValidList_G834">TempLists!$A$1:$A$3</definedName>
    <definedName name="ValidList_G835">TempLists!$A$1:$A$2</definedName>
    <definedName name="ValidList_G836">TempLists!$A$1:$A$3</definedName>
    <definedName name="ValidList_G838">TempLists!$A$1:$A$2</definedName>
    <definedName name="ValidList_G84">TempLists!$A$1:$A$2</definedName>
    <definedName name="ValidList_G840">TempLists!$A$1:$A$26</definedName>
    <definedName name="ValidList_G841">TempLists!$A$1:$A$26</definedName>
    <definedName name="ValidList_G842">TempLists!$A$1:$A$5</definedName>
    <definedName name="ValidList_G843">TempLists!$A$1:$A$5</definedName>
    <definedName name="ValidList_G844">TempLists!$A$1:$A$2</definedName>
    <definedName name="ValidList_G845">TempLists!$A$1:$A$2</definedName>
    <definedName name="ValidList_G846">TempLists!$A$1:$A$2</definedName>
    <definedName name="ValidList_G849">TempLists!$A$1:$A$4</definedName>
    <definedName name="ValidList_G85">TempLists!$A$1:$A$2</definedName>
    <definedName name="ValidList_G850">TempLists!$A$1:$A$26</definedName>
    <definedName name="ValidList_G851">TempLists!$A$1:$A$2</definedName>
    <definedName name="ValidList_G852">TempLists!$A$1:$A$2</definedName>
    <definedName name="ValidList_G853">TempLists!$A$1:$A$2</definedName>
    <definedName name="ValidList_G854">TempLists!$A$1:$A$2</definedName>
    <definedName name="ValidList_G856">TempLists!$A$1:$A$2</definedName>
    <definedName name="ValidList_G857">TempLists!$A$1:$A$2</definedName>
    <definedName name="ValidList_G859">TempLists!$A$1:$A$2</definedName>
    <definedName name="ValidList_G860">TempLists!$A$1:$A$2</definedName>
    <definedName name="ValidList_G865">TempLists!$A$1:$A$2</definedName>
    <definedName name="ValidList_G876">TempLists!$A$1:$A$2</definedName>
    <definedName name="ValidList_G879">TempLists!$A$1:$A$2</definedName>
    <definedName name="ValidList_G880">TempLists!$A$1:$A$2</definedName>
    <definedName name="ValidList_G885">TempLists!$A$1:$A$2</definedName>
    <definedName name="ValidList_G886">TempLists!$A$1:$A$2</definedName>
    <definedName name="ValidList_G887">TempLists!$A$1:$A$2</definedName>
    <definedName name="ValidList_G890">TempLists!$A$1:$A$2</definedName>
    <definedName name="ValidList_G891">TempLists!$A$1:$A$2</definedName>
    <definedName name="ValidList_G892">TempLists!$A$1:$A$2</definedName>
    <definedName name="ValidList_G893">TempLists!$A$1:$A$2</definedName>
    <definedName name="ValidList_G894">TempLists!$A$1:$A$3</definedName>
    <definedName name="ValidList_G895">TempLists!$A$1:$A$8</definedName>
    <definedName name="ValidList_G896">TempLists!$A$1:$A$2</definedName>
    <definedName name="ValidList_G897">TempLists!$A$1:$A$2</definedName>
    <definedName name="ValidList_G898">TempLists!$A$1:$A$2</definedName>
    <definedName name="ValidList_G899">TempLists!$A$1:$A$2</definedName>
    <definedName name="ValidList_G9">TempLists!$A$1:$A$2</definedName>
    <definedName name="ValidList_G900">TempLists!$A$1:$A$2</definedName>
    <definedName name="ValidList_G901">TempLists!$A$1:$A$2</definedName>
    <definedName name="ValidList_G902">TempLists!$A$1:$A$3</definedName>
    <definedName name="ValidList_G903">TempLists!$A$1:$A$8</definedName>
    <definedName name="ValidList_G904">TempLists!$A$1:$A$8</definedName>
    <definedName name="ValidList_G905">TempLists!$A$1:$A$8</definedName>
    <definedName name="ValidList_G906">TempLists!$A$1:$A$2</definedName>
    <definedName name="ValidList_G907">TempLists!$A$1:$A$2</definedName>
    <definedName name="ValidList_G908">TempLists!$A$1:$A$2</definedName>
    <definedName name="ValidList_G91">TempLists!$A$1:$A$2</definedName>
    <definedName name="ValidList_G910">TempLists!$A$1:$A$2</definedName>
    <definedName name="ValidList_G911">TempLists!$A$1:$A$2</definedName>
    <definedName name="ValidList_G914">TempLists!$A$1:$A$2</definedName>
    <definedName name="ValidList_G916">TempLists!$A$1:$A$2</definedName>
    <definedName name="ValidList_G917">TempLists!$A$1:$A$2</definedName>
    <definedName name="ValidList_G918">TempLists!$A$1:$A$2</definedName>
    <definedName name="ValidList_G919">TempLists!$A$1:$A$8</definedName>
    <definedName name="ValidList_G92">TempLists!$A$1:$A$2</definedName>
    <definedName name="ValidList_G920">TempLists!$A$1:$A$2</definedName>
    <definedName name="ValidList_G921">TempLists!$A$1:$A$2</definedName>
    <definedName name="ValidList_G922">TempLists!$A$1:$A$8</definedName>
    <definedName name="ValidList_G927">TempLists!$A$1:$A$2</definedName>
    <definedName name="ValidList_G928">TempLists!$A$1:$A$2</definedName>
    <definedName name="ValidList_G929">TempLists!$A$1:$A$3</definedName>
    <definedName name="ValidList_G93">TempLists!$A$1:$A$3</definedName>
    <definedName name="ValidList_G930">TempLists!$A$1:$A$2</definedName>
    <definedName name="ValidList_G931">TempLists!$A$1:$A$2</definedName>
    <definedName name="ValidList_G932">TempLists!$A$1:$A$2</definedName>
    <definedName name="ValidList_G933">TempLists!$A$1:$A$2</definedName>
    <definedName name="ValidList_G935">TempLists!$A$1:$A$2</definedName>
    <definedName name="ValidList_G936">TempLists!$A$1:$A$2</definedName>
    <definedName name="ValidList_G937">TempLists!$A$1:$A$2</definedName>
    <definedName name="ValidList_G938">TempLists!$A$1:$A$2</definedName>
    <definedName name="ValidList_G939">TempLists!$A$1:$A$2</definedName>
    <definedName name="ValidList_G94">TempLists!$A$1:$A$2</definedName>
    <definedName name="ValidList_G940">TempLists!$A$1:$A$2</definedName>
    <definedName name="ValidList_G941">TempLists!$A$1:$A$2</definedName>
    <definedName name="ValidList_G942">TempLists!$A$1:$A$2</definedName>
    <definedName name="ValidList_G943">TempLists!$A$1:$A$26</definedName>
    <definedName name="ValidList_G947">TempLists!$A$1:$A$2</definedName>
    <definedName name="ValidList_G949">TempLists!$A$1:$A$2</definedName>
    <definedName name="ValidList_G95">TempLists!$A$1:$A$2</definedName>
    <definedName name="ValidList_G950">TempLists!$A$1:$A$8</definedName>
    <definedName name="ValidList_G951">TempLists!$A$1:$A$5</definedName>
    <definedName name="ValidList_G952">TempLists!$A$1:$A$8</definedName>
    <definedName name="ValidList_G953">TempLists!$A$1:$A$2</definedName>
    <definedName name="ValidList_G954">TempLists!$A$1:$A$2</definedName>
    <definedName name="ValidList_G955">TempLists!$A$1:$A$9</definedName>
    <definedName name="ValidList_G956">TempLists!$A$1:$A$2</definedName>
    <definedName name="ValidList_G957">TempLists!$A$1:$A$3</definedName>
    <definedName name="ValidList_G958">TempLists!$A$1:$A$2</definedName>
    <definedName name="ValidList_G960">TempLists!$A$1:$A$5</definedName>
    <definedName name="ValidList_G961">TempLists!$A$1:$A$5</definedName>
    <definedName name="ValidList_G962">TempLists!$A$1:$A$8</definedName>
    <definedName name="ValidList_G963">TempLists!$A$1:$A$2</definedName>
    <definedName name="ValidList_G964">TempLists!$A$1:$A$8</definedName>
    <definedName name="ValidList_G965">TempLists!$A$1:$A$2</definedName>
    <definedName name="ValidList_G966">TempLists!$A$1:$A$2</definedName>
    <definedName name="ValidList_G974">TempLists!$A$1:$A$2</definedName>
    <definedName name="ValidList_G975">TempLists!$A$1:$A$2</definedName>
    <definedName name="ValidList_G978">TempLists!$A$1:$A$2</definedName>
    <definedName name="ValidList_G979">TempLists!$A$1:$A$2</definedName>
    <definedName name="ValidList_G980">TempLists!$A$1:$A$2</definedName>
    <definedName name="ValidList_G981">TempLists!$A$1:$A$2</definedName>
    <definedName name="ValidList_G982">TempLists!$A$1:$A$2</definedName>
    <definedName name="ValidList_G983">TempLists!$A$1:$A$2</definedName>
    <definedName name="ValidList_G984">TempLists!$A$1:$A$2</definedName>
    <definedName name="ValidList_H10">TempLists!$A$1:$A$3</definedName>
    <definedName name="ValidList_H1005">TempLists!$A$1:$A$2</definedName>
    <definedName name="ValidList_H101">TempLists!$A$1:$A$2</definedName>
    <definedName name="ValidList_H1013">TempLists!$A$1:$A$3</definedName>
    <definedName name="ValidList_H1014">TempLists!$A$1:$A$3</definedName>
    <definedName name="ValidList_H1016">TempLists!$A$1:$A$2</definedName>
    <definedName name="ValidList_H1020">TempLists!$A$1:$A$3</definedName>
    <definedName name="ValidList_H1025">TempLists!$A$1:$A$2</definedName>
    <definedName name="ValidList_H1026">TempLists!$A$1:$A$2</definedName>
    <definedName name="ValidList_H1027">TempLists!$A$1:$A$2</definedName>
    <definedName name="ValidList_H1032">TempLists!$A$1:$A$2</definedName>
    <definedName name="ValidList_H1033">TempLists!$A$1:$A$2</definedName>
    <definedName name="ValidList_H1034">TempLists!$A$1:$A$2</definedName>
    <definedName name="ValidList_H104">TempLists!$A$1:$A$3</definedName>
    <definedName name="ValidList_H105">TempLists!$A$1:$A$2</definedName>
    <definedName name="ValidList_H1051">TempLists!$A$1:$A$3</definedName>
    <definedName name="ValidList_H1056">TempLists!$A$1:$A$2</definedName>
    <definedName name="ValidList_H1057">TempLists!$A$1:$A$2</definedName>
    <definedName name="ValidList_H1068">TempLists!$A$1:$A$3</definedName>
    <definedName name="ValidList_H1072">TempLists!$A$1:$A$2</definedName>
    <definedName name="ValidList_H1075">TempLists!$A$1:$A$2</definedName>
    <definedName name="ValidList_H1082">TempLists!$A$1:$A$2</definedName>
    <definedName name="ValidList_H1083">TempLists!$A$1:$A$2</definedName>
    <definedName name="ValidList_H1104">TempLists!$A$1:$A$2</definedName>
    <definedName name="ValidList_H111">TempLists!$A$1:$A$3</definedName>
    <definedName name="ValidList_H1110">TempLists!$A$1:$A$2</definedName>
    <definedName name="ValidList_H1119">TempLists!$A$1:$A$3</definedName>
    <definedName name="ValidList_H112">TempLists!$A$1:$A$3</definedName>
    <definedName name="ValidList_H119">TempLists!$A$1:$A$2</definedName>
    <definedName name="ValidList_H121">TempLists!$A$1:$A$2</definedName>
    <definedName name="ValidList_H123">TempLists!$A$1:$A$2</definedName>
    <definedName name="ValidList_H124">TempLists!$A$1:$A$2</definedName>
    <definedName name="ValidList_H126">TempLists!$A$1:$A$2</definedName>
    <definedName name="ValidList_H127">TempLists!$A$1:$A$2</definedName>
    <definedName name="ValidList_H128">TempLists!$A$1:$A$2</definedName>
    <definedName name="ValidList_H136">TempLists!$A$1:$A$3</definedName>
    <definedName name="ValidList_H149">TempLists!$A$1:$A$2</definedName>
    <definedName name="ValidList_H151">TempLists!$A$1:$A$2</definedName>
    <definedName name="ValidList_H157">TempLists!$A$1:$A$2</definedName>
    <definedName name="ValidList_H169">TempLists!$A$1:$A$2</definedName>
    <definedName name="ValidList_H17">TempLists!$A$1:$A$2</definedName>
    <definedName name="ValidList_H174">TempLists!$A$1:$A$2</definedName>
    <definedName name="ValidList_H175">TempLists!$A$1:$A$3</definedName>
    <definedName name="ValidList_H176">TempLists!$A$1:$A$2</definedName>
    <definedName name="ValidList_H182">TempLists!$A$1:$A$2</definedName>
    <definedName name="ValidList_H184">TempLists!$A$1:$A$2</definedName>
    <definedName name="ValidList_H187">TempLists!$A$1:$A$2</definedName>
    <definedName name="ValidList_H196">TempLists!$A$1:$A$2</definedName>
    <definedName name="ValidList_H198">TempLists!$A$1:$A$2</definedName>
    <definedName name="ValidList_H204">TempLists!$A$1:$A$2</definedName>
    <definedName name="ValidList_H205">TempLists!$A$1:$A$2</definedName>
    <definedName name="ValidList_H24">TempLists!$A$1:$A$2</definedName>
    <definedName name="ValidList_H275">TempLists!$A$1:$A$2</definedName>
    <definedName name="ValidList_H276">TempLists!$A$1:$A$2</definedName>
    <definedName name="ValidList_H295">TempLists!$A$1:$A$2</definedName>
    <definedName name="ValidList_H297">TempLists!$A$1:$A$2</definedName>
    <definedName name="ValidList_H298">TempLists!$A$1:$A$2</definedName>
    <definedName name="ValidList_H302">TempLists!$A$1:$A$3</definedName>
    <definedName name="ValidList_H303">TempLists!$A$1:$A$2</definedName>
    <definedName name="ValidList_H304">TempLists!$A$1:$A$2</definedName>
    <definedName name="ValidList_H305">TempLists!$A$1:$A$2</definedName>
    <definedName name="ValidList_H306">TempLists!$A$1:$A$3</definedName>
    <definedName name="ValidList_H310">TempLists!$A$1:$A$2</definedName>
    <definedName name="ValidList_H312">TempLists!$A$1:$A$2</definedName>
    <definedName name="ValidList_H328">TempLists!$A$1:$A$2</definedName>
    <definedName name="ValidList_H347">TempLists!$A$1:$A$2</definedName>
    <definedName name="ValidList_H351">TempLists!$A$1:$A$2</definedName>
    <definedName name="ValidList_H352">TempLists!$A$1:$A$2</definedName>
    <definedName name="ValidList_H353">TempLists!$A$1:$A$3</definedName>
    <definedName name="ValidList_H354">TempLists!$A$1:$A$2</definedName>
    <definedName name="ValidList_H355">TempLists!$A$1:$A$2</definedName>
    <definedName name="ValidList_H358">TempLists!$A$1:$A$3</definedName>
    <definedName name="ValidList_H361">TempLists!$A$1:$A$2</definedName>
    <definedName name="ValidList_H363">TempLists!$A$1:$A$2</definedName>
    <definedName name="ValidList_H365">TempLists!$A$1:$A$2</definedName>
    <definedName name="ValidList_H380">TempLists!$A$1:$A$2</definedName>
    <definedName name="ValidList_H381">TempLists!$A$1:$A$2</definedName>
    <definedName name="ValidList_H382">TempLists!$A$1:$A$2</definedName>
    <definedName name="ValidList_H389">TempLists!$A$1:$A$2</definedName>
    <definedName name="ValidList_H392">TempLists!$A$1:$A$3</definedName>
    <definedName name="ValidList_H393">TempLists!$A$1:$A$2</definedName>
    <definedName name="ValidList_H394">TempLists!$A$1:$A$2</definedName>
    <definedName name="ValidList_H395">TempLists!$A$1:$A$3</definedName>
    <definedName name="ValidList_H396">TempLists!$A$1:$A$2</definedName>
    <definedName name="ValidList_H409">TempLists!$A$1:$A$3</definedName>
    <definedName name="ValidList_H418">TempLists!$A$1:$A$2</definedName>
    <definedName name="ValidList_H420">TempLists!$A$1:$A$2</definedName>
    <definedName name="ValidList_H430">TempLists!$A$1:$A$2</definedName>
    <definedName name="ValidList_H431">TempLists!$A$1:$A$2</definedName>
    <definedName name="ValidList_H432">TempLists!$A$1:$A$2</definedName>
    <definedName name="ValidList_H433">TempLists!$A$1:$A$2</definedName>
    <definedName name="ValidList_H443">TempLists!$A$1:$A$2</definedName>
    <definedName name="ValidList_H445">TempLists!$A$1:$A$2</definedName>
    <definedName name="ValidList_H448">TempLists!$A$1:$A$2</definedName>
    <definedName name="ValidList_H451">TempLists!$A$1:$A$2</definedName>
    <definedName name="ValidList_H452">TempLists!$A$1:$A$2</definedName>
    <definedName name="ValidList_H454">TempLists!$A$1:$A$2</definedName>
    <definedName name="ValidList_H456">TempLists!$A$1:$A$2</definedName>
    <definedName name="ValidList_H457">TempLists!$A$1:$A$2</definedName>
    <definedName name="ValidList_H458">TempLists!$A$1:$A$2</definedName>
    <definedName name="ValidList_H459">TempLists!$A$1:$A$2</definedName>
    <definedName name="ValidList_H461">TempLists!$A$1:$A$2</definedName>
    <definedName name="ValidList_H462">TempLists!$A$1:$A$2</definedName>
    <definedName name="ValidList_H465">TempLists!$A$1:$A$2</definedName>
    <definedName name="ValidList_H467">TempLists!$A$1:$A$2</definedName>
    <definedName name="ValidList_H468">TempLists!$A$1:$A$2</definedName>
    <definedName name="ValidList_H469">TempLists!$A$1:$A$2</definedName>
    <definedName name="ValidList_H477">TempLists!$A$1:$A$2</definedName>
    <definedName name="ValidList_H483">TempLists!$A$1:$A$2</definedName>
    <definedName name="ValidList_H486">TempLists!$A$1:$A$2</definedName>
    <definedName name="ValidList_H5">TempLists!$A$1:$A$2</definedName>
    <definedName name="ValidList_H511">TempLists!$A$1:$A$2</definedName>
    <definedName name="ValidList_H517">TempLists!$A$1:$A$2</definedName>
    <definedName name="ValidList_H524">TempLists!$A$1:$A$2</definedName>
    <definedName name="ValidList_H539">TempLists!$A$1:$A$3</definedName>
    <definedName name="ValidList_H540">TempLists!$A$1:$A$2</definedName>
    <definedName name="ValidList_H544">TempLists!$A$1:$A$3</definedName>
    <definedName name="ValidList_H546">TempLists!$A$1:$A$2</definedName>
    <definedName name="ValidList_H550">TempLists!$A$1:$A$2</definedName>
    <definedName name="ValidList_H556">TempLists!$A$1:$A$2</definedName>
    <definedName name="ValidList_H562">TempLists!$A$1:$A$2</definedName>
    <definedName name="ValidList_H567">TempLists!$A$1:$A$2</definedName>
    <definedName name="ValidList_H569">TempLists!$A$1:$A$2</definedName>
    <definedName name="ValidList_H574">TempLists!$A$1:$A$2</definedName>
    <definedName name="ValidList_H576">TempLists!$A$1:$A$2</definedName>
    <definedName name="ValidList_H586">TempLists!$A$1:$A$2</definedName>
    <definedName name="ValidList_H589">TempLists!$A$1:$A$2</definedName>
    <definedName name="ValidList_H592">TempLists!$A$1:$A$2</definedName>
    <definedName name="ValidList_H6">TempLists!$A$1:$A$2</definedName>
    <definedName name="ValidList_H604">TempLists!$A$1:$A$2</definedName>
    <definedName name="ValidList_H606">TempLists!$A$1:$A$2</definedName>
    <definedName name="ValidList_H616">TempLists!$A$1:$A$2</definedName>
    <definedName name="ValidList_H631">TempLists!$A$1:$A$3</definedName>
    <definedName name="ValidList_H634">TempLists!$A$1:$A$2</definedName>
    <definedName name="ValidList_H635">TempLists!$A$1:$A$2</definedName>
    <definedName name="ValidList_H636">TempLists!$A$1:$A$2</definedName>
    <definedName name="ValidList_H637">TempLists!$A$1:$A$3</definedName>
    <definedName name="ValidList_H646">TempLists!$A$1:$A$2</definedName>
    <definedName name="ValidList_H647">TempLists!$A$1:$A$2</definedName>
    <definedName name="ValidList_H648">TempLists!$A$1:$A$2</definedName>
    <definedName name="ValidList_H649">TempLists!$A$1:$A$2</definedName>
    <definedName name="ValidList_H650">TempLists!$A$1:$A$2</definedName>
    <definedName name="ValidList_H656">TempLists!$A$1:$A$3</definedName>
    <definedName name="ValidList_H657">TempLists!$A$1:$A$3</definedName>
    <definedName name="ValidList_H659">TempLists!$A$1:$A$2</definedName>
    <definedName name="ValidList_H672">TempLists!$A$1:$A$2</definedName>
    <definedName name="ValidList_H678">TempLists!$A$1:$A$2</definedName>
    <definedName name="ValidList_H681">TempLists!$A$1:$A$2</definedName>
    <definedName name="ValidList_H691">TempLists!$A$1:$A$2</definedName>
    <definedName name="ValidList_H693">TempLists!$A$1:$A$2</definedName>
    <definedName name="ValidList_H7">TempLists!$A$1:$A$2</definedName>
    <definedName name="ValidList_H702">TempLists!$A$1:$A$2</definedName>
    <definedName name="ValidList_H716">TempLists!$A$1:$A$2</definedName>
    <definedName name="ValidList_H717">TempLists!$A$1:$A$2</definedName>
    <definedName name="ValidList_H719">TempLists!$A$1:$A$2</definedName>
    <definedName name="ValidList_H720">TempLists!$A$1:$A$2</definedName>
    <definedName name="ValidList_H721">TempLists!$A$1:$A$2</definedName>
    <definedName name="ValidList_H733">TempLists!$A$1:$A$2</definedName>
    <definedName name="ValidList_H735">TempLists!$A$1:$A$2</definedName>
    <definedName name="ValidList_H736">TempLists!$A$1:$A$2</definedName>
    <definedName name="ValidList_H744">TempLists!$A$1:$A$2</definedName>
    <definedName name="ValidList_H746">TempLists!$A$1:$A$2</definedName>
    <definedName name="ValidList_H752">TempLists!$A$1:$A$2</definedName>
    <definedName name="ValidList_H754">TempLists!$A$1:$A$2</definedName>
    <definedName name="ValidList_H756">TempLists!$A$1:$A$3</definedName>
    <definedName name="ValidList_H757">TempLists!$A$1:$A$2</definedName>
    <definedName name="ValidList_H758">TempLists!$A$1:$A$2</definedName>
    <definedName name="ValidList_H769">TempLists!$A$1:$A$2</definedName>
    <definedName name="ValidList_H770">TempLists!$A$1:$A$2</definedName>
    <definedName name="ValidList_H775">TempLists!$A$1:$A$2</definedName>
    <definedName name="ValidList_H777">TempLists!$A$1:$A$2</definedName>
    <definedName name="ValidList_H778">TempLists!$A$1:$A$2</definedName>
    <definedName name="ValidList_H779">TempLists!$A$1:$A$2</definedName>
    <definedName name="ValidList_H780">TempLists!$A$1:$A$2</definedName>
    <definedName name="ValidList_H781">TempLists!$A$1:$A$3</definedName>
    <definedName name="ValidList_H782">TempLists!$A$1:$A$2</definedName>
    <definedName name="ValidList_H785">TempLists!$A$1:$A$3</definedName>
    <definedName name="ValidList_H789">TempLists!$A$1:$A$2</definedName>
    <definedName name="ValidList_H790">TempLists!$A$1:$A$2</definedName>
    <definedName name="ValidList_H799">TempLists!$A$1:$A$2</definedName>
    <definedName name="ValidList_H8">TempLists!$A$1:$A$2</definedName>
    <definedName name="ValidList_H80">TempLists!$A$1:$A$2</definedName>
    <definedName name="ValidList_H801">TempLists!$A$1:$A$3</definedName>
    <definedName name="ValidList_H803">TempLists!$A$1:$A$3</definedName>
    <definedName name="ValidList_H809">TempLists!$A$1:$A$2</definedName>
    <definedName name="ValidList_H817">TempLists!$A$1:$A$2</definedName>
    <definedName name="ValidList_H825">TempLists!$A$1:$A$2</definedName>
    <definedName name="ValidList_H832">TempLists!$A$1:$A$2</definedName>
    <definedName name="ValidList_H834">TempLists!$A$1:$A$2</definedName>
    <definedName name="ValidList_H835">TempLists!$A$1:$A$2</definedName>
    <definedName name="ValidList_H841">TempLists!$A$1:$A$3</definedName>
    <definedName name="ValidList_H844">TempLists!$A$1:$A$2</definedName>
    <definedName name="ValidList_H846">TempLists!$A$1:$A$2</definedName>
    <definedName name="ValidList_H851">TempLists!$A$1:$A$2</definedName>
    <definedName name="ValidList_H865">TempLists!$A$1:$A$2</definedName>
    <definedName name="ValidList_H886">TempLists!$A$1:$A$3</definedName>
    <definedName name="ValidList_H891">TempLists!$A$1:$A$3</definedName>
    <definedName name="ValidList_H892">TempLists!$A$1:$A$2</definedName>
    <definedName name="ValidList_H896">TempLists!$A$1:$A$2</definedName>
    <definedName name="ValidList_H899">TempLists!$A$1:$A$2</definedName>
    <definedName name="ValidList_H9">TempLists!$A$1:$A$2</definedName>
    <definedName name="ValidList_H900">TempLists!$A$1:$A$2</definedName>
    <definedName name="ValidList_H901">TempLists!$A$1:$A$2</definedName>
    <definedName name="ValidList_H914">TempLists!$A$1:$A$2</definedName>
    <definedName name="ValidList_H916">TempLists!$A$1:$A$3</definedName>
    <definedName name="ValidList_H917">TempLists!$A$1:$A$2</definedName>
    <definedName name="ValidList_H918">TempLists!$A$1:$A$2</definedName>
    <definedName name="ValidList_H92">TempLists!$A$1:$A$2</definedName>
    <definedName name="ValidList_H920">TempLists!$A$1:$A$2</definedName>
    <definedName name="ValidList_H921">TempLists!$A$1:$A$3</definedName>
    <definedName name="ValidList_H923">TempLists!$A$1:$A$2</definedName>
    <definedName name="ValidList_H936">TempLists!$A$1:$A$2</definedName>
    <definedName name="ValidList_H937">TempLists!$A$1:$A$2</definedName>
    <definedName name="ValidList_H939">TempLists!$A$1:$A$2</definedName>
    <definedName name="ValidList_H940">TempLists!$A$1:$A$3</definedName>
    <definedName name="ValidList_H942">TempLists!$A$1:$A$2</definedName>
    <definedName name="ValidList_H944">TempLists!$A$1:$A$2</definedName>
    <definedName name="ValidList_H947">TempLists!$A$1:$A$2</definedName>
    <definedName name="ValidList_H949">TempLists!$A$1:$A$2</definedName>
    <definedName name="ValidList_H95">TempLists!$A$1:$A$2</definedName>
    <definedName name="ValidList_H953">TempLists!$A$1:$A$2</definedName>
    <definedName name="ValidList_H96">TempLists!$A$1:$A$2</definedName>
    <definedName name="ValidList_H963">TempLists!$A$1:$A$2</definedName>
    <definedName name="ValidList_H966">TempLists!$A$1:$A$2</definedName>
    <definedName name="ValidList_H974">TempLists!$A$1:$A$2</definedName>
    <definedName name="ValidList_H978">TempLists!$A$1:$A$3</definedName>
    <definedName name="ValidList_H979">TempLists!$A$1:$A$3</definedName>
    <definedName name="ValidList_H980">TempLists!$A$1:$A$3</definedName>
    <definedName name="ValidList_H981">TempLists!$A$1:$A$2</definedName>
    <definedName name="ValidList_H982">TempLists!$A$1:$A$2</definedName>
    <definedName name="ValidList_H984">TempLists!$A$1:$A$2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475" i="1" l="1"/>
  <c r="AD475" i="1"/>
  <c r="AD789" i="1"/>
  <c r="AH789" i="1"/>
  <c r="AD1013" i="1"/>
  <c r="AH1013" i="1"/>
  <c r="AD374" i="1"/>
  <c r="AH374" i="1"/>
  <c r="AH665" i="1"/>
  <c r="AH476" i="1"/>
  <c r="E139" i="8"/>
  <c r="E269" i="8"/>
  <c r="E268" i="8"/>
  <c r="E339" i="8"/>
  <c r="F45" i="7"/>
  <c r="E367" i="8"/>
  <c r="AH335" i="1"/>
  <c r="AD1501" i="1"/>
  <c r="AH334" i="1"/>
  <c r="AD334" i="1"/>
  <c r="AD333" i="1"/>
  <c r="AD335" i="1"/>
  <c r="F55" i="7"/>
  <c r="E362" i="8"/>
  <c r="AD271" i="1"/>
  <c r="AH271" i="1"/>
  <c r="AD272" i="1"/>
  <c r="AH272" i="1"/>
  <c r="AD241" i="1"/>
  <c r="AH241" i="1"/>
  <c r="E360" i="8"/>
  <c r="E363" i="8"/>
  <c r="E417" i="8"/>
  <c r="E418" i="8"/>
  <c r="E419" i="8"/>
  <c r="E420" i="8"/>
  <c r="E314" i="8"/>
  <c r="E415" i="8"/>
  <c r="E496" i="8"/>
  <c r="E497" i="8"/>
  <c r="E498" i="8"/>
  <c r="R131" i="1"/>
  <c r="E409" i="8"/>
  <c r="E410" i="8"/>
  <c r="R58" i="1"/>
  <c r="E457" i="8" l="1"/>
  <c r="E120" i="8"/>
  <c r="E384" i="8"/>
  <c r="E108" i="8"/>
  <c r="E218" i="8"/>
  <c r="E484" i="8"/>
  <c r="E511" i="8"/>
  <c r="E577" i="8"/>
  <c r="E514" i="8"/>
  <c r="F24" i="7"/>
  <c r="F25" i="7"/>
  <c r="E15" i="8"/>
  <c r="E16" i="8"/>
  <c r="E9" i="8"/>
  <c r="E41" i="8"/>
  <c r="E625" i="8"/>
  <c r="E624" i="8"/>
  <c r="E11" i="8"/>
  <c r="E12" i="8"/>
  <c r="E13" i="8"/>
  <c r="AH4" i="1"/>
  <c r="AH5" i="1"/>
  <c r="AH6" i="1"/>
  <c r="AH7" i="1"/>
  <c r="AH8" i="1"/>
  <c r="AH9" i="1"/>
  <c r="AH10" i="1"/>
  <c r="AH11" i="1"/>
  <c r="AH12" i="1"/>
  <c r="AH13" i="1"/>
  <c r="AH14" i="1"/>
  <c r="AH15" i="1"/>
  <c r="AH16" i="1"/>
  <c r="AH17" i="1"/>
  <c r="AH18" i="1"/>
  <c r="AH19" i="1"/>
  <c r="AH20" i="1"/>
  <c r="AH21" i="1"/>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001" i="1"/>
  <c r="AH1002" i="1"/>
  <c r="AH1003" i="1"/>
  <c r="AH1004" i="1"/>
  <c r="AH1005" i="1"/>
  <c r="AH1006" i="1"/>
  <c r="AH1007" i="1"/>
  <c r="AH1008" i="1"/>
  <c r="AH1009" i="1"/>
  <c r="AH1010" i="1"/>
  <c r="AH1011" i="1"/>
  <c r="AH1012" i="1"/>
  <c r="AH1014" i="1"/>
  <c r="AH1015" i="1"/>
  <c r="AH1016" i="1"/>
  <c r="AH1017" i="1"/>
  <c r="AH1018" i="1"/>
  <c r="AH1019" i="1"/>
  <c r="AH1020" i="1"/>
  <c r="AH1021" i="1"/>
  <c r="AH1022" i="1"/>
  <c r="AH1023" i="1"/>
  <c r="AH1024" i="1"/>
  <c r="AH1025" i="1"/>
  <c r="AH1026" i="1"/>
  <c r="AH1027" i="1"/>
  <c r="AH1028" i="1"/>
  <c r="AH1029" i="1"/>
  <c r="AH1030" i="1"/>
  <c r="AH1031" i="1"/>
  <c r="AH1032" i="1"/>
  <c r="AH1033" i="1"/>
  <c r="AH1034" i="1"/>
  <c r="AH1035" i="1"/>
  <c r="AH1036" i="1"/>
  <c r="AH1037" i="1"/>
  <c r="AH1038" i="1"/>
  <c r="AH1039" i="1"/>
  <c r="AH1040" i="1"/>
  <c r="AH1041" i="1"/>
  <c r="AH1042" i="1"/>
  <c r="AH1043" i="1"/>
  <c r="AH1044" i="1"/>
  <c r="AH1045" i="1"/>
  <c r="AH1046" i="1"/>
  <c r="AH1047" i="1"/>
  <c r="AH1048" i="1"/>
  <c r="AH1049" i="1"/>
  <c r="AH1050" i="1"/>
  <c r="AH1051" i="1"/>
  <c r="AH1052" i="1"/>
  <c r="AH1053" i="1"/>
  <c r="AH1054" i="1"/>
  <c r="AH1055" i="1"/>
  <c r="AH1056" i="1"/>
  <c r="AH1057" i="1"/>
  <c r="AH1058" i="1"/>
  <c r="AH1059" i="1"/>
  <c r="AH1060" i="1"/>
  <c r="AH1061" i="1"/>
  <c r="AH1062" i="1"/>
  <c r="AH1063" i="1"/>
  <c r="AH1064" i="1"/>
  <c r="AH1065" i="1"/>
  <c r="AH1066" i="1"/>
  <c r="AH1067" i="1"/>
  <c r="AH1068" i="1"/>
  <c r="AH1069" i="1"/>
  <c r="AH1070" i="1"/>
  <c r="AH1071" i="1"/>
  <c r="AH1072" i="1"/>
  <c r="AH1073" i="1"/>
  <c r="AH1074" i="1"/>
  <c r="AH1075" i="1"/>
  <c r="AH1076" i="1"/>
  <c r="AH1077" i="1"/>
  <c r="AH1078" i="1"/>
  <c r="AH1079" i="1"/>
  <c r="AH1080" i="1"/>
  <c r="AH1081" i="1"/>
  <c r="AH1082" i="1"/>
  <c r="AH1083" i="1"/>
  <c r="AH1084" i="1"/>
  <c r="AH1085" i="1"/>
  <c r="AH1086" i="1"/>
  <c r="AH1087" i="1"/>
  <c r="AH1088" i="1"/>
  <c r="AH1089" i="1"/>
  <c r="AH1090" i="1"/>
  <c r="AH1091" i="1"/>
  <c r="AH1092" i="1"/>
  <c r="AH1093" i="1"/>
  <c r="AH1094" i="1"/>
  <c r="AH1095" i="1"/>
  <c r="AH1096" i="1"/>
  <c r="AH1097" i="1"/>
  <c r="AH1098" i="1"/>
  <c r="AH1099" i="1"/>
  <c r="AH1100" i="1"/>
  <c r="AH1101" i="1"/>
  <c r="AH1102" i="1"/>
  <c r="AH1103" i="1"/>
  <c r="AH1104" i="1"/>
  <c r="AH1105" i="1"/>
  <c r="AH1106" i="1"/>
  <c r="AH1107" i="1"/>
  <c r="AH1108" i="1"/>
  <c r="AH1109" i="1"/>
  <c r="AH1110" i="1"/>
  <c r="AH1111" i="1"/>
  <c r="AH1112" i="1"/>
  <c r="AH1113" i="1"/>
  <c r="AH1114" i="1"/>
  <c r="AH1115" i="1"/>
  <c r="AH1116" i="1"/>
  <c r="AH1117" i="1"/>
  <c r="AH1118" i="1"/>
  <c r="AH1119" i="1"/>
  <c r="AH1120" i="1"/>
  <c r="AH1121" i="1"/>
  <c r="AH1122" i="1"/>
  <c r="AH1123" i="1"/>
  <c r="AH1124" i="1"/>
  <c r="AH1125" i="1"/>
  <c r="AH1126" i="1"/>
  <c r="AH1127" i="1"/>
  <c r="AH1128" i="1"/>
  <c r="AH1129" i="1"/>
  <c r="AH1130" i="1"/>
  <c r="AH1131" i="1"/>
  <c r="AH1132" i="1"/>
  <c r="AH1133" i="1"/>
  <c r="AH1134" i="1"/>
  <c r="AH1135" i="1"/>
  <c r="AH1136" i="1"/>
  <c r="AH1137" i="1"/>
  <c r="AH1138" i="1"/>
  <c r="AH1139" i="1"/>
  <c r="AH1140" i="1"/>
  <c r="AH1141" i="1"/>
  <c r="AH1142" i="1"/>
  <c r="AH1143" i="1"/>
  <c r="AH1144" i="1"/>
  <c r="AH1145" i="1"/>
  <c r="AH1146" i="1"/>
  <c r="AH1147" i="1"/>
  <c r="AH1148" i="1"/>
  <c r="AH1149" i="1"/>
  <c r="AH1150" i="1"/>
  <c r="AH1151" i="1"/>
  <c r="AH1152" i="1"/>
  <c r="AH1153" i="1"/>
  <c r="AH1154" i="1"/>
  <c r="AH1155" i="1"/>
  <c r="AH1156" i="1"/>
  <c r="AH1157" i="1"/>
  <c r="AH1158" i="1"/>
  <c r="AH1159" i="1"/>
  <c r="AH1160" i="1"/>
  <c r="AH1161" i="1"/>
  <c r="AH1162" i="1"/>
  <c r="AH1163" i="1"/>
  <c r="AH1164" i="1"/>
  <c r="AH1165" i="1"/>
  <c r="AH1166" i="1"/>
  <c r="AH1167" i="1"/>
  <c r="AH1168" i="1"/>
  <c r="AH1169" i="1"/>
  <c r="AH1170" i="1"/>
  <c r="AH1171" i="1"/>
  <c r="AH1172" i="1"/>
  <c r="AH1173" i="1"/>
  <c r="AH1174" i="1"/>
  <c r="AH1175" i="1"/>
  <c r="AH1176" i="1"/>
  <c r="AH1177" i="1"/>
  <c r="AH1178" i="1"/>
  <c r="AH1179" i="1"/>
  <c r="AH1180" i="1"/>
  <c r="AH1181" i="1"/>
  <c r="AH1182" i="1"/>
  <c r="AH1183" i="1"/>
  <c r="AH1184" i="1"/>
  <c r="AH1185" i="1"/>
  <c r="AH1186" i="1"/>
  <c r="AH1187" i="1"/>
  <c r="AH1188" i="1"/>
  <c r="AH1189" i="1"/>
  <c r="AH1190" i="1"/>
  <c r="AH1191" i="1"/>
  <c r="AH1192" i="1"/>
  <c r="AH1193" i="1"/>
  <c r="AH1194" i="1"/>
  <c r="AH1195" i="1"/>
  <c r="AH1196" i="1"/>
  <c r="AH1197" i="1"/>
  <c r="AH1198" i="1"/>
  <c r="AH1199" i="1"/>
  <c r="AH1200" i="1"/>
  <c r="AH1201" i="1"/>
  <c r="AH1202" i="1"/>
  <c r="AH1203" i="1"/>
  <c r="AH1204" i="1"/>
  <c r="AH1205" i="1"/>
  <c r="AH1206" i="1"/>
  <c r="AH1207" i="1"/>
  <c r="AH1208" i="1"/>
  <c r="AH1209" i="1"/>
  <c r="AH1210" i="1"/>
  <c r="AH1211" i="1"/>
  <c r="AH1212" i="1"/>
  <c r="AH1213" i="1"/>
  <c r="AH1214" i="1"/>
  <c r="AH1215" i="1"/>
  <c r="AH1216" i="1"/>
  <c r="AH1217" i="1"/>
  <c r="AH1218" i="1"/>
  <c r="AH1219" i="1"/>
  <c r="AH1220" i="1"/>
  <c r="AH1221" i="1"/>
  <c r="AH1222" i="1"/>
  <c r="AH1223" i="1"/>
  <c r="AH1224" i="1"/>
  <c r="AH1225" i="1"/>
  <c r="AH1226" i="1"/>
  <c r="AH1227" i="1"/>
  <c r="AH1228" i="1"/>
  <c r="AH1229" i="1"/>
  <c r="AH1230" i="1"/>
  <c r="AH1231" i="1"/>
  <c r="AH1232" i="1"/>
  <c r="AH1233" i="1"/>
  <c r="AH1234" i="1"/>
  <c r="AH1235" i="1"/>
  <c r="AH1236" i="1"/>
  <c r="AH1237" i="1"/>
  <c r="AH1238" i="1"/>
  <c r="AH1239" i="1"/>
  <c r="AH1240" i="1"/>
  <c r="AH1241" i="1"/>
  <c r="AH1242" i="1"/>
  <c r="AH1243" i="1"/>
  <c r="AH1244" i="1"/>
  <c r="AH1245" i="1"/>
  <c r="AH1246" i="1"/>
  <c r="AH1247" i="1"/>
  <c r="AH1248" i="1"/>
  <c r="AH1249" i="1"/>
  <c r="AH1250" i="1"/>
  <c r="AH1251" i="1"/>
  <c r="AH1252" i="1"/>
  <c r="AH1253" i="1"/>
  <c r="AH1254" i="1"/>
  <c r="AH1255" i="1"/>
  <c r="AH1256" i="1"/>
  <c r="AH1257" i="1"/>
  <c r="AH1258" i="1"/>
  <c r="AH1259" i="1"/>
  <c r="AH1260" i="1"/>
  <c r="AH1261" i="1"/>
  <c r="AH1262" i="1"/>
  <c r="AH1263" i="1"/>
  <c r="AH1264" i="1"/>
  <c r="AH1265" i="1"/>
  <c r="AH1266" i="1"/>
  <c r="AH1267" i="1"/>
  <c r="AH1268" i="1"/>
  <c r="AH1269" i="1"/>
  <c r="AH1270" i="1"/>
  <c r="AH1271" i="1"/>
  <c r="AH1272" i="1"/>
  <c r="AH1273" i="1"/>
  <c r="AH1274" i="1"/>
  <c r="AH1275" i="1"/>
  <c r="AH1276" i="1"/>
  <c r="AH1277" i="1"/>
  <c r="AH1278" i="1"/>
  <c r="AH1279" i="1"/>
  <c r="AH1280" i="1"/>
  <c r="AH1281" i="1"/>
  <c r="AH1282" i="1"/>
  <c r="AH1283" i="1"/>
  <c r="AH1284" i="1"/>
  <c r="AH1285" i="1"/>
  <c r="AH1286" i="1"/>
  <c r="AH1287" i="1"/>
  <c r="AH1288" i="1"/>
  <c r="AH1289" i="1"/>
  <c r="AH1290" i="1"/>
  <c r="AH1291" i="1"/>
  <c r="AH1292" i="1"/>
  <c r="AH1293" i="1"/>
  <c r="AH1294" i="1"/>
  <c r="AH1295" i="1"/>
  <c r="AH1296" i="1"/>
  <c r="AH1297" i="1"/>
  <c r="AH1298" i="1"/>
  <c r="AH1299" i="1"/>
  <c r="AH1300" i="1"/>
  <c r="AH1301" i="1"/>
  <c r="AH1302" i="1"/>
  <c r="AH1303" i="1"/>
  <c r="AH1304" i="1"/>
  <c r="AH1305" i="1"/>
  <c r="AH1306" i="1"/>
  <c r="AH1307" i="1"/>
  <c r="AH1308" i="1"/>
  <c r="AH1309" i="1"/>
  <c r="AH1310" i="1"/>
  <c r="AH1311" i="1"/>
  <c r="AH1312" i="1"/>
  <c r="AH1313" i="1"/>
  <c r="AH1314" i="1"/>
  <c r="AH1315" i="1"/>
  <c r="AH1316" i="1"/>
  <c r="AH1317" i="1"/>
  <c r="AH1318" i="1"/>
  <c r="AH1319" i="1"/>
  <c r="AH1320" i="1"/>
  <c r="AH1321" i="1"/>
  <c r="AH1322" i="1"/>
  <c r="AH1323" i="1"/>
  <c r="AH1324" i="1"/>
  <c r="AH1325" i="1"/>
  <c r="AH1326" i="1"/>
  <c r="AH1327" i="1"/>
  <c r="AH1328" i="1"/>
  <c r="AH1329" i="1"/>
  <c r="AH1330" i="1"/>
  <c r="AH1331" i="1"/>
  <c r="AH1332" i="1"/>
  <c r="AH1333" i="1"/>
  <c r="AH1334" i="1"/>
  <c r="AH1335" i="1"/>
  <c r="AH1336" i="1"/>
  <c r="AH1337" i="1"/>
  <c r="AH1338" i="1"/>
  <c r="AH1339" i="1"/>
  <c r="AH1340" i="1"/>
  <c r="AH1341" i="1"/>
  <c r="AH1342" i="1"/>
  <c r="AH1343" i="1"/>
  <c r="AH1344" i="1"/>
  <c r="AH1345" i="1"/>
  <c r="AH1346" i="1"/>
  <c r="AH1347" i="1"/>
  <c r="AH1348" i="1"/>
  <c r="AH1349" i="1"/>
  <c r="AH1350" i="1"/>
  <c r="AH1351" i="1"/>
  <c r="AH1352" i="1"/>
  <c r="AH1353" i="1"/>
  <c r="AH1354" i="1"/>
  <c r="AH1355" i="1"/>
  <c r="AH1356" i="1"/>
  <c r="AH1357" i="1"/>
  <c r="AH1358" i="1"/>
  <c r="AH1359" i="1"/>
  <c r="AH1360" i="1"/>
  <c r="AH1361" i="1"/>
  <c r="AH1362" i="1"/>
  <c r="AH1363" i="1"/>
  <c r="AH1364" i="1"/>
  <c r="AH1365" i="1"/>
  <c r="AH1366" i="1"/>
  <c r="AH1367" i="1"/>
  <c r="AH1368" i="1"/>
  <c r="AH1369" i="1"/>
  <c r="AH1370" i="1"/>
  <c r="AH1371" i="1"/>
  <c r="AH1372" i="1"/>
  <c r="AH1373" i="1"/>
  <c r="AH1374" i="1"/>
  <c r="AH1375" i="1"/>
  <c r="AH1376" i="1"/>
  <c r="AH1377" i="1"/>
  <c r="AH1378" i="1"/>
  <c r="AH1379" i="1"/>
  <c r="AH1380" i="1"/>
  <c r="AH1381" i="1"/>
  <c r="AH1382" i="1"/>
  <c r="AH1383" i="1"/>
  <c r="AH1384" i="1"/>
  <c r="AH1385" i="1"/>
  <c r="AH1386" i="1"/>
  <c r="AH1387" i="1"/>
  <c r="AH1388" i="1"/>
  <c r="AH1389" i="1"/>
  <c r="AH1390" i="1"/>
  <c r="AH1391" i="1"/>
  <c r="AH1392" i="1"/>
  <c r="AH1393" i="1"/>
  <c r="AH1394" i="1"/>
  <c r="AH1395" i="1"/>
  <c r="AH1396" i="1"/>
  <c r="AH1397" i="1"/>
  <c r="AH1398" i="1"/>
  <c r="AH1399" i="1"/>
  <c r="AH1400" i="1"/>
  <c r="AH1401" i="1"/>
  <c r="AH1402" i="1"/>
  <c r="AH1403" i="1"/>
  <c r="AH1404" i="1"/>
  <c r="AH1405" i="1"/>
  <c r="AH1406" i="1"/>
  <c r="AH1407" i="1"/>
  <c r="AH1408" i="1"/>
  <c r="AH1409" i="1"/>
  <c r="AH1410" i="1"/>
  <c r="AH1411" i="1"/>
  <c r="AH1412" i="1"/>
  <c r="AH1413" i="1"/>
  <c r="AH1414" i="1"/>
  <c r="AH1415" i="1"/>
  <c r="AH1416" i="1"/>
  <c r="AH1417" i="1"/>
  <c r="AH1418" i="1"/>
  <c r="AH1419" i="1"/>
  <c r="AH1420" i="1"/>
  <c r="AH1421" i="1"/>
  <c r="AH1422" i="1"/>
  <c r="AH1423" i="1"/>
  <c r="AH1424" i="1"/>
  <c r="AH1425" i="1"/>
  <c r="AH1426" i="1"/>
  <c r="AH1427" i="1"/>
  <c r="AH1428" i="1"/>
  <c r="AH1429" i="1"/>
  <c r="AH1430" i="1"/>
  <c r="AH1431" i="1"/>
  <c r="AH1432" i="1"/>
  <c r="AH1433" i="1"/>
  <c r="AH1434" i="1"/>
  <c r="AH1435" i="1"/>
  <c r="AH1436" i="1"/>
  <c r="AH1437" i="1"/>
  <c r="AH1438" i="1"/>
  <c r="AH1439" i="1"/>
  <c r="AH1440" i="1"/>
  <c r="AH1441" i="1"/>
  <c r="AH1442" i="1"/>
  <c r="AH1443" i="1"/>
  <c r="AH1444" i="1"/>
  <c r="AH1445" i="1"/>
  <c r="AH1446" i="1"/>
  <c r="AH1447" i="1"/>
  <c r="AH1448" i="1"/>
  <c r="AH1449" i="1"/>
  <c r="AH1450" i="1"/>
  <c r="AH1451" i="1"/>
  <c r="AH1452" i="1"/>
  <c r="AH1453" i="1"/>
  <c r="AH1454" i="1"/>
  <c r="AH1455" i="1"/>
  <c r="AH1456" i="1"/>
  <c r="AH1457" i="1"/>
  <c r="AH1458" i="1"/>
  <c r="AH1459" i="1"/>
  <c r="AH1460" i="1"/>
  <c r="AH1461" i="1"/>
  <c r="AH1462" i="1"/>
  <c r="AH1463" i="1"/>
  <c r="AH1464" i="1"/>
  <c r="AH1465" i="1"/>
  <c r="AH1466" i="1"/>
  <c r="AH1467" i="1"/>
  <c r="AH1468" i="1"/>
  <c r="AH1469" i="1"/>
  <c r="AH1470" i="1"/>
  <c r="AH1471" i="1"/>
  <c r="AH1472" i="1"/>
  <c r="AH1473" i="1"/>
  <c r="AH1474" i="1"/>
  <c r="AH1475" i="1"/>
  <c r="AH1476" i="1"/>
  <c r="AH1477" i="1"/>
  <c r="AH1478" i="1"/>
  <c r="AH1479" i="1"/>
  <c r="AH1480" i="1"/>
  <c r="AH1481" i="1"/>
  <c r="AH1482" i="1"/>
  <c r="AH1483" i="1"/>
  <c r="AH1484" i="1"/>
  <c r="AH1485" i="1"/>
  <c r="AH1486" i="1"/>
  <c r="AH1487" i="1"/>
  <c r="AH1488" i="1"/>
  <c r="AH1489" i="1"/>
  <c r="AH1490" i="1"/>
  <c r="AH1491" i="1"/>
  <c r="AH1492" i="1"/>
  <c r="AH1493" i="1"/>
  <c r="AH1494" i="1"/>
  <c r="AH1495" i="1"/>
  <c r="AH1496" i="1"/>
  <c r="AH1497" i="1"/>
  <c r="AH1498" i="1"/>
  <c r="AH1499" i="1"/>
  <c r="AH1500" i="1"/>
  <c r="E17" i="8"/>
  <c r="E45" i="8"/>
  <c r="E73" i="8"/>
  <c r="E101" i="8"/>
  <c r="E131" i="8"/>
  <c r="E160" i="8"/>
  <c r="E188" i="8"/>
  <c r="E216" i="8"/>
  <c r="E245" i="8"/>
  <c r="E275" i="8"/>
  <c r="E303" i="8"/>
  <c r="E330" i="8"/>
  <c r="E574" i="8"/>
  <c r="E359" i="8"/>
  <c r="E392" i="8"/>
  <c r="E427" i="8"/>
  <c r="E455" i="8"/>
  <c r="E483" i="8"/>
  <c r="E517" i="8"/>
  <c r="E614" i="8"/>
  <c r="E615" i="8"/>
  <c r="E547" i="8"/>
  <c r="E18" i="8"/>
  <c r="E46" i="8"/>
  <c r="E74" i="8"/>
  <c r="E102" i="8"/>
  <c r="E132" i="8"/>
  <c r="E161" i="8"/>
  <c r="E189" i="8"/>
  <c r="E217" i="8"/>
  <c r="E246" i="8"/>
  <c r="E276" i="8"/>
  <c r="E304" i="8"/>
  <c r="E331" i="8"/>
  <c r="E575" i="8"/>
  <c r="E361" i="8"/>
  <c r="E393" i="8"/>
  <c r="E428" i="8"/>
  <c r="E456" i="8"/>
  <c r="E485" i="8"/>
  <c r="E518" i="8"/>
  <c r="E604" i="8"/>
  <c r="E548" i="8"/>
  <c r="E19" i="8"/>
  <c r="E47" i="8"/>
  <c r="E75" i="8"/>
  <c r="E103" i="8"/>
  <c r="E133" i="8"/>
  <c r="E162" i="8"/>
  <c r="E190" i="8"/>
  <c r="E219" i="8"/>
  <c r="E247" i="8"/>
  <c r="E277" i="8"/>
  <c r="E305" i="8"/>
  <c r="E332" i="8"/>
  <c r="E576" i="8"/>
  <c r="E364" i="8"/>
  <c r="E394" i="8"/>
  <c r="E429" i="8"/>
  <c r="E458" i="8"/>
  <c r="E486" i="8"/>
  <c r="E519" i="8"/>
  <c r="E616" i="8"/>
  <c r="E617" i="8"/>
  <c r="E4" i="8"/>
  <c r="E549" i="8"/>
  <c r="E20" i="8"/>
  <c r="E48" i="8"/>
  <c r="E76" i="8"/>
  <c r="E104" i="8"/>
  <c r="E134" i="8"/>
  <c r="E163" i="8"/>
  <c r="E191" i="8"/>
  <c r="E220" i="8"/>
  <c r="E248" i="8"/>
  <c r="E278" i="8"/>
  <c r="E306" i="8"/>
  <c r="E333" i="8"/>
  <c r="E578" i="8"/>
  <c r="E365" i="8"/>
  <c r="E395" i="8"/>
  <c r="E430" i="8"/>
  <c r="E459" i="8"/>
  <c r="E487" i="8"/>
  <c r="E520" i="8"/>
  <c r="E550" i="8"/>
  <c r="E21" i="8"/>
  <c r="E49" i="8"/>
  <c r="E77" i="8"/>
  <c r="E105" i="8"/>
  <c r="E135" i="8"/>
  <c r="E164" i="8"/>
  <c r="E192" i="8"/>
  <c r="E221" i="8"/>
  <c r="E249" i="8"/>
  <c r="E279" i="8"/>
  <c r="E307" i="8"/>
  <c r="E334" i="8"/>
  <c r="E579" i="8"/>
  <c r="E366" i="8"/>
  <c r="E396" i="8"/>
  <c r="E431" i="8"/>
  <c r="E460" i="8"/>
  <c r="E488" i="8"/>
  <c r="E521" i="8"/>
  <c r="E605" i="8"/>
  <c r="E551" i="8"/>
  <c r="E22" i="8"/>
  <c r="E50" i="8"/>
  <c r="E78" i="8"/>
  <c r="E106" i="8"/>
  <c r="E136" i="8"/>
  <c r="E165" i="8"/>
  <c r="E193" i="8"/>
  <c r="E222" i="8"/>
  <c r="E250" i="8"/>
  <c r="E280" i="8"/>
  <c r="E308" i="8"/>
  <c r="E335" i="8"/>
  <c r="E580" i="8"/>
  <c r="E368" i="8"/>
  <c r="E397" i="8"/>
  <c r="E432" i="8"/>
  <c r="E461" i="8"/>
  <c r="E489" i="8"/>
  <c r="E522" i="8"/>
  <c r="E618" i="8"/>
  <c r="E619" i="8"/>
  <c r="E2" i="8"/>
  <c r="E613" i="8"/>
  <c r="E620" i="8"/>
  <c r="E621" i="8"/>
  <c r="E552" i="8"/>
  <c r="E23" i="8"/>
  <c r="E51" i="8"/>
  <c r="E79" i="8"/>
  <c r="E107" i="8"/>
  <c r="E137" i="8"/>
  <c r="E166" i="8"/>
  <c r="E194" i="8"/>
  <c r="E223" i="8"/>
  <c r="E251" i="8"/>
  <c r="E281" i="8"/>
  <c r="E309" i="8"/>
  <c r="E336" i="8"/>
  <c r="E581" i="8"/>
  <c r="E369" i="8"/>
  <c r="E398" i="8"/>
  <c r="E433" i="8"/>
  <c r="E462" i="8"/>
  <c r="E490" i="8"/>
  <c r="E523" i="8"/>
  <c r="E553" i="8"/>
  <c r="E24" i="8"/>
  <c r="E52" i="8"/>
  <c r="E80" i="8"/>
  <c r="E109" i="8"/>
  <c r="E138" i="8"/>
  <c r="E167" i="8"/>
  <c r="E195" i="8"/>
  <c r="E224" i="8"/>
  <c r="E252" i="8"/>
  <c r="E282" i="8"/>
  <c r="E310" i="8"/>
  <c r="E337" i="8"/>
  <c r="E582" i="8"/>
  <c r="E370" i="8"/>
  <c r="E399" i="8"/>
  <c r="E434" i="8"/>
  <c r="E463" i="8"/>
  <c r="E491" i="8"/>
  <c r="E524" i="8"/>
  <c r="E554" i="8"/>
  <c r="E25" i="8"/>
  <c r="E53" i="8"/>
  <c r="E81" i="8"/>
  <c r="E110" i="8"/>
  <c r="E140" i="8"/>
  <c r="E168" i="8"/>
  <c r="E196" i="8"/>
  <c r="E225" i="8"/>
  <c r="E253" i="8"/>
  <c r="E283" i="8"/>
  <c r="E311" i="8"/>
  <c r="E338" i="8"/>
  <c r="E583" i="8"/>
  <c r="E371" i="8"/>
  <c r="E400" i="8"/>
  <c r="E435" i="8"/>
  <c r="E464" i="8"/>
  <c r="E492" i="8"/>
  <c r="E525" i="8"/>
  <c r="E555" i="8"/>
  <c r="E26" i="8"/>
  <c r="E54" i="8"/>
  <c r="E82" i="8"/>
  <c r="E111" i="8"/>
  <c r="E141" i="8"/>
  <c r="E169" i="8"/>
  <c r="E197" i="8"/>
  <c r="E226" i="8"/>
  <c r="E254" i="8"/>
  <c r="E284" i="8"/>
  <c r="E312" i="8"/>
  <c r="E340" i="8"/>
  <c r="E584" i="8"/>
  <c r="E372" i="8"/>
  <c r="E401" i="8"/>
  <c r="E436" i="8"/>
  <c r="E465" i="8"/>
  <c r="E493" i="8"/>
  <c r="E526" i="8"/>
  <c r="E556" i="8"/>
  <c r="E27" i="8"/>
  <c r="E55" i="8"/>
  <c r="E83" i="8"/>
  <c r="E112" i="8"/>
  <c r="E142" i="8"/>
  <c r="E170" i="8"/>
  <c r="E198" i="8"/>
  <c r="E227" i="8"/>
  <c r="E255" i="8"/>
  <c r="E285" i="8"/>
  <c r="E341" i="8"/>
  <c r="E585" i="8"/>
  <c r="E373" i="8"/>
  <c r="E402" i="8"/>
  <c r="E437" i="8"/>
  <c r="E466" i="8"/>
  <c r="E494" i="8"/>
  <c r="E527" i="8"/>
  <c r="E606" i="8"/>
  <c r="E557" i="8"/>
  <c r="E28" i="8"/>
  <c r="E56" i="8"/>
  <c r="E84" i="8"/>
  <c r="E113" i="8"/>
  <c r="E143" i="8"/>
  <c r="E171" i="8"/>
  <c r="E199" i="8"/>
  <c r="E228" i="8"/>
  <c r="E256" i="8"/>
  <c r="E286" i="8"/>
  <c r="E342" i="8"/>
  <c r="E586" i="8"/>
  <c r="E374" i="8"/>
  <c r="E403" i="8"/>
  <c r="E438" i="8"/>
  <c r="E467" i="8"/>
  <c r="E495" i="8"/>
  <c r="E528" i="8"/>
  <c r="E587" i="8"/>
  <c r="E622" i="8"/>
  <c r="E623" i="8"/>
  <c r="E558" i="8"/>
  <c r="E29" i="8"/>
  <c r="E57" i="8"/>
  <c r="E85" i="8"/>
  <c r="E114" i="8"/>
  <c r="E144" i="8"/>
  <c r="E172" i="8"/>
  <c r="E200" i="8"/>
  <c r="E229" i="8"/>
  <c r="E257" i="8"/>
  <c r="E287" i="8"/>
  <c r="E313" i="8"/>
  <c r="E343" i="8"/>
  <c r="E588" i="8"/>
  <c r="E375" i="8"/>
  <c r="E404" i="8"/>
  <c r="E439" i="8"/>
  <c r="E468" i="8"/>
  <c r="E499" i="8"/>
  <c r="E529" i="8"/>
  <c r="E6" i="8"/>
  <c r="E3" i="8"/>
  <c r="E559" i="8"/>
  <c r="E30" i="8"/>
  <c r="E58" i="8"/>
  <c r="E86" i="8"/>
  <c r="E115" i="8"/>
  <c r="E145" i="8"/>
  <c r="E173" i="8"/>
  <c r="E201" i="8"/>
  <c r="E230" i="8"/>
  <c r="E258" i="8"/>
  <c r="E288" i="8"/>
  <c r="E315" i="8"/>
  <c r="E344" i="8"/>
  <c r="E589" i="8"/>
  <c r="E376" i="8"/>
  <c r="E405" i="8"/>
  <c r="E440" i="8"/>
  <c r="E469" i="8"/>
  <c r="E500" i="8"/>
  <c r="E530" i="8"/>
  <c r="E626" i="8"/>
  <c r="E627" i="8"/>
  <c r="E560" i="8"/>
  <c r="E31" i="8"/>
  <c r="E59" i="8"/>
  <c r="E87" i="8"/>
  <c r="E116" i="8"/>
  <c r="E146" i="8"/>
  <c r="E174" i="8"/>
  <c r="E202" i="8"/>
  <c r="E231" i="8"/>
  <c r="E259" i="8"/>
  <c r="E289" i="8"/>
  <c r="E316" i="8"/>
  <c r="E345" i="8"/>
  <c r="E590" i="8"/>
  <c r="E377" i="8"/>
  <c r="E406" i="8"/>
  <c r="E441" i="8"/>
  <c r="E470" i="8"/>
  <c r="E501" i="8"/>
  <c r="E531" i="8"/>
  <c r="E10" i="8"/>
  <c r="E561" i="8"/>
  <c r="E32" i="8"/>
  <c r="E60" i="8"/>
  <c r="E88" i="8"/>
  <c r="E117" i="8"/>
  <c r="E147" i="8"/>
  <c r="E175" i="8"/>
  <c r="E203" i="8"/>
  <c r="E232" i="8"/>
  <c r="E260" i="8"/>
  <c r="E290" i="8"/>
  <c r="E317" i="8"/>
  <c r="E346" i="8"/>
  <c r="E591" i="8"/>
  <c r="E378" i="8"/>
  <c r="E407" i="8"/>
  <c r="E442" i="8"/>
  <c r="E471" i="8"/>
  <c r="E502" i="8"/>
  <c r="E532" i="8"/>
  <c r="E607" i="8"/>
  <c r="E628" i="8"/>
  <c r="E629" i="8"/>
  <c r="E8" i="8"/>
  <c r="E562" i="8"/>
  <c r="E33" i="8"/>
  <c r="E61" i="8"/>
  <c r="E89" i="8"/>
  <c r="E118" i="8"/>
  <c r="E148" i="8"/>
  <c r="E176" i="8"/>
  <c r="E204" i="8"/>
  <c r="E233" i="8"/>
  <c r="E261" i="8"/>
  <c r="E291" i="8"/>
  <c r="E318" i="8"/>
  <c r="E347" i="8"/>
  <c r="E592" i="8"/>
  <c r="E379" i="8"/>
  <c r="E408" i="8"/>
  <c r="E443" i="8"/>
  <c r="E503" i="8"/>
  <c r="E533" i="8"/>
  <c r="E563" i="8"/>
  <c r="E34" i="8"/>
  <c r="E62" i="8"/>
  <c r="E90" i="8"/>
  <c r="E119" i="8"/>
  <c r="E149" i="8"/>
  <c r="E177" i="8"/>
  <c r="E205" i="8"/>
  <c r="E234" i="8"/>
  <c r="E262" i="8"/>
  <c r="E292" i="8"/>
  <c r="E319" i="8"/>
  <c r="E348" i="8"/>
  <c r="E593" i="8"/>
  <c r="E380" i="8"/>
  <c r="E411" i="8"/>
  <c r="E444" i="8"/>
  <c r="E472" i="8"/>
  <c r="E504" i="8"/>
  <c r="E534" i="8"/>
  <c r="E630" i="8"/>
  <c r="E631" i="8"/>
  <c r="E5" i="8"/>
  <c r="E564" i="8"/>
  <c r="E35" i="8"/>
  <c r="E63" i="8"/>
  <c r="E91" i="8"/>
  <c r="E121" i="8"/>
  <c r="E150" i="8"/>
  <c r="E178" i="8"/>
  <c r="E206" i="8"/>
  <c r="E235" i="8"/>
  <c r="E263" i="8"/>
  <c r="E293" i="8"/>
  <c r="E320" i="8"/>
  <c r="E349" i="8"/>
  <c r="E594" i="8"/>
  <c r="E381" i="8"/>
  <c r="E412" i="8"/>
  <c r="E445" i="8"/>
  <c r="E473" i="8"/>
  <c r="E505" i="8"/>
  <c r="E535" i="8"/>
  <c r="E565" i="8"/>
  <c r="E36" i="8"/>
  <c r="E64" i="8"/>
  <c r="E92" i="8"/>
  <c r="E122" i="8"/>
  <c r="E151" i="8"/>
  <c r="E179" i="8"/>
  <c r="E207" i="8"/>
  <c r="E236" i="8"/>
  <c r="E264" i="8"/>
  <c r="E294" i="8"/>
  <c r="E321" i="8"/>
  <c r="E350" i="8"/>
  <c r="E595" i="8"/>
  <c r="E382" i="8"/>
  <c r="E413" i="8"/>
  <c r="E446" i="8"/>
  <c r="E474" i="8"/>
  <c r="E506" i="8"/>
  <c r="E536" i="8"/>
  <c r="E608" i="8"/>
  <c r="E632" i="8"/>
  <c r="E633" i="8"/>
  <c r="E611" i="8"/>
  <c r="E566" i="8"/>
  <c r="E37" i="8"/>
  <c r="E65" i="8"/>
  <c r="E93" i="8"/>
  <c r="E123" i="8"/>
  <c r="E152" i="8"/>
  <c r="E180" i="8"/>
  <c r="E208" i="8"/>
  <c r="E237" i="8"/>
  <c r="E265" i="8"/>
  <c r="E295" i="8"/>
  <c r="E322" i="8"/>
  <c r="E351" i="8"/>
  <c r="E596" i="8"/>
  <c r="E383" i="8"/>
  <c r="E414" i="8"/>
  <c r="E447" i="8"/>
  <c r="E475" i="8"/>
  <c r="E507" i="8"/>
  <c r="E537" i="8"/>
  <c r="E634" i="8"/>
  <c r="E635" i="8"/>
  <c r="E636" i="8"/>
  <c r="E637" i="8"/>
  <c r="E609" i="8"/>
  <c r="E567" i="8"/>
  <c r="E38" i="8"/>
  <c r="E66" i="8"/>
  <c r="E94" i="8"/>
  <c r="E124" i="8"/>
  <c r="E153" i="8"/>
  <c r="E181" i="8"/>
  <c r="E209" i="8"/>
  <c r="E238" i="8"/>
  <c r="E266" i="8"/>
  <c r="E296" i="8"/>
  <c r="E323" i="8"/>
  <c r="E352" i="8"/>
  <c r="E597" i="8"/>
  <c r="E385" i="8"/>
  <c r="E416" i="8"/>
  <c r="E448" i="8"/>
  <c r="E476" i="8"/>
  <c r="E508" i="8"/>
  <c r="E538" i="8"/>
  <c r="E638" i="8"/>
  <c r="E639" i="8"/>
  <c r="E568" i="8"/>
  <c r="E39" i="8"/>
  <c r="E67" i="8"/>
  <c r="E95" i="8"/>
  <c r="E125" i="8"/>
  <c r="E154" i="8"/>
  <c r="E182" i="8"/>
  <c r="E210" i="8"/>
  <c r="E239" i="8"/>
  <c r="E267" i="8"/>
  <c r="E297" i="8"/>
  <c r="E324" i="8"/>
  <c r="E353" i="8"/>
  <c r="E598" i="8"/>
  <c r="E386" i="8"/>
  <c r="E421" i="8"/>
  <c r="E449" i="8"/>
  <c r="E477" i="8"/>
  <c r="E509" i="8"/>
  <c r="E539" i="8"/>
  <c r="E545" i="8"/>
  <c r="E569" i="8"/>
  <c r="E40" i="8"/>
  <c r="E68" i="8"/>
  <c r="E96" i="8"/>
  <c r="E126" i="8"/>
  <c r="E155" i="8"/>
  <c r="E183" i="8"/>
  <c r="E211" i="8"/>
  <c r="E240" i="8"/>
  <c r="E270" i="8"/>
  <c r="E298" i="8"/>
  <c r="E325" i="8"/>
  <c r="E354" i="8"/>
  <c r="E599" i="8"/>
  <c r="E387" i="8"/>
  <c r="E422" i="8"/>
  <c r="E450" i="8"/>
  <c r="E478" i="8"/>
  <c r="E510" i="8"/>
  <c r="E540" i="8"/>
  <c r="E570" i="8"/>
  <c r="E612" i="8"/>
  <c r="E69" i="8"/>
  <c r="E97" i="8"/>
  <c r="E127" i="8"/>
  <c r="E156" i="8"/>
  <c r="E184" i="8"/>
  <c r="E212" i="8"/>
  <c r="E241" i="8"/>
  <c r="E271" i="8"/>
  <c r="E299" i="8"/>
  <c r="E326" i="8"/>
  <c r="E355" i="8"/>
  <c r="E600" i="8"/>
  <c r="E388" i="8"/>
  <c r="E423" i="8"/>
  <c r="E451" i="8"/>
  <c r="E479" i="8"/>
  <c r="E512" i="8"/>
  <c r="E541" i="8"/>
  <c r="E610" i="8"/>
  <c r="E571" i="8"/>
  <c r="E42" i="8"/>
  <c r="E70" i="8"/>
  <c r="E98" i="8"/>
  <c r="E128" i="8"/>
  <c r="E157" i="8"/>
  <c r="E185" i="8"/>
  <c r="E213" i="8"/>
  <c r="E242" i="8"/>
  <c r="E272" i="8"/>
  <c r="E300" i="8"/>
  <c r="E327" i="8"/>
  <c r="E356" i="8"/>
  <c r="E601" i="8"/>
  <c r="E389" i="8"/>
  <c r="E424" i="8"/>
  <c r="E452" i="8"/>
  <c r="E480" i="8"/>
  <c r="E513" i="8"/>
  <c r="E542" i="8"/>
  <c r="E572" i="8"/>
  <c r="E43" i="8"/>
  <c r="E71" i="8"/>
  <c r="E99" i="8"/>
  <c r="E129" i="8"/>
  <c r="E158" i="8"/>
  <c r="E186" i="8"/>
  <c r="E214" i="8"/>
  <c r="E243" i="8"/>
  <c r="E273" i="8"/>
  <c r="E301" i="8"/>
  <c r="E328" i="8"/>
  <c r="E357" i="8"/>
  <c r="E602" i="8"/>
  <c r="E390" i="8"/>
  <c r="E425" i="8"/>
  <c r="E453" i="8"/>
  <c r="E481" i="8"/>
  <c r="E515" i="8"/>
  <c r="E543" i="8"/>
  <c r="E640" i="8"/>
  <c r="E641" i="8"/>
  <c r="E573" i="8"/>
  <c r="E44" i="8"/>
  <c r="E72" i="8"/>
  <c r="E100" i="8"/>
  <c r="E130" i="8"/>
  <c r="E159" i="8"/>
  <c r="E187" i="8"/>
  <c r="E215" i="8"/>
  <c r="E244" i="8"/>
  <c r="E274" i="8"/>
  <c r="E302" i="8"/>
  <c r="E329" i="8"/>
  <c r="E358" i="8"/>
  <c r="E603" i="8"/>
  <c r="E391" i="8"/>
  <c r="E426" i="8"/>
  <c r="E454" i="8"/>
  <c r="E482" i="8"/>
  <c r="E516" i="8"/>
  <c r="E544" i="8"/>
  <c r="E546" i="8"/>
  <c r="F3" i="7"/>
  <c r="F4" i="7"/>
  <c r="F5" i="7"/>
  <c r="F6" i="7"/>
  <c r="F7" i="7"/>
  <c r="F8" i="7"/>
  <c r="F9" i="7"/>
  <c r="F10" i="7"/>
  <c r="F11" i="7"/>
  <c r="F12" i="7"/>
  <c r="F13" i="7"/>
  <c r="F14" i="7"/>
  <c r="F15" i="7"/>
  <c r="F16" i="7"/>
  <c r="F17" i="7"/>
  <c r="F18" i="7"/>
  <c r="F19" i="7"/>
  <c r="F20" i="7"/>
  <c r="F21" i="7"/>
  <c r="F22" i="7"/>
  <c r="F23" i="7"/>
  <c r="F26" i="7"/>
  <c r="F27" i="7"/>
  <c r="F28" i="7"/>
  <c r="F29" i="7"/>
  <c r="F30" i="7"/>
  <c r="F31" i="7"/>
  <c r="F32" i="7"/>
  <c r="F33" i="7"/>
  <c r="F34" i="7"/>
  <c r="F35" i="7"/>
  <c r="F36" i="7"/>
  <c r="F37" i="7"/>
  <c r="F38" i="7"/>
  <c r="F39" i="7"/>
  <c r="F40" i="7"/>
  <c r="F41" i="7"/>
  <c r="F42" i="7"/>
  <c r="F43" i="7"/>
  <c r="F44" i="7"/>
  <c r="F46" i="7"/>
  <c r="F47" i="7"/>
  <c r="F48" i="7"/>
  <c r="F49" i="7"/>
  <c r="F50" i="7"/>
  <c r="F51" i="7"/>
  <c r="F52" i="7"/>
  <c r="F53" i="7"/>
  <c r="F54" i="7"/>
  <c r="F2" i="7"/>
  <c r="D3" i="6"/>
  <c r="D4" i="6"/>
  <c r="D5" i="6"/>
  <c r="D6" i="6"/>
  <c r="D7" i="6"/>
  <c r="D8" i="6"/>
  <c r="D9" i="6"/>
  <c r="D10" i="6"/>
  <c r="D11" i="6"/>
  <c r="D12" i="6"/>
  <c r="D13" i="6"/>
  <c r="D14" i="6"/>
  <c r="D15" i="6"/>
  <c r="D16" i="6"/>
  <c r="D18" i="6"/>
  <c r="D19" i="6"/>
  <c r="D20" i="6"/>
  <c r="D21" i="6"/>
  <c r="D22" i="6"/>
  <c r="D23" i="6"/>
  <c r="D24" i="6"/>
  <c r="D25" i="6"/>
  <c r="D26" i="6"/>
  <c r="D27" i="6"/>
  <c r="D28" i="6"/>
  <c r="D29" i="6"/>
  <c r="D30" i="6"/>
  <c r="D31" i="6"/>
  <c r="D32" i="6"/>
  <c r="D33" i="6"/>
  <c r="D2" i="6"/>
  <c r="AD4" i="1"/>
  <c r="AD8" i="1"/>
  <c r="AD9" i="1"/>
  <c r="AD10" i="1"/>
  <c r="AD11" i="1"/>
  <c r="AD12" i="1"/>
  <c r="AD20" i="1"/>
  <c r="AD21" i="1"/>
  <c r="AD22" i="1"/>
  <c r="AD23" i="1"/>
  <c r="AD24" i="1"/>
  <c r="AD32" i="1"/>
  <c r="AD33" i="1"/>
  <c r="AD35" i="1"/>
  <c r="AD36" i="1"/>
  <c r="AD44" i="1"/>
  <c r="AD45" i="1"/>
  <c r="AD47" i="1"/>
  <c r="AD48" i="1"/>
  <c r="AD56" i="1"/>
  <c r="AD57" i="1"/>
  <c r="AD68" i="1"/>
  <c r="AD69" i="1"/>
  <c r="AD71" i="1"/>
  <c r="AD72" i="1"/>
  <c r="AD80" i="1"/>
  <c r="AD81" i="1"/>
  <c r="AD82" i="1"/>
  <c r="AD83" i="1"/>
  <c r="AD84" i="1"/>
  <c r="AD92" i="1"/>
  <c r="AD93" i="1"/>
  <c r="AD94" i="1"/>
  <c r="AD95" i="1"/>
  <c r="AD96" i="1"/>
  <c r="AD104" i="1"/>
  <c r="AD105" i="1"/>
  <c r="AD107" i="1"/>
  <c r="AD108" i="1"/>
  <c r="AD116" i="1"/>
  <c r="AD117" i="1"/>
  <c r="AD119" i="1"/>
  <c r="AD120" i="1"/>
  <c r="AD128" i="1"/>
  <c r="AD129" i="1"/>
  <c r="AD140" i="1"/>
  <c r="AD141" i="1"/>
  <c r="AD142" i="1"/>
  <c r="AD143" i="1"/>
  <c r="AD144" i="1"/>
  <c r="AD152" i="1"/>
  <c r="AD153" i="1"/>
  <c r="AD154" i="1"/>
  <c r="AD155" i="1"/>
  <c r="AD156" i="1"/>
  <c r="AD164" i="1"/>
  <c r="AD165" i="1"/>
  <c r="AD166" i="1"/>
  <c r="AD167" i="1"/>
  <c r="AD168" i="1"/>
  <c r="AD176" i="1"/>
  <c r="AD177" i="1"/>
  <c r="AD179" i="1"/>
  <c r="AD180" i="1"/>
  <c r="AD188" i="1"/>
  <c r="AD189" i="1"/>
  <c r="AD191" i="1"/>
  <c r="AD192" i="1"/>
  <c r="AD200" i="1"/>
  <c r="AD201" i="1"/>
  <c r="AD212" i="1"/>
  <c r="AD213" i="1"/>
  <c r="AD215" i="1"/>
  <c r="AD216" i="1"/>
  <c r="AD224" i="1"/>
  <c r="AD225" i="1"/>
  <c r="AD226" i="1"/>
  <c r="AD227" i="1"/>
  <c r="AD228" i="1"/>
  <c r="AD236" i="1"/>
  <c r="AD237" i="1"/>
  <c r="AD238" i="1"/>
  <c r="AD239" i="1"/>
  <c r="AD240" i="1"/>
  <c r="AD248" i="1"/>
  <c r="AD249" i="1"/>
  <c r="AD251" i="1"/>
  <c r="AD252" i="1"/>
  <c r="AD260" i="1"/>
  <c r="AD261" i="1"/>
  <c r="AD263" i="1"/>
  <c r="AD264" i="1"/>
  <c r="AD273" i="1"/>
  <c r="AD284" i="1"/>
  <c r="AD285" i="1"/>
  <c r="AD287" i="1"/>
  <c r="AD288" i="1"/>
  <c r="AD296" i="1"/>
  <c r="AD297" i="1"/>
  <c r="AD298" i="1"/>
  <c r="AD299" i="1"/>
  <c r="AD300" i="1"/>
  <c r="AD308" i="1"/>
  <c r="AD309" i="1"/>
  <c r="AD310" i="1"/>
  <c r="AD311" i="1"/>
  <c r="AD312" i="1"/>
  <c r="AD320" i="1"/>
  <c r="AD321" i="1"/>
  <c r="AD323" i="1"/>
  <c r="AD324" i="1"/>
  <c r="AD332" i="1"/>
  <c r="AD343" i="1"/>
  <c r="AD344" i="1"/>
  <c r="AD355" i="1"/>
  <c r="AD356" i="1"/>
  <c r="AD358" i="1"/>
  <c r="AD359" i="1"/>
  <c r="AD367" i="1"/>
  <c r="AD368" i="1"/>
  <c r="AD369" i="1"/>
  <c r="AD370" i="1"/>
  <c r="AD371" i="1"/>
  <c r="AD379" i="1"/>
  <c r="AD380" i="1"/>
  <c r="AD381" i="1"/>
  <c r="AD382" i="1"/>
  <c r="AD383" i="1"/>
  <c r="AD391" i="1"/>
  <c r="AD392" i="1"/>
  <c r="AD394" i="1"/>
  <c r="AD395" i="1"/>
  <c r="AD403" i="1"/>
  <c r="AD404" i="1"/>
  <c r="AD406" i="1"/>
  <c r="AD407" i="1"/>
  <c r="AD415" i="1"/>
  <c r="AD416" i="1"/>
  <c r="AD427" i="1"/>
  <c r="AD428" i="1"/>
  <c r="AD430" i="1"/>
  <c r="AD431" i="1"/>
  <c r="AD439" i="1"/>
  <c r="AD440" i="1"/>
  <c r="AD441" i="1"/>
  <c r="AD442" i="1"/>
  <c r="AD443" i="1"/>
  <c r="AD451" i="1"/>
  <c r="AD452" i="1"/>
  <c r="AD453" i="1"/>
  <c r="AD454" i="1"/>
  <c r="AD455" i="1"/>
  <c r="AD463" i="1"/>
  <c r="AD464" i="1"/>
  <c r="AD466" i="1"/>
  <c r="AD467" i="1"/>
  <c r="AD476" i="1"/>
  <c r="AD478" i="1"/>
  <c r="AD479" i="1"/>
  <c r="AD487" i="1"/>
  <c r="AD488" i="1"/>
  <c r="AD499" i="1"/>
  <c r="AD500" i="1"/>
  <c r="AD502" i="1"/>
  <c r="AD503" i="1"/>
  <c r="AD511" i="1"/>
  <c r="AD512" i="1"/>
  <c r="AD513" i="1"/>
  <c r="AD514" i="1"/>
  <c r="AD515" i="1"/>
  <c r="AD523" i="1"/>
  <c r="AD524" i="1"/>
  <c r="AD525" i="1"/>
  <c r="AD526" i="1"/>
  <c r="AD527" i="1"/>
  <c r="AD535" i="1"/>
  <c r="AD536" i="1"/>
  <c r="AD537" i="1"/>
  <c r="AD538" i="1"/>
  <c r="AD546" i="1"/>
  <c r="AD547" i="1"/>
  <c r="AD549" i="1"/>
  <c r="AD550" i="1"/>
  <c r="AD558" i="1"/>
  <c r="AD559" i="1"/>
  <c r="AD570" i="1"/>
  <c r="AD571" i="1"/>
  <c r="AD573" i="1"/>
  <c r="AD574" i="1"/>
  <c r="AD582" i="1"/>
  <c r="AD583" i="1"/>
  <c r="AD584" i="1"/>
  <c r="AD585" i="1"/>
  <c r="AD586" i="1"/>
  <c r="AD594" i="1"/>
  <c r="AD595" i="1"/>
  <c r="AD596" i="1"/>
  <c r="AD597" i="1"/>
  <c r="AD598" i="1"/>
  <c r="AD606" i="1"/>
  <c r="AD607" i="1"/>
  <c r="AD609" i="1"/>
  <c r="AD610" i="1"/>
  <c r="AD618" i="1"/>
  <c r="AD619" i="1"/>
  <c r="AD621" i="1"/>
  <c r="AD622" i="1"/>
  <c r="AD630" i="1"/>
  <c r="AD631" i="1"/>
  <c r="AD642" i="1"/>
  <c r="AD643" i="1"/>
  <c r="AD645" i="1"/>
  <c r="AD646" i="1"/>
  <c r="AD654" i="1"/>
  <c r="AD655" i="1"/>
  <c r="AD656" i="1"/>
  <c r="AD657" i="1"/>
  <c r="AD658" i="1"/>
  <c r="AD666" i="1"/>
  <c r="AD667" i="1"/>
  <c r="AD668" i="1"/>
  <c r="AD669" i="1"/>
  <c r="AD670" i="1"/>
  <c r="AD678" i="1"/>
  <c r="AD679" i="1"/>
  <c r="AD681" i="1"/>
  <c r="AD682" i="1"/>
  <c r="AD690" i="1"/>
  <c r="AD691" i="1"/>
  <c r="AD693" i="1"/>
  <c r="AD694" i="1"/>
  <c r="AD702" i="1"/>
  <c r="AD703" i="1"/>
  <c r="AD714" i="1"/>
  <c r="AD715" i="1"/>
  <c r="AD717" i="1"/>
  <c r="AD718" i="1"/>
  <c r="AD726" i="1"/>
  <c r="AD727" i="1"/>
  <c r="AD728" i="1"/>
  <c r="AD729" i="1"/>
  <c r="AD730" i="1"/>
  <c r="AD738" i="1"/>
  <c r="AD739" i="1"/>
  <c r="AD740" i="1"/>
  <c r="AD741" i="1"/>
  <c r="AD742" i="1"/>
  <c r="AD750" i="1"/>
  <c r="AD751" i="1"/>
  <c r="AD753" i="1"/>
  <c r="AD754" i="1"/>
  <c r="AD762" i="1"/>
  <c r="AD763" i="1"/>
  <c r="AD765" i="1"/>
  <c r="AD766" i="1"/>
  <c r="AD774" i="1"/>
  <c r="AD775" i="1"/>
  <c r="AD786" i="1"/>
  <c r="AD787" i="1"/>
  <c r="AD790" i="1"/>
  <c r="AD798" i="1"/>
  <c r="AD799" i="1"/>
  <c r="AD800" i="1"/>
  <c r="AD801" i="1"/>
  <c r="AD802" i="1"/>
  <c r="AD810" i="1"/>
  <c r="AD811" i="1"/>
  <c r="AD812" i="1"/>
  <c r="AD813" i="1"/>
  <c r="AD814" i="1"/>
  <c r="AD822" i="1"/>
  <c r="AD823" i="1"/>
  <c r="AD825" i="1"/>
  <c r="AD826" i="1"/>
  <c r="AD834" i="1"/>
  <c r="AD835" i="1"/>
  <c r="AD837" i="1"/>
  <c r="AD838" i="1"/>
  <c r="AD846" i="1"/>
  <c r="AD847" i="1"/>
  <c r="AD858" i="1"/>
  <c r="AD859" i="1"/>
  <c r="AD861" i="1"/>
  <c r="AD862" i="1"/>
  <c r="AD870" i="1"/>
  <c r="AD871" i="1"/>
  <c r="AD872" i="1"/>
  <c r="AD873" i="1"/>
  <c r="AD874" i="1"/>
  <c r="AD882" i="1"/>
  <c r="AD883" i="1"/>
  <c r="AD884" i="1"/>
  <c r="AD885" i="1"/>
  <c r="AD886" i="1"/>
  <c r="AD894" i="1"/>
  <c r="AD895" i="1"/>
  <c r="AD897" i="1"/>
  <c r="AD898" i="1"/>
  <c r="AD906" i="1"/>
  <c r="AD907" i="1"/>
  <c r="AD909" i="1"/>
  <c r="AD910" i="1"/>
  <c r="AD918" i="1"/>
  <c r="AD919" i="1"/>
  <c r="AD930" i="1"/>
  <c r="AD931" i="1"/>
  <c r="AD933" i="1"/>
  <c r="AD934" i="1"/>
  <c r="AD942" i="1"/>
  <c r="AD943" i="1"/>
  <c r="AD944" i="1"/>
  <c r="AD945" i="1"/>
  <c r="AD946" i="1"/>
  <c r="AD954" i="1"/>
  <c r="AD955" i="1"/>
  <c r="AD956" i="1"/>
  <c r="AD957" i="1"/>
  <c r="AD958" i="1"/>
  <c r="AD966" i="1"/>
  <c r="AD967" i="1"/>
  <c r="AD969" i="1"/>
  <c r="AD970" i="1"/>
  <c r="AD978" i="1"/>
  <c r="AD979" i="1"/>
  <c r="AD981" i="1"/>
  <c r="AD982" i="1"/>
  <c r="AD990" i="1"/>
  <c r="AD991" i="1"/>
  <c r="AD1002" i="1"/>
  <c r="AD1003" i="1"/>
  <c r="AD1005" i="1"/>
  <c r="AD1006" i="1"/>
  <c r="AD1014" i="1"/>
  <c r="AD1015" i="1"/>
  <c r="AD1016" i="1"/>
  <c r="AD1017" i="1"/>
  <c r="AD1018" i="1"/>
  <c r="AD1026" i="1"/>
  <c r="AD1027" i="1"/>
  <c r="AD1028" i="1"/>
  <c r="AD1029" i="1"/>
  <c r="AD1030" i="1"/>
  <c r="AD1038" i="1"/>
  <c r="AD1039" i="1"/>
  <c r="AD1040" i="1"/>
  <c r="AD1041" i="1"/>
  <c r="AD1042" i="1"/>
  <c r="AD1050" i="1"/>
  <c r="AD1051" i="1"/>
  <c r="AD1052" i="1"/>
  <c r="AD1053" i="1"/>
  <c r="AD1054" i="1"/>
  <c r="AD1062" i="1"/>
  <c r="AD1063" i="1"/>
  <c r="AD1064" i="1"/>
  <c r="AD1065" i="1"/>
  <c r="AD1066" i="1"/>
  <c r="AD1074" i="1"/>
  <c r="AD1075" i="1"/>
  <c r="AD1076" i="1"/>
  <c r="AD1077" i="1"/>
  <c r="AD1078" i="1"/>
  <c r="AD1086" i="1"/>
  <c r="AD1087" i="1"/>
  <c r="AD1088" i="1"/>
  <c r="AD1089" i="1"/>
  <c r="AD1090" i="1"/>
  <c r="AD1098" i="1"/>
  <c r="AD1099" i="1"/>
  <c r="AD1100" i="1"/>
  <c r="AD1101" i="1"/>
  <c r="AD1102" i="1"/>
  <c r="AD1110" i="1"/>
  <c r="AD1112" i="1"/>
  <c r="AD1113" i="1"/>
  <c r="AD1114" i="1"/>
  <c r="AD1122" i="1"/>
  <c r="AD1124" i="1"/>
  <c r="AD1125" i="1"/>
  <c r="AD1126" i="1"/>
  <c r="AD1134" i="1"/>
  <c r="AD1136" i="1"/>
  <c r="AD1137" i="1"/>
  <c r="AD1138" i="1"/>
  <c r="AD1146" i="1"/>
  <c r="AD1148" i="1"/>
  <c r="AD1149" i="1"/>
  <c r="AD1150" i="1"/>
  <c r="AD1158" i="1"/>
  <c r="AD1160" i="1"/>
  <c r="AD1161" i="1"/>
  <c r="AD1162" i="1"/>
  <c r="AD1170" i="1"/>
  <c r="AD1172" i="1"/>
  <c r="AD1173" i="1"/>
  <c r="AD1174" i="1"/>
  <c r="AD1182" i="1"/>
  <c r="AD1184" i="1"/>
  <c r="AD1185" i="1"/>
  <c r="AD1186" i="1"/>
  <c r="AD1194" i="1"/>
  <c r="AD1196" i="1"/>
  <c r="AD1197" i="1"/>
  <c r="AD1198" i="1"/>
  <c r="AD1206" i="1"/>
  <c r="AD1208" i="1"/>
  <c r="AD1209" i="1"/>
  <c r="AD1210" i="1"/>
  <c r="AD1218" i="1"/>
  <c r="AD1220" i="1"/>
  <c r="AD1221" i="1"/>
  <c r="AD1222" i="1"/>
  <c r="AD1230" i="1"/>
  <c r="AD1232" i="1"/>
  <c r="AD1233" i="1"/>
  <c r="AD1234" i="1"/>
  <c r="AD1242" i="1"/>
  <c r="AD1244" i="1"/>
  <c r="AD1245" i="1"/>
  <c r="AD1246" i="1"/>
  <c r="AD1254" i="1"/>
  <c r="AD1256" i="1"/>
  <c r="AD1257" i="1"/>
  <c r="AD1258" i="1"/>
  <c r="AD1266" i="1"/>
  <c r="AD1268" i="1"/>
  <c r="AD1269" i="1"/>
  <c r="AD1270" i="1"/>
  <c r="AD1278" i="1"/>
  <c r="AD1280" i="1"/>
  <c r="AD1281" i="1"/>
  <c r="AD1282" i="1"/>
  <c r="AD1290" i="1"/>
  <c r="AD1292" i="1"/>
  <c r="AD1293" i="1"/>
  <c r="AD1294" i="1"/>
  <c r="AD1302" i="1"/>
  <c r="AD1304" i="1"/>
  <c r="AD1305" i="1"/>
  <c r="AD1306" i="1"/>
  <c r="AD1314" i="1"/>
  <c r="AD1316" i="1"/>
  <c r="AD1317" i="1"/>
  <c r="AD1318" i="1"/>
  <c r="AD1326" i="1"/>
  <c r="AD1328" i="1"/>
  <c r="AD1329" i="1"/>
  <c r="AD1330" i="1"/>
  <c r="AD1338" i="1"/>
  <c r="AD1340" i="1"/>
  <c r="AD1341" i="1"/>
  <c r="AD1342" i="1"/>
  <c r="AD1350" i="1"/>
  <c r="AD1352" i="1"/>
  <c r="AD1353" i="1"/>
  <c r="AD1354" i="1"/>
  <c r="AD1362" i="1"/>
  <c r="AD1364" i="1"/>
  <c r="AD1365" i="1"/>
  <c r="AD1366" i="1"/>
  <c r="AD1374" i="1"/>
  <c r="AD1376" i="1"/>
  <c r="AD1377" i="1"/>
  <c r="AD1378" i="1"/>
  <c r="AD1386" i="1"/>
  <c r="AD1388" i="1"/>
  <c r="AD1389" i="1"/>
  <c r="AD1390" i="1"/>
  <c r="AD1398" i="1"/>
  <c r="AD1400" i="1"/>
  <c r="AD1401" i="1"/>
  <c r="AD1402" i="1"/>
  <c r="AD1410" i="1"/>
  <c r="AD1412" i="1"/>
  <c r="AD1413" i="1"/>
  <c r="AD1414" i="1"/>
  <c r="AD1422" i="1"/>
  <c r="AD1424" i="1"/>
  <c r="AD1425" i="1"/>
  <c r="AD1426" i="1"/>
  <c r="AD1434" i="1"/>
  <c r="AD1436" i="1"/>
  <c r="AD1437" i="1"/>
  <c r="AD1438" i="1"/>
  <c r="AD1446" i="1"/>
  <c r="AD1448" i="1"/>
  <c r="AD1449" i="1"/>
  <c r="AD1450" i="1"/>
  <c r="AD1458" i="1"/>
  <c r="AD1460" i="1"/>
  <c r="AD1461" i="1"/>
  <c r="AD1462" i="1"/>
  <c r="AD1470" i="1"/>
  <c r="AD1472" i="1"/>
  <c r="AD1473" i="1"/>
  <c r="AD1474" i="1"/>
  <c r="AD1482" i="1"/>
  <c r="AD1484" i="1"/>
  <c r="AD1485" i="1"/>
  <c r="AD1486" i="1"/>
  <c r="AD1494" i="1"/>
  <c r="AD1496" i="1"/>
  <c r="AD5" i="1"/>
  <c r="AD6" i="1"/>
  <c r="AD7" i="1"/>
  <c r="AD13" i="1"/>
  <c r="AD14" i="1"/>
  <c r="AD15" i="1"/>
  <c r="AD16" i="1"/>
  <c r="AD17" i="1"/>
  <c r="AD18" i="1"/>
  <c r="AD19" i="1"/>
  <c r="AD25" i="1"/>
  <c r="AD26" i="1"/>
  <c r="AD27" i="1"/>
  <c r="AD28" i="1"/>
  <c r="AD29" i="1"/>
  <c r="AD30" i="1"/>
  <c r="AD31" i="1"/>
  <c r="AD34" i="1"/>
  <c r="AD37" i="1"/>
  <c r="AD38" i="1"/>
  <c r="AD39" i="1"/>
  <c r="AD40" i="1"/>
  <c r="AD41" i="1"/>
  <c r="AD42" i="1"/>
  <c r="AD43" i="1"/>
  <c r="AD46" i="1"/>
  <c r="AD49" i="1"/>
  <c r="AD50" i="1"/>
  <c r="AD51" i="1"/>
  <c r="AD52" i="1"/>
  <c r="AD53" i="1"/>
  <c r="AD54" i="1"/>
  <c r="AD55" i="1"/>
  <c r="AD58" i="1"/>
  <c r="AD59" i="1"/>
  <c r="AD60" i="1"/>
  <c r="AD61" i="1"/>
  <c r="AD62" i="1"/>
  <c r="AD63" i="1"/>
  <c r="AD64" i="1"/>
  <c r="AD65" i="1"/>
  <c r="AD66" i="1"/>
  <c r="AD67" i="1"/>
  <c r="AD70" i="1"/>
  <c r="AD73" i="1"/>
  <c r="AD74" i="1"/>
  <c r="AD75" i="1"/>
  <c r="AD76" i="1"/>
  <c r="AD77" i="1"/>
  <c r="AD78" i="1"/>
  <c r="AD79" i="1"/>
  <c r="AD85" i="1"/>
  <c r="AD86" i="1"/>
  <c r="AD87" i="1"/>
  <c r="AD88" i="1"/>
  <c r="AD89" i="1"/>
  <c r="AD90" i="1"/>
  <c r="AD91" i="1"/>
  <c r="AD97" i="1"/>
  <c r="AD98" i="1"/>
  <c r="AD99" i="1"/>
  <c r="AD100" i="1"/>
  <c r="AD101" i="1"/>
  <c r="AD102" i="1"/>
  <c r="AD103" i="1"/>
  <c r="AD106" i="1"/>
  <c r="AD109" i="1"/>
  <c r="AD110" i="1"/>
  <c r="AD111" i="1"/>
  <c r="AD112" i="1"/>
  <c r="AD113" i="1"/>
  <c r="AD114" i="1"/>
  <c r="AD115" i="1"/>
  <c r="AD118" i="1"/>
  <c r="AD121" i="1"/>
  <c r="AD122" i="1"/>
  <c r="AD123" i="1"/>
  <c r="AD124" i="1"/>
  <c r="AD125" i="1"/>
  <c r="AD126" i="1"/>
  <c r="AD127" i="1"/>
  <c r="AD130" i="1"/>
  <c r="AD131" i="1"/>
  <c r="AD132" i="1"/>
  <c r="AD133" i="1"/>
  <c r="AD134" i="1"/>
  <c r="AD135" i="1"/>
  <c r="AD136" i="1"/>
  <c r="AD137" i="1"/>
  <c r="AD138" i="1"/>
  <c r="AD139" i="1"/>
  <c r="AD145" i="1"/>
  <c r="AD146" i="1"/>
  <c r="AD147" i="1"/>
  <c r="AD148" i="1"/>
  <c r="AD149" i="1"/>
  <c r="AD150" i="1"/>
  <c r="AD151" i="1"/>
  <c r="AD157" i="1"/>
  <c r="AD158" i="1"/>
  <c r="AD159" i="1"/>
  <c r="AD160" i="1"/>
  <c r="AD161" i="1"/>
  <c r="AD162" i="1"/>
  <c r="AD163" i="1"/>
  <c r="AD169" i="1"/>
  <c r="AD170" i="1"/>
  <c r="AD171" i="1"/>
  <c r="AD172" i="1"/>
  <c r="AD173" i="1"/>
  <c r="AD174" i="1"/>
  <c r="AD175" i="1"/>
  <c r="AD178" i="1"/>
  <c r="AD181" i="1"/>
  <c r="AD182" i="1"/>
  <c r="AD183" i="1"/>
  <c r="AD184" i="1"/>
  <c r="AD185" i="1"/>
  <c r="AD186" i="1"/>
  <c r="AD187" i="1"/>
  <c r="AD190" i="1"/>
  <c r="AD193" i="1"/>
  <c r="AD194" i="1"/>
  <c r="AD195" i="1"/>
  <c r="AD196" i="1"/>
  <c r="AD197" i="1"/>
  <c r="AD198" i="1"/>
  <c r="AD199" i="1"/>
  <c r="AD202" i="1"/>
  <c r="AD203" i="1"/>
  <c r="AD204" i="1"/>
  <c r="AD205" i="1"/>
  <c r="AD206" i="1"/>
  <c r="AD207" i="1"/>
  <c r="AD208" i="1"/>
  <c r="AD209" i="1"/>
  <c r="AD210" i="1"/>
  <c r="AD211" i="1"/>
  <c r="AD214" i="1"/>
  <c r="AD217" i="1"/>
  <c r="AD218" i="1"/>
  <c r="AD219" i="1"/>
  <c r="AD220" i="1"/>
  <c r="AD221" i="1"/>
  <c r="AD222" i="1"/>
  <c r="AD223" i="1"/>
  <c r="AD229" i="1"/>
  <c r="AD230" i="1"/>
  <c r="AD231" i="1"/>
  <c r="AD232" i="1"/>
  <c r="AD233" i="1"/>
  <c r="AD234" i="1"/>
  <c r="AD235" i="1"/>
  <c r="AD242" i="1"/>
  <c r="AD243" i="1"/>
  <c r="AD244" i="1"/>
  <c r="AD245" i="1"/>
  <c r="AD246" i="1"/>
  <c r="AD247" i="1"/>
  <c r="AD250" i="1"/>
  <c r="AD253" i="1"/>
  <c r="AD254" i="1"/>
  <c r="AD255" i="1"/>
  <c r="AD256" i="1"/>
  <c r="AD257" i="1"/>
  <c r="AD258" i="1"/>
  <c r="AD259" i="1"/>
  <c r="AD262" i="1"/>
  <c r="AD265" i="1"/>
  <c r="AD266" i="1"/>
  <c r="AD267" i="1"/>
  <c r="AD268" i="1"/>
  <c r="AD269" i="1"/>
  <c r="AD270" i="1"/>
  <c r="AD274" i="1"/>
  <c r="AD275" i="1"/>
  <c r="AD276" i="1"/>
  <c r="AD277" i="1"/>
  <c r="AD278" i="1"/>
  <c r="AD279" i="1"/>
  <c r="AD280" i="1"/>
  <c r="AD281" i="1"/>
  <c r="AD282" i="1"/>
  <c r="AD283" i="1"/>
  <c r="AD286" i="1"/>
  <c r="AD289" i="1"/>
  <c r="AD290" i="1"/>
  <c r="AD291" i="1"/>
  <c r="AD292" i="1"/>
  <c r="AD293" i="1"/>
  <c r="AD294" i="1"/>
  <c r="AD295" i="1"/>
  <c r="AD301" i="1"/>
  <c r="AD302" i="1"/>
  <c r="AD303" i="1"/>
  <c r="AD304" i="1"/>
  <c r="AD305" i="1"/>
  <c r="AD306" i="1"/>
  <c r="AD307" i="1"/>
  <c r="AD313" i="1"/>
  <c r="AD314" i="1"/>
  <c r="AD315" i="1"/>
  <c r="AD316" i="1"/>
  <c r="AD317" i="1"/>
  <c r="AD318" i="1"/>
  <c r="AD319" i="1"/>
  <c r="AD322" i="1"/>
  <c r="AD325" i="1"/>
  <c r="AD326" i="1"/>
  <c r="AD327" i="1"/>
  <c r="AD328" i="1"/>
  <c r="AD329" i="1"/>
  <c r="AD330" i="1"/>
  <c r="AD331" i="1"/>
  <c r="AD336" i="1"/>
  <c r="AD337" i="1"/>
  <c r="AD338" i="1"/>
  <c r="AD339" i="1"/>
  <c r="AD340" i="1"/>
  <c r="AD341" i="1"/>
  <c r="AD342" i="1"/>
  <c r="AD345" i="1"/>
  <c r="AD346" i="1"/>
  <c r="AD347" i="1"/>
  <c r="AD348" i="1"/>
  <c r="AD349" i="1"/>
  <c r="AD350" i="1"/>
  <c r="AD351" i="1"/>
  <c r="AD352" i="1"/>
  <c r="AD353" i="1"/>
  <c r="AD354" i="1"/>
  <c r="AD357" i="1"/>
  <c r="AD360" i="1"/>
  <c r="AD361" i="1"/>
  <c r="AD362" i="1"/>
  <c r="AD363" i="1"/>
  <c r="AD364" i="1"/>
  <c r="AD365" i="1"/>
  <c r="AD366" i="1"/>
  <c r="AD372" i="1"/>
  <c r="AD373" i="1"/>
  <c r="AD375" i="1"/>
  <c r="AD376" i="1"/>
  <c r="AD377" i="1"/>
  <c r="AD378" i="1"/>
  <c r="AD384" i="1"/>
  <c r="AD385" i="1"/>
  <c r="AD386" i="1"/>
  <c r="AD387" i="1"/>
  <c r="AD388" i="1"/>
  <c r="AD389" i="1"/>
  <c r="AD390" i="1"/>
  <c r="AD393" i="1"/>
  <c r="AD396" i="1"/>
  <c r="AD397" i="1"/>
  <c r="AD398" i="1"/>
  <c r="AD399" i="1"/>
  <c r="AD400" i="1"/>
  <c r="AD401" i="1"/>
  <c r="AD402" i="1"/>
  <c r="AD405" i="1"/>
  <c r="AD408" i="1"/>
  <c r="AD409" i="1"/>
  <c r="AD410" i="1"/>
  <c r="AD411" i="1"/>
  <c r="AD412" i="1"/>
  <c r="AD413" i="1"/>
  <c r="AD414" i="1"/>
  <c r="AD417" i="1"/>
  <c r="AD418" i="1"/>
  <c r="AD419" i="1"/>
  <c r="AD420" i="1"/>
  <c r="AD421" i="1"/>
  <c r="AD422" i="1"/>
  <c r="AD423" i="1"/>
  <c r="AD424" i="1"/>
  <c r="AD425" i="1"/>
  <c r="AD426" i="1"/>
  <c r="AD429" i="1"/>
  <c r="AD432" i="1"/>
  <c r="AD433" i="1"/>
  <c r="AD434" i="1"/>
  <c r="AD435" i="1"/>
  <c r="AD436" i="1"/>
  <c r="AD437" i="1"/>
  <c r="AD438" i="1"/>
  <c r="AD444" i="1"/>
  <c r="AD445" i="1"/>
  <c r="AD446" i="1"/>
  <c r="AD447" i="1"/>
  <c r="AD448" i="1"/>
  <c r="AD449" i="1"/>
  <c r="AD450" i="1"/>
  <c r="AD456" i="1"/>
  <c r="AD457" i="1"/>
  <c r="AD458" i="1"/>
  <c r="AD459" i="1"/>
  <c r="AD460" i="1"/>
  <c r="AD461" i="1"/>
  <c r="AD462" i="1"/>
  <c r="AD465" i="1"/>
  <c r="AD468" i="1"/>
  <c r="AD469" i="1"/>
  <c r="AD470" i="1"/>
  <c r="AD471" i="1"/>
  <c r="AD472" i="1"/>
  <c r="AD473" i="1"/>
  <c r="AD474" i="1"/>
  <c r="AD477" i="1"/>
  <c r="AD480" i="1"/>
  <c r="AD481" i="1"/>
  <c r="AD482" i="1"/>
  <c r="AD483" i="1"/>
  <c r="AD484" i="1"/>
  <c r="AD485" i="1"/>
  <c r="AD486" i="1"/>
  <c r="AD489" i="1"/>
  <c r="AD490" i="1"/>
  <c r="AD491" i="1"/>
  <c r="AD492" i="1"/>
  <c r="AD493" i="1"/>
  <c r="AD494" i="1"/>
  <c r="AD495" i="1"/>
  <c r="AD496" i="1"/>
  <c r="AD497" i="1"/>
  <c r="AD498" i="1"/>
  <c r="AD501" i="1"/>
  <c r="AD504" i="1"/>
  <c r="AD505" i="1"/>
  <c r="AD506" i="1"/>
  <c r="AD507" i="1"/>
  <c r="AD508" i="1"/>
  <c r="AD509" i="1"/>
  <c r="AD510" i="1"/>
  <c r="AD516" i="1"/>
  <c r="AD517" i="1"/>
  <c r="AD518" i="1"/>
  <c r="AD519" i="1"/>
  <c r="AD520" i="1"/>
  <c r="AD521" i="1"/>
  <c r="AD522" i="1"/>
  <c r="AD528" i="1"/>
  <c r="AD529" i="1"/>
  <c r="AD530" i="1"/>
  <c r="AD531" i="1"/>
  <c r="AD532" i="1"/>
  <c r="AD533" i="1"/>
  <c r="AD534" i="1"/>
  <c r="AD1500" i="1"/>
  <c r="AD539" i="1"/>
  <c r="AD540" i="1"/>
  <c r="AD541" i="1"/>
  <c r="AD542" i="1"/>
  <c r="AD543" i="1"/>
  <c r="AD544" i="1"/>
  <c r="AD545" i="1"/>
  <c r="AD548" i="1"/>
  <c r="AD551" i="1"/>
  <c r="AD552" i="1"/>
  <c r="AD553" i="1"/>
  <c r="AD554" i="1"/>
  <c r="AD555" i="1"/>
  <c r="AD556" i="1"/>
  <c r="AD557" i="1"/>
  <c r="AD560" i="1"/>
  <c r="AD561" i="1"/>
  <c r="AD562" i="1"/>
  <c r="AD563" i="1"/>
  <c r="AD564" i="1"/>
  <c r="AD565" i="1"/>
  <c r="AD566" i="1"/>
  <c r="AD567" i="1"/>
  <c r="AD568" i="1"/>
  <c r="AD569" i="1"/>
  <c r="AD572" i="1"/>
  <c r="AD575" i="1"/>
  <c r="AD576" i="1"/>
  <c r="AD577" i="1"/>
  <c r="AD578" i="1"/>
  <c r="AD579" i="1"/>
  <c r="AD580" i="1"/>
  <c r="AD581" i="1"/>
  <c r="AD587" i="1"/>
  <c r="AD588" i="1"/>
  <c r="AD589" i="1"/>
  <c r="AD590" i="1"/>
  <c r="AD591" i="1"/>
  <c r="AD592" i="1"/>
  <c r="AD593" i="1"/>
  <c r="AD599" i="1"/>
  <c r="AD600" i="1"/>
  <c r="AD601" i="1"/>
  <c r="AD602" i="1"/>
  <c r="AD603" i="1"/>
  <c r="AD604" i="1"/>
  <c r="AD605" i="1"/>
  <c r="AD608" i="1"/>
  <c r="AD611" i="1"/>
  <c r="AD612" i="1"/>
  <c r="AD613" i="1"/>
  <c r="AD614" i="1"/>
  <c r="AD615" i="1"/>
  <c r="AD616" i="1"/>
  <c r="AD617" i="1"/>
  <c r="AD620" i="1"/>
  <c r="AD623" i="1"/>
  <c r="AD624" i="1"/>
  <c r="AD625" i="1"/>
  <c r="AD626" i="1"/>
  <c r="AD627" i="1"/>
  <c r="AD628" i="1"/>
  <c r="AD629" i="1"/>
  <c r="AD632" i="1"/>
  <c r="AD633" i="1"/>
  <c r="AD634" i="1"/>
  <c r="AD635" i="1"/>
  <c r="AD636" i="1"/>
  <c r="AD637" i="1"/>
  <c r="AD638" i="1"/>
  <c r="AD639" i="1"/>
  <c r="AD640" i="1"/>
  <c r="AD641" i="1"/>
  <c r="AD644" i="1"/>
  <c r="AD647" i="1"/>
  <c r="AD648" i="1"/>
  <c r="AD649" i="1"/>
  <c r="AD650" i="1"/>
  <c r="AD651" i="1"/>
  <c r="AD652" i="1"/>
  <c r="AD653" i="1"/>
  <c r="AD659" i="1"/>
  <c r="AD660" i="1"/>
  <c r="AD661" i="1"/>
  <c r="AD662" i="1"/>
  <c r="AD663" i="1"/>
  <c r="AD664" i="1"/>
  <c r="AD665" i="1"/>
  <c r="AD671" i="1"/>
  <c r="AD672" i="1"/>
  <c r="AD673" i="1"/>
  <c r="AD674" i="1"/>
  <c r="AD675" i="1"/>
  <c r="AD676" i="1"/>
  <c r="AD677" i="1"/>
  <c r="AD680" i="1"/>
  <c r="AD683" i="1"/>
  <c r="AD684" i="1"/>
  <c r="AD685" i="1"/>
  <c r="AD686" i="1"/>
  <c r="AD687" i="1"/>
  <c r="AD688" i="1"/>
  <c r="AD689" i="1"/>
  <c r="AD692" i="1"/>
  <c r="AD695" i="1"/>
  <c r="AD696" i="1"/>
  <c r="AD697" i="1"/>
  <c r="AD698" i="1"/>
  <c r="AD699" i="1"/>
  <c r="AD700" i="1"/>
  <c r="AD701" i="1"/>
  <c r="AD704" i="1"/>
  <c r="AD705" i="1"/>
  <c r="AD706" i="1"/>
  <c r="AD707" i="1"/>
  <c r="AD708" i="1"/>
  <c r="AD709" i="1"/>
  <c r="AD710" i="1"/>
  <c r="AD711" i="1"/>
  <c r="AD712" i="1"/>
  <c r="AD713" i="1"/>
  <c r="AD716" i="1"/>
  <c r="AD719" i="1"/>
  <c r="AD720" i="1"/>
  <c r="AD721" i="1"/>
  <c r="AD722" i="1"/>
  <c r="AD723" i="1"/>
  <c r="AD724" i="1"/>
  <c r="AD725" i="1"/>
  <c r="AD731" i="1"/>
  <c r="AD732" i="1"/>
  <c r="AD733" i="1"/>
  <c r="AD734" i="1"/>
  <c r="AD735" i="1"/>
  <c r="AD736" i="1"/>
  <c r="AD737" i="1"/>
  <c r="AD743" i="1"/>
  <c r="AD744" i="1"/>
  <c r="AD745" i="1"/>
  <c r="AD746" i="1"/>
  <c r="AD747" i="1"/>
  <c r="AD748" i="1"/>
  <c r="AD749" i="1"/>
  <c r="AD752" i="1"/>
  <c r="AD755" i="1"/>
  <c r="AD756" i="1"/>
  <c r="AD757" i="1"/>
  <c r="AD758" i="1"/>
  <c r="AD759" i="1"/>
  <c r="AD760" i="1"/>
  <c r="AD761" i="1"/>
  <c r="AD764" i="1"/>
  <c r="AD767" i="1"/>
  <c r="AD768" i="1"/>
  <c r="AD769" i="1"/>
  <c r="AD770" i="1"/>
  <c r="AD771" i="1"/>
  <c r="AD772" i="1"/>
  <c r="AD773" i="1"/>
  <c r="AD776" i="1"/>
  <c r="AD777" i="1"/>
  <c r="AD778" i="1"/>
  <c r="AD779" i="1"/>
  <c r="AD780" i="1"/>
  <c r="AD781" i="1"/>
  <c r="AD782" i="1"/>
  <c r="AD783" i="1"/>
  <c r="AD784" i="1"/>
  <c r="AD785" i="1"/>
  <c r="AD788" i="1"/>
  <c r="AD791" i="1"/>
  <c r="AD792" i="1"/>
  <c r="AD793" i="1"/>
  <c r="AD794" i="1"/>
  <c r="AD795" i="1"/>
  <c r="AD796" i="1"/>
  <c r="AD797" i="1"/>
  <c r="AD803" i="1"/>
  <c r="AD804" i="1"/>
  <c r="AD805" i="1"/>
  <c r="AD806" i="1"/>
  <c r="AD807" i="1"/>
  <c r="AD808" i="1"/>
  <c r="AD809" i="1"/>
  <c r="AD815" i="1"/>
  <c r="AD816" i="1"/>
  <c r="AD817" i="1"/>
  <c r="AD818" i="1"/>
  <c r="AD819" i="1"/>
  <c r="AD820" i="1"/>
  <c r="AD821" i="1"/>
  <c r="AD824" i="1"/>
  <c r="AD827" i="1"/>
  <c r="AD828" i="1"/>
  <c r="AD829" i="1"/>
  <c r="AD830" i="1"/>
  <c r="AD831" i="1"/>
  <c r="AD832" i="1"/>
  <c r="AD833" i="1"/>
  <c r="AD836" i="1"/>
  <c r="AD839" i="1"/>
  <c r="AD840" i="1"/>
  <c r="AD841" i="1"/>
  <c r="AD842" i="1"/>
  <c r="AD843" i="1"/>
  <c r="AD844" i="1"/>
  <c r="AD845" i="1"/>
  <c r="AD848" i="1"/>
  <c r="AD849" i="1"/>
  <c r="AD850" i="1"/>
  <c r="AD851" i="1"/>
  <c r="AD852" i="1"/>
  <c r="AD853" i="1"/>
  <c r="AD854" i="1"/>
  <c r="AD855" i="1"/>
  <c r="AD856" i="1"/>
  <c r="AD857" i="1"/>
  <c r="AD860" i="1"/>
  <c r="AD863" i="1"/>
  <c r="AD864" i="1"/>
  <c r="AD865" i="1"/>
  <c r="AD866" i="1"/>
  <c r="AD867" i="1"/>
  <c r="AD868" i="1"/>
  <c r="AD869" i="1"/>
  <c r="AD875" i="1"/>
  <c r="AD876" i="1"/>
  <c r="AD877" i="1"/>
  <c r="AD878" i="1"/>
  <c r="AD879" i="1"/>
  <c r="AD880" i="1"/>
  <c r="AD881" i="1"/>
  <c r="AD887" i="1"/>
  <c r="AD888" i="1"/>
  <c r="AD889" i="1"/>
  <c r="AD890" i="1"/>
  <c r="AD891" i="1"/>
  <c r="AD892" i="1"/>
  <c r="AD893" i="1"/>
  <c r="AD896" i="1"/>
  <c r="AD899" i="1"/>
  <c r="AD900" i="1"/>
  <c r="AD901" i="1"/>
  <c r="AD902" i="1"/>
  <c r="AD903" i="1"/>
  <c r="AD904" i="1"/>
  <c r="AD905" i="1"/>
  <c r="AD908" i="1"/>
  <c r="AD911" i="1"/>
  <c r="AD912" i="1"/>
  <c r="AD913" i="1"/>
  <c r="AD914" i="1"/>
  <c r="AD915" i="1"/>
  <c r="AD916" i="1"/>
  <c r="AD917" i="1"/>
  <c r="AD920" i="1"/>
  <c r="AD921" i="1"/>
  <c r="AD922" i="1"/>
  <c r="AD923" i="1"/>
  <c r="AD924" i="1"/>
  <c r="AD925" i="1"/>
  <c r="AD926" i="1"/>
  <c r="AD927" i="1"/>
  <c r="AD928" i="1"/>
  <c r="AD929" i="1"/>
  <c r="AD932" i="1"/>
  <c r="AD935" i="1"/>
  <c r="AD936" i="1"/>
  <c r="AD937" i="1"/>
  <c r="AD938" i="1"/>
  <c r="AD939" i="1"/>
  <c r="AD940" i="1"/>
  <c r="AD941" i="1"/>
  <c r="AD947" i="1"/>
  <c r="AD948" i="1"/>
  <c r="AD949" i="1"/>
  <c r="AD950" i="1"/>
  <c r="AD951" i="1"/>
  <c r="AD952" i="1"/>
  <c r="AD953" i="1"/>
  <c r="AD959" i="1"/>
  <c r="AD960" i="1"/>
  <c r="AD961" i="1"/>
  <c r="AD962" i="1"/>
  <c r="AD963" i="1"/>
  <c r="AD964" i="1"/>
  <c r="AD965" i="1"/>
  <c r="AD968" i="1"/>
  <c r="AD971" i="1"/>
  <c r="AD972" i="1"/>
  <c r="AD973" i="1"/>
  <c r="AD974" i="1"/>
  <c r="AD975" i="1"/>
  <c r="AD976" i="1"/>
  <c r="AD977" i="1"/>
  <c r="AD980" i="1"/>
  <c r="AD983" i="1"/>
  <c r="AD984" i="1"/>
  <c r="AD985" i="1"/>
  <c r="AD986" i="1"/>
  <c r="AD987" i="1"/>
  <c r="AD988" i="1"/>
  <c r="AD989" i="1"/>
  <c r="AD992" i="1"/>
  <c r="AD993" i="1"/>
  <c r="AD994" i="1"/>
  <c r="AD995" i="1"/>
  <c r="AD996" i="1"/>
  <c r="AD997" i="1"/>
  <c r="AD998" i="1"/>
  <c r="AD999" i="1"/>
  <c r="AD1000" i="1"/>
  <c r="AD1001" i="1"/>
  <c r="AD1004" i="1"/>
  <c r="AD1007" i="1"/>
  <c r="AD1008" i="1"/>
  <c r="AD1009" i="1"/>
  <c r="AD1010" i="1"/>
  <c r="AD1011" i="1"/>
  <c r="AD1012" i="1"/>
  <c r="AD1019" i="1"/>
  <c r="AD1020" i="1"/>
  <c r="AD1021" i="1"/>
  <c r="AD1022" i="1"/>
  <c r="AD1023" i="1"/>
  <c r="AD1024" i="1"/>
  <c r="AD1025" i="1"/>
  <c r="AD1031" i="1"/>
  <c r="AD1032" i="1"/>
  <c r="AD1033" i="1"/>
  <c r="AD1034" i="1"/>
  <c r="AD1035" i="1"/>
  <c r="AD1036" i="1"/>
  <c r="AD1037" i="1"/>
  <c r="AD1043" i="1"/>
  <c r="AD1044" i="1"/>
  <c r="AD1045" i="1"/>
  <c r="AD1046" i="1"/>
  <c r="AD1047" i="1"/>
  <c r="AD1048" i="1"/>
  <c r="AD1049" i="1"/>
  <c r="AD1055" i="1"/>
  <c r="AD1056" i="1"/>
  <c r="AD1057" i="1"/>
  <c r="AD1058" i="1"/>
  <c r="AD1059" i="1"/>
  <c r="AD1060" i="1"/>
  <c r="AD1061" i="1"/>
  <c r="AD1067" i="1"/>
  <c r="AD1068" i="1"/>
  <c r="AD1069" i="1"/>
  <c r="AD1070" i="1"/>
  <c r="AD1071" i="1"/>
  <c r="AD1072" i="1"/>
  <c r="AD1073" i="1"/>
  <c r="AD1079" i="1"/>
  <c r="AD1080" i="1"/>
  <c r="AD1081" i="1"/>
  <c r="AD1082" i="1"/>
  <c r="AD1083" i="1"/>
  <c r="AD1084" i="1"/>
  <c r="AD1085" i="1"/>
  <c r="AD1091" i="1"/>
  <c r="AD1092" i="1"/>
  <c r="AD1093" i="1"/>
  <c r="AD1094" i="1"/>
  <c r="AD1095" i="1"/>
  <c r="AD1096" i="1"/>
  <c r="AD1097" i="1"/>
  <c r="AD1103" i="1"/>
  <c r="AD1104" i="1"/>
  <c r="AD1105" i="1"/>
  <c r="AD1106" i="1"/>
  <c r="AD1107" i="1"/>
  <c r="AD1108" i="1"/>
  <c r="AD1109" i="1"/>
  <c r="AD1111" i="1"/>
  <c r="AD1115" i="1"/>
  <c r="AD1116" i="1"/>
  <c r="AD1117" i="1"/>
  <c r="AD1118" i="1"/>
  <c r="AD1119" i="1"/>
  <c r="AD1120" i="1"/>
  <c r="AD1121" i="1"/>
  <c r="AD1123" i="1"/>
  <c r="AD1127" i="1"/>
  <c r="AD1128" i="1"/>
  <c r="AD1129" i="1"/>
  <c r="AD1130" i="1"/>
  <c r="AD1131" i="1"/>
  <c r="AD1132" i="1"/>
  <c r="AD1133" i="1"/>
  <c r="AD1135" i="1"/>
  <c r="AD1139" i="1"/>
  <c r="AD1140" i="1"/>
  <c r="AD1141" i="1"/>
  <c r="AD1142" i="1"/>
  <c r="AD1143" i="1"/>
  <c r="AD1144" i="1"/>
  <c r="AD1145" i="1"/>
  <c r="AD1147" i="1"/>
  <c r="AD1151" i="1"/>
  <c r="AD1152" i="1"/>
  <c r="AD1153" i="1"/>
  <c r="AD1154" i="1"/>
  <c r="AD1155" i="1"/>
  <c r="AD1156" i="1"/>
  <c r="AD1157" i="1"/>
  <c r="AD1159" i="1"/>
  <c r="AD1163" i="1"/>
  <c r="AD1164" i="1"/>
  <c r="AD1165" i="1"/>
  <c r="AD1166" i="1"/>
  <c r="AD1167" i="1"/>
  <c r="AD1168" i="1"/>
  <c r="AD1169" i="1"/>
  <c r="AD1171" i="1"/>
  <c r="AD1175" i="1"/>
  <c r="AD1176" i="1"/>
  <c r="AD1177" i="1"/>
  <c r="AD1178" i="1"/>
  <c r="AD1179" i="1"/>
  <c r="AD1180" i="1"/>
  <c r="AD1181" i="1"/>
  <c r="AD1183" i="1"/>
  <c r="AD1187" i="1"/>
  <c r="AD1188" i="1"/>
  <c r="AD1189" i="1"/>
  <c r="AD1190" i="1"/>
  <c r="AD1191" i="1"/>
  <c r="AD1192" i="1"/>
  <c r="AD1193" i="1"/>
  <c r="AD1195" i="1"/>
  <c r="AD1199" i="1"/>
  <c r="AD1200" i="1"/>
  <c r="AD1201" i="1"/>
  <c r="AD1202" i="1"/>
  <c r="AD1203" i="1"/>
  <c r="AD1204" i="1"/>
  <c r="AD1205" i="1"/>
  <c r="AD1207" i="1"/>
  <c r="AD1211" i="1"/>
  <c r="AD1212" i="1"/>
  <c r="AD1213" i="1"/>
  <c r="AD1214" i="1"/>
  <c r="AD1215" i="1"/>
  <c r="AD1216" i="1"/>
  <c r="AD1217" i="1"/>
  <c r="AD1219" i="1"/>
  <c r="AD1223" i="1"/>
  <c r="AD1224" i="1"/>
  <c r="AD1225" i="1"/>
  <c r="AD1226" i="1"/>
  <c r="AD1227" i="1"/>
  <c r="AD1228" i="1"/>
  <c r="AD1229" i="1"/>
  <c r="AD1231" i="1"/>
  <c r="AD1235" i="1"/>
  <c r="AD1236" i="1"/>
  <c r="AD1237" i="1"/>
  <c r="AD1238" i="1"/>
  <c r="AD1239" i="1"/>
  <c r="AD1240" i="1"/>
  <c r="AD1241" i="1"/>
  <c r="AD1243" i="1"/>
  <c r="AD1247" i="1"/>
  <c r="AD1248" i="1"/>
  <c r="AD1249" i="1"/>
  <c r="AD1250" i="1"/>
  <c r="AD1251" i="1"/>
  <c r="AD1252" i="1"/>
  <c r="AD1253" i="1"/>
  <c r="AD1255" i="1"/>
  <c r="AD1259" i="1"/>
  <c r="AD1260" i="1"/>
  <c r="AD1261" i="1"/>
  <c r="AD1262" i="1"/>
  <c r="AD1263" i="1"/>
  <c r="AD1264" i="1"/>
  <c r="AD1265" i="1"/>
  <c r="AD1267" i="1"/>
  <c r="AD1271" i="1"/>
  <c r="AD1272" i="1"/>
  <c r="AD1273" i="1"/>
  <c r="AD1274" i="1"/>
  <c r="AD1275" i="1"/>
  <c r="AD1276" i="1"/>
  <c r="AD1277" i="1"/>
  <c r="AD1279" i="1"/>
  <c r="AD1283" i="1"/>
  <c r="AD1284" i="1"/>
  <c r="AD1285" i="1"/>
  <c r="AD1286" i="1"/>
  <c r="AD1287" i="1"/>
  <c r="AD1288" i="1"/>
  <c r="AD1289" i="1"/>
  <c r="AD1291" i="1"/>
  <c r="AD1295" i="1"/>
  <c r="AD1296" i="1"/>
  <c r="AD1297" i="1"/>
  <c r="AD1298" i="1"/>
  <c r="AD1299" i="1"/>
  <c r="AD1300" i="1"/>
  <c r="AD1301" i="1"/>
  <c r="AD1303" i="1"/>
  <c r="AD1307" i="1"/>
  <c r="AD1308" i="1"/>
  <c r="AD1309" i="1"/>
  <c r="AD1310" i="1"/>
  <c r="AD1311" i="1"/>
  <c r="AD1312" i="1"/>
  <c r="AD1313" i="1"/>
  <c r="AD1315" i="1"/>
  <c r="AD1319" i="1"/>
  <c r="AD1320" i="1"/>
  <c r="AD1321" i="1"/>
  <c r="AD1322" i="1"/>
  <c r="AD1323" i="1"/>
  <c r="AD1324" i="1"/>
  <c r="AD1325" i="1"/>
  <c r="AD1327" i="1"/>
  <c r="AD1331" i="1"/>
  <c r="AD1332" i="1"/>
  <c r="AD1333" i="1"/>
  <c r="AD1334" i="1"/>
  <c r="AD1335" i="1"/>
  <c r="AD1336" i="1"/>
  <c r="AD1337" i="1"/>
  <c r="AD1339" i="1"/>
  <c r="AD1343" i="1"/>
  <c r="AD1344" i="1"/>
  <c r="AD1345" i="1"/>
  <c r="AD1346" i="1"/>
  <c r="AD1347" i="1"/>
  <c r="AD1348" i="1"/>
  <c r="AD1349" i="1"/>
  <c r="AD1351" i="1"/>
  <c r="AD1355" i="1"/>
  <c r="AD1356" i="1"/>
  <c r="AD1357" i="1"/>
  <c r="AD1358" i="1"/>
  <c r="AD1359" i="1"/>
  <c r="AD1360" i="1"/>
  <c r="AD1361" i="1"/>
  <c r="AD1363" i="1"/>
  <c r="AD1367" i="1"/>
  <c r="AD1368" i="1"/>
  <c r="AD1369" i="1"/>
  <c r="AD1370" i="1"/>
  <c r="AD1371" i="1"/>
  <c r="AD1372" i="1"/>
  <c r="AD1373" i="1"/>
  <c r="AD1375" i="1"/>
  <c r="AD1379" i="1"/>
  <c r="AD1380" i="1"/>
  <c r="AD1381" i="1"/>
  <c r="AD1382" i="1"/>
  <c r="AD1383" i="1"/>
  <c r="AD1384" i="1"/>
  <c r="AD1385" i="1"/>
  <c r="AD1387" i="1"/>
  <c r="AD1391" i="1"/>
  <c r="AD1392" i="1"/>
  <c r="AD1393" i="1"/>
  <c r="AD1394" i="1"/>
  <c r="AD1395" i="1"/>
  <c r="AD1396" i="1"/>
  <c r="AD1397" i="1"/>
  <c r="AD1399" i="1"/>
  <c r="AD1403" i="1"/>
  <c r="AD1404" i="1"/>
  <c r="AD1405" i="1"/>
  <c r="AD1406" i="1"/>
  <c r="AD1407" i="1"/>
  <c r="AD1408" i="1"/>
  <c r="AD1409" i="1"/>
  <c r="AD1411" i="1"/>
  <c r="AD1415" i="1"/>
  <c r="AD1416" i="1"/>
  <c r="AD1417" i="1"/>
  <c r="AD1418" i="1"/>
  <c r="AD1419" i="1"/>
  <c r="AD1420" i="1"/>
  <c r="AD1421" i="1"/>
  <c r="AD1423" i="1"/>
  <c r="AD1427" i="1"/>
  <c r="AD1428" i="1"/>
  <c r="AD1429" i="1"/>
  <c r="AD1430" i="1"/>
  <c r="AD1431" i="1"/>
  <c r="AD1432" i="1"/>
  <c r="AD1433" i="1"/>
  <c r="AD1435" i="1"/>
  <c r="AD1439" i="1"/>
  <c r="AD1440" i="1"/>
  <c r="AD1441" i="1"/>
  <c r="AD1442" i="1"/>
  <c r="AD1443" i="1"/>
  <c r="AD1444" i="1"/>
  <c r="AD1445" i="1"/>
  <c r="AD1447" i="1"/>
  <c r="AD1451" i="1"/>
  <c r="AD1452" i="1"/>
  <c r="AD1453" i="1"/>
  <c r="AD1454" i="1"/>
  <c r="AD1455" i="1"/>
  <c r="AD1456" i="1"/>
  <c r="AD1457" i="1"/>
  <c r="AD1459" i="1"/>
  <c r="AD1463" i="1"/>
  <c r="AD1464" i="1"/>
  <c r="AD1465" i="1"/>
  <c r="AD1466" i="1"/>
  <c r="AD1467" i="1"/>
  <c r="AD1468" i="1"/>
  <c r="AD1469" i="1"/>
  <c r="AD1471" i="1"/>
  <c r="AD1475" i="1"/>
  <c r="AD1476" i="1"/>
  <c r="AD1477" i="1"/>
  <c r="AD1478" i="1"/>
  <c r="AD1479" i="1"/>
  <c r="AD1480" i="1"/>
  <c r="AD1481" i="1"/>
  <c r="AD1483" i="1"/>
  <c r="AD1487" i="1"/>
  <c r="AD1488" i="1"/>
  <c r="AD1489" i="1"/>
  <c r="AD1490" i="1"/>
  <c r="AD1491" i="1"/>
  <c r="AD1492" i="1"/>
  <c r="AD1493" i="1"/>
  <c r="AD149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Franck, BRESSAN</author>
    <author>Pascal, EPIS</author>
  </authors>
  <commentList>
    <comment ref="C1" authorId="0" shapeId="0" xr:uid="{EE85F951-A79F-4718-AD8C-2BF2A56A352F}">
      <text>
        <r>
          <rPr>
            <b/>
            <sz val="9"/>
            <color indexed="81"/>
            <rFont val="Tahoma"/>
            <family val="2"/>
          </rPr>
          <t>Franck, BRESSAN:</t>
        </r>
        <r>
          <rPr>
            <sz val="9"/>
            <color indexed="81"/>
            <rFont val="Tahoma"/>
            <family val="2"/>
          </rPr>
          <t xml:space="preserve">
</t>
        </r>
      </text>
    </comment>
    <comment ref="G73" authorId="1" shapeId="0" xr:uid="{F6F39D68-359A-45D4-A2A1-3C2E2D8A0AEA}">
      <text>
        <r>
          <rPr>
            <b/>
            <sz val="9"/>
            <color indexed="81"/>
            <rFont val="Tahoma"/>
            <family val="2"/>
          </rPr>
          <t>Pascal, EPIS:</t>
        </r>
        <r>
          <rPr>
            <sz val="9"/>
            <color indexed="81"/>
            <rFont val="Tahoma"/>
            <family val="2"/>
          </rPr>
          <t xml:space="preserve">
</t>
        </r>
      </text>
    </comment>
  </commentList>
</comments>
</file>

<file path=xl/sharedStrings.xml><?xml version="1.0" encoding="utf-8"?>
<sst xmlns="http://schemas.openxmlformats.org/spreadsheetml/2006/main" count="30766" uniqueCount="3936">
  <si>
    <t>Augustin CARPINTEIRO</t>
  </si>
  <si>
    <t>ABPSI</t>
  </si>
  <si>
    <t>Christophe DARRET</t>
  </si>
  <si>
    <t>AC ENVIRONNEMENT</t>
  </si>
  <si>
    <t>Didier PAQUIN</t>
  </si>
  <si>
    <t>AC2P</t>
  </si>
  <si>
    <t>Emmanuel MINGANT</t>
  </si>
  <si>
    <t>AGS</t>
  </si>
  <si>
    <t>Fabrice BRESSAN</t>
  </si>
  <si>
    <t>APAVE</t>
  </si>
  <si>
    <t>Jean-Christophe HONART</t>
  </si>
  <si>
    <t>ART ET LE BOIS</t>
  </si>
  <si>
    <t>Jean-Luc TERACHE</t>
  </si>
  <si>
    <t>AVENIR DECONSTRUCTION</t>
  </si>
  <si>
    <t>Margaux CHEVALIER</t>
  </si>
  <si>
    <t>BSMG</t>
  </si>
  <si>
    <t>Michel ALEVEQUE</t>
  </si>
  <si>
    <t>CLIMATER</t>
  </si>
  <si>
    <t>Otmane BELHAJ</t>
  </si>
  <si>
    <t>COBAT</t>
  </si>
  <si>
    <t>Pascal EPIS</t>
  </si>
  <si>
    <t>DALKIA</t>
  </si>
  <si>
    <t>Phillipe BRAS</t>
  </si>
  <si>
    <t>ERIS</t>
  </si>
  <si>
    <t>Phillipe DOMERCQ</t>
  </si>
  <si>
    <t>FDS CORPUS</t>
  </si>
  <si>
    <t>Remy MERONI</t>
  </si>
  <si>
    <t>GULDAGIL</t>
  </si>
  <si>
    <t>LES PEINTURES PARISIENNES</t>
  </si>
  <si>
    <t>ROUGNON</t>
  </si>
  <si>
    <t>SANICOTHERM</t>
  </si>
  <si>
    <t>SCHINDLER</t>
  </si>
  <si>
    <t>SCHNEIDER</t>
  </si>
  <si>
    <t>SEA</t>
  </si>
  <si>
    <t>SNTPP</t>
  </si>
  <si>
    <t>TBES</t>
  </si>
  <si>
    <t>UTB</t>
  </si>
  <si>
    <t>VULCAIN</t>
  </si>
  <si>
    <t>T2024008 - Projet cours des communs</t>
  </si>
  <si>
    <t>T2024015 - Bureaux Pôle Technique</t>
  </si>
  <si>
    <t>T2024019 - Pavillon Peupliers</t>
  </si>
  <si>
    <t>T2024021 - Motorisation VCF Aubervilliers - CB1 - CB2</t>
  </si>
  <si>
    <t>T2024025 - CTA double flux bat ORLY</t>
  </si>
  <si>
    <t>T2024029 - Maison des Usagers</t>
  </si>
  <si>
    <t>T2024032 - Aubervilliers Ascenseurs</t>
  </si>
  <si>
    <t>T2024033 - Bondy Chapelain Sûreté</t>
  </si>
  <si>
    <t>T2024035 - Fuites terrasse CB2</t>
  </si>
  <si>
    <t>T2025001 - Montreuil Boissière</t>
  </si>
  <si>
    <t>T2025002- Chambre isolement</t>
  </si>
  <si>
    <t>T2024031</t>
  </si>
  <si>
    <t>Dossier</t>
  </si>
  <si>
    <t>Référent DPT</t>
  </si>
  <si>
    <t>Entreprise</t>
  </si>
  <si>
    <t>UF</t>
  </si>
  <si>
    <t>CL.2/Cl.6</t>
  </si>
  <si>
    <t>Budget</t>
  </si>
  <si>
    <t>Compte</t>
  </si>
  <si>
    <t>Imputation programme</t>
  </si>
  <si>
    <t>Catégorie Homogène / Code opération</t>
  </si>
  <si>
    <t>Villes</t>
  </si>
  <si>
    <t>Adresse</t>
  </si>
  <si>
    <t>Secteur</t>
  </si>
  <si>
    <t>Sites</t>
  </si>
  <si>
    <t>Service</t>
  </si>
  <si>
    <t>Numéro devis</t>
  </si>
  <si>
    <t>Date du devis</t>
  </si>
  <si>
    <t>Description du devis</t>
  </si>
  <si>
    <t>Montant HT</t>
  </si>
  <si>
    <t>TVA</t>
  </si>
  <si>
    <t>Montant TTC</t>
  </si>
  <si>
    <t>Date demande OS</t>
  </si>
  <si>
    <t>Statut demande OS</t>
  </si>
  <si>
    <t>Code Projet</t>
  </si>
  <si>
    <t>Validation D.T.M</t>
  </si>
  <si>
    <t>Observation D.T.M</t>
  </si>
  <si>
    <t>N°OS</t>
  </si>
  <si>
    <t>Date début Travaux</t>
  </si>
  <si>
    <t>Travail terminé</t>
  </si>
  <si>
    <t>8151</t>
  </si>
  <si>
    <t>Classe 6</t>
  </si>
  <si>
    <t>H</t>
  </si>
  <si>
    <t>615223 - Classe 6 Travaux Hors Pôle</t>
  </si>
  <si>
    <t>17  - Petits travaux et agencements</t>
  </si>
  <si>
    <t>T615-0027</t>
  </si>
  <si>
    <t>Saint Denis</t>
  </si>
  <si>
    <t>Suresnes</t>
  </si>
  <si>
    <t>G01</t>
  </si>
  <si>
    <t>HDJ</t>
  </si>
  <si>
    <t xml:space="preserve">6218/24 </t>
  </si>
  <si>
    <r>
      <rPr>
        <b/>
        <i/>
        <sz val="11"/>
        <color rgb="FFED0000"/>
        <rFont val="Calibri"/>
        <family val="2"/>
        <scheme val="minor"/>
      </rPr>
      <t>regul</t>
    </r>
    <r>
      <rPr>
        <b/>
        <sz val="11"/>
        <color theme="1"/>
        <rFont val="Calibri"/>
        <family val="2"/>
        <scheme val="minor"/>
      </rPr>
      <t xml:space="preserve"> </t>
    </r>
    <r>
      <rPr>
        <sz val="11"/>
        <color theme="1"/>
        <rFont val="Calibri"/>
        <family val="2"/>
        <scheme val="minor"/>
      </rPr>
      <t>reparation VR</t>
    </r>
  </si>
  <si>
    <t>L:\Services\SERVICE_DES_TRAVAUX\_NEW SERVEUR DPT\2000_PLAN TVX COURANT cl2-cl6\2025\130 Suivi plan de travaux 2025\Classe 6\502 A-CARPINTEIRO\MBC_LOT08 ABPSI\0010</t>
  </si>
  <si>
    <t>Soumis</t>
  </si>
  <si>
    <t>Validé</t>
  </si>
  <si>
    <t>REGULE 2024</t>
  </si>
  <si>
    <t>Oui</t>
  </si>
  <si>
    <t>8489</t>
  </si>
  <si>
    <t>Classe 2</t>
  </si>
  <si>
    <t>21351600 - IGAAC : Equipements sanitaires (plomberie bâtiment)</t>
  </si>
  <si>
    <t>Montreuil</t>
  </si>
  <si>
    <t>198, Boissière</t>
  </si>
  <si>
    <t>I03</t>
  </si>
  <si>
    <t>Centre de psychopathologie de l'enfant et de l'adolescent</t>
  </si>
  <si>
    <t>UHTP</t>
  </si>
  <si>
    <t>D2411063-5</t>
  </si>
  <si>
    <t>reprises de la salle de bain commune / suite fuites / GPA opération MONTREUIL I03. 
regul suite bon pour accord fin décembre pour démarrage travaux 19/12</t>
  </si>
  <si>
    <t>L:\Services\SERVICE_DES_TRAVAUX\_NEW SERVEUR DPT\2000_PLAN TVX COURANT cl2-cl6\2025\130 Suivi plan de travaux 2025\Classe 2\T2025001 - Montreuil boissière</t>
  </si>
  <si>
    <t>9023</t>
  </si>
  <si>
    <t>21351860 - Autres IGAAC : VMC (ventilation locaux)</t>
  </si>
  <si>
    <t>Boissière</t>
  </si>
  <si>
    <t>Gestion commune</t>
  </si>
  <si>
    <t>D2411061</t>
  </si>
  <si>
    <t>modifications des AF suite commission de sécurité</t>
  </si>
  <si>
    <t>5004</t>
  </si>
  <si>
    <t>5, Delafontaine</t>
  </si>
  <si>
    <t>G04</t>
  </si>
  <si>
    <t>Romain Rolland</t>
  </si>
  <si>
    <t>24-0378</t>
  </si>
  <si>
    <r>
      <rPr>
        <sz val="11"/>
        <color rgb="FFED0000"/>
        <rFont val="Calibri"/>
        <family val="2"/>
        <scheme val="minor"/>
      </rPr>
      <t xml:space="preserve">regul </t>
    </r>
    <r>
      <rPr>
        <sz val="11"/>
        <color theme="1"/>
        <rFont val="Calibri"/>
        <family val="2"/>
        <scheme val="minor"/>
      </rPr>
      <t>fuite ch1212</t>
    </r>
  </si>
  <si>
    <t>L:\Services\SERVICE_DES_TRAVAUX\_NEW SERVEUR DPT\2000_PLAN TVX COURANT cl2-cl6\2025\130 Suivi plan de travaux 2025\Classe 6\301 P-DOMERCQ\LOT 01 - SANICOTHERM - MACONNERIE</t>
  </si>
  <si>
    <t>5003</t>
  </si>
  <si>
    <t>G03</t>
  </si>
  <si>
    <t>24-0379</t>
  </si>
  <si>
    <r>
      <rPr>
        <sz val="11"/>
        <color rgb="FFED0000"/>
        <rFont val="Calibri"/>
        <family val="2"/>
        <scheme val="minor"/>
      </rPr>
      <t>regul</t>
    </r>
    <r>
      <rPr>
        <sz val="11"/>
        <color theme="1"/>
        <rFont val="Calibri"/>
        <family val="2"/>
        <scheme val="minor"/>
      </rPr>
      <t xml:space="preserve"> reprise carrelage sol</t>
    </r>
  </si>
  <si>
    <t>9012</t>
  </si>
  <si>
    <t>Aubervilliers</t>
  </si>
  <si>
    <t>Léger Félicité Sonthonax</t>
  </si>
  <si>
    <t>G02</t>
  </si>
  <si>
    <t>124627</t>
  </si>
  <si>
    <t>remplacement porte pivot self</t>
  </si>
  <si>
    <t>L:\Services\SERVICE_DES_TRAVAUX\_NEW SERVEUR DPT\2000_PLAN TVX COURANT cl2-cl6\2025\130 Suivi plan de travaux 2025\Classe 6\301 P-DOMERCQ\LOT 02 - ARTETLEBOIS -MENUISERIE</t>
  </si>
  <si>
    <t>5002</t>
  </si>
  <si>
    <t>CB1</t>
  </si>
  <si>
    <t>124641</t>
  </si>
  <si>
    <r>
      <rPr>
        <sz val="11"/>
        <color rgb="FFED0000"/>
        <rFont val="Calibri"/>
        <family val="2"/>
        <scheme val="minor"/>
      </rPr>
      <t xml:space="preserve">regul </t>
    </r>
    <r>
      <rPr>
        <sz val="11"/>
        <color theme="1"/>
        <rFont val="Calibri"/>
        <family val="2"/>
        <scheme val="minor"/>
      </rPr>
      <t>ch 209 paumelles porte</t>
    </r>
  </si>
  <si>
    <t>5013</t>
  </si>
  <si>
    <t>G13</t>
  </si>
  <si>
    <t>CB2</t>
  </si>
  <si>
    <t>124650</t>
  </si>
  <si>
    <t>remise en jeu portes rdc et R+1</t>
  </si>
  <si>
    <t>15 - Equipements sanitaires (plomberie bâtiment)</t>
  </si>
  <si>
    <t>2412049</t>
  </si>
  <si>
    <r>
      <rPr>
        <sz val="11"/>
        <color rgb="FFFF0000"/>
        <rFont val="Calibri"/>
        <family val="2"/>
        <scheme val="minor"/>
      </rPr>
      <t>regul</t>
    </r>
    <r>
      <rPr>
        <sz val="11"/>
        <color theme="1"/>
        <rFont val="Calibri"/>
        <family val="2"/>
        <scheme val="minor"/>
      </rPr>
      <t xml:space="preserve"> fuite  plomberie douche</t>
    </r>
  </si>
  <si>
    <t>L:\Services\SERVICE_DES_TRAVAUX\_NEW SERVEUR DPT\2000_PLAN TVX COURANT cl2-cl6\2025\130 Suivi plan de travaux 2025\Classe 6\301 P-DOMERCQ\LOT 05 - BSMG - CVC</t>
  </si>
  <si>
    <t>0202</t>
  </si>
  <si>
    <t>Neuilly sur Marne</t>
  </si>
  <si>
    <t>Jean Jaurès</t>
  </si>
  <si>
    <t>Direction</t>
  </si>
  <si>
    <t>DRH</t>
  </si>
  <si>
    <t>D 6196/24</t>
  </si>
  <si>
    <t>Volet roulant rénovation</t>
  </si>
  <si>
    <t>L:\Services\SERVICE_DES_TRAVAUX\_NEW SERVEUR DPT\2000_PLAN TVX COURANT cl2-cl6\2025\130 Suivi plan de travaux 2025\Classe 6\502 A-CARPINTEIRO\MBC_LOT08 ABPSI</t>
  </si>
  <si>
    <t>CMP</t>
  </si>
  <si>
    <t>5001</t>
  </si>
  <si>
    <t>17257</t>
  </si>
  <si>
    <t>remplacement vitrage</t>
  </si>
  <si>
    <t>L:\Services\SERVICE_DES_TRAVAUX\_NEW SERVEUR DPT\2000_PLAN TVX COURANT cl2-cl6\2025\130 Suivi plan de travaux 2025\Classe 6\301 P-DOMERCQ\CMP</t>
  </si>
  <si>
    <t>0110</t>
  </si>
  <si>
    <t>Direction générale</t>
  </si>
  <si>
    <t>12,2024 DE017811</t>
  </si>
  <si>
    <t>Peinture et rénovation parquet du Bureau du secrétariat de la Directrice</t>
  </si>
  <si>
    <t>L:\Services\SERVICE_DES_TRAVAUX\_NEW SERVEUR DPT\2000_PLAN TVX COURANT cl2-cl6\2025\130 Suivi plan de travaux 2025\Classe 6\303 R-MERONI\LOT 03 - LES PEINTURES PARISIENNES\0012</t>
  </si>
  <si>
    <t>Non</t>
  </si>
  <si>
    <t>8089</t>
  </si>
  <si>
    <t>62884 - Classe 6 Autres presta diverses DPT (Vérif. Réglementaires)</t>
  </si>
  <si>
    <t>Regis Moreau</t>
  </si>
  <si>
    <t>UNIRRE HDJ</t>
  </si>
  <si>
    <r>
      <rPr>
        <sz val="11"/>
        <color rgb="FFFF0000"/>
        <rFont val="Calibri"/>
        <family val="2"/>
        <scheme val="minor"/>
      </rPr>
      <t>Régul</t>
    </r>
    <r>
      <rPr>
        <sz val="11"/>
        <color theme="1"/>
        <rFont val="Calibri"/>
        <family val="2"/>
        <scheme val="minor"/>
      </rPr>
      <t>: Diag amiante et plomb pour travaux d'aménagement d'un appartement de travail d'autonomisation patients</t>
    </r>
  </si>
  <si>
    <t>L:\Services\SERVICE_DES_TRAVAUX\_NEW SERVEUR DPT\2000_PLAN TVX COURANT cl2-cl6\2025\130 Suivi plan de travaux 2025\Classe 2\T2025005 Appartement  Unirre-Care\013</t>
  </si>
  <si>
    <t>PINEAPPLE</t>
  </si>
  <si>
    <t>21351820  - Autres IGAAC : Petits travaux et agencement</t>
  </si>
  <si>
    <t>T2024012 - Romain Roland - Saint Denis</t>
  </si>
  <si>
    <t>QN/118753</t>
  </si>
  <si>
    <t>Déplacement Lit CI 2104</t>
  </si>
  <si>
    <t>L:\Services\SERVICE_DES_TRAVAUX\_NEW SERVEUR DPT\2000_PLAN TVX COURANT cl2-cl6\2024\00 plan 2024\010 Suivi Plan 2024\CLasse 2\T2024012 Romain Roland - Saint Denis\LOT 14 - PINEAPPLE - AGENCEMENT\0014</t>
  </si>
  <si>
    <t>5006</t>
  </si>
  <si>
    <t>21351100 - IGAAC : Matériel électrique (CFO bâtiment)</t>
  </si>
  <si>
    <t>T2024039 RENOV 2024 25 CB2 RDC EX G06</t>
  </si>
  <si>
    <t>G06</t>
  </si>
  <si>
    <t>D2246914</t>
  </si>
  <si>
    <t>devis de reamenagement eclairages/ctrl</t>
  </si>
  <si>
    <t>\\SRV-EPS-fai11.epsve.local\DPT\Services\SERVICE_DES_TRAVAUX\_NEW SERVEUR DPT\2000_PLAN TVX COURANT cl2-cl6\2024\00 plan 2024\010 Suivi Plan 2024\CLasse 2\T2024039 renov 2024 25  CB2 RDC ex G06</t>
  </si>
  <si>
    <t>5011</t>
  </si>
  <si>
    <t>615222 - Classe 6 Travaux Pôle</t>
  </si>
  <si>
    <t>Bondy</t>
  </si>
  <si>
    <t>Lucien Chapelain</t>
  </si>
  <si>
    <t>G11</t>
  </si>
  <si>
    <t>Chapelain</t>
  </si>
  <si>
    <t>124651</t>
  </si>
  <si>
    <t>Suite dégradation ,remplacement du plan de toilette de la chambre 218 par modèle résine avec vasque intégrée ,façade en SC démontable ,miroir PVC</t>
  </si>
  <si>
    <t>L:\Services\SERVICE_DES_TRAVAUX\_NEW SERVEUR DPT\2000_PLAN TVX COURANT cl2-cl6\2025\130 Suivi plan de travaux 2025\Classe 6\303 R-MERONI\LOT 02 - ARTETLEBOIS -MENUISERIE\16 Bondy chambre  218 résine</t>
  </si>
  <si>
    <t>8083</t>
  </si>
  <si>
    <t>T2023035 - Acacias</t>
  </si>
  <si>
    <t>G09</t>
  </si>
  <si>
    <t>ACACIAS</t>
  </si>
  <si>
    <t>24-0382</t>
  </si>
  <si>
    <t xml:space="preserve">reprises diverses et nettoyage </t>
  </si>
  <si>
    <t>L:\Services\SERVICE_DES_TRAVAUX\_NEW SERVEUR DPT\2000_PLAN TVX COURANT cl2-cl6\2025\130 Suivi plan de travaux 2025\Classe 2\T2023035 - ACACIAS\0017 sanicotherm</t>
  </si>
  <si>
    <t>124629</t>
  </si>
  <si>
    <t>divers travaux menuiseries</t>
  </si>
  <si>
    <t>L:\Services\SERVICE_DES_TRAVAUX\_NEW SERVEUR DPT\2000_PLAN TVX COURANT cl2-cl6\2025\130 Suivi plan de travaux 2025\Classe 2\T2023035 - ACACIAS\0018devis art et bois</t>
  </si>
  <si>
    <t>1210</t>
  </si>
  <si>
    <t>21351850 - Autres IGAAC : Système de contrôle d'accès</t>
  </si>
  <si>
    <t>T2025004 - Contrôle acces ascenseurs</t>
  </si>
  <si>
    <t>Divers</t>
  </si>
  <si>
    <t>2246946A</t>
  </si>
  <si>
    <t>contrôle daccés ascenseurs</t>
  </si>
  <si>
    <t>L:\Services\SERVICE_DES_TRAVAUX\_NEW SERVEUR DPT\2000_PLAN TVX COURANT cl2-cl6\2025\130 Suivi plan de travaux 2025\Classe 2\T2025004 - Ctrl d'acces ascensseurs\0019 TBES</t>
  </si>
  <si>
    <t>127259</t>
  </si>
  <si>
    <r>
      <rPr>
        <sz val="11"/>
        <color rgb="FFFF0000"/>
        <rFont val="Calibri"/>
        <family val="2"/>
        <scheme val="minor"/>
      </rPr>
      <t xml:space="preserve">regul </t>
    </r>
    <r>
      <rPr>
        <sz val="11"/>
        <color theme="1"/>
        <rFont val="Calibri"/>
        <family val="2"/>
        <scheme val="minor"/>
      </rPr>
      <t>remplacement pôignee et panneau plein</t>
    </r>
  </si>
  <si>
    <t>127258</t>
  </si>
  <si>
    <t>Remplacement de la porte d'accés au patio fumeurs</t>
  </si>
  <si>
    <t>16 - Clos et couvert</t>
  </si>
  <si>
    <t>DCO24120047</t>
  </si>
  <si>
    <t>Remplacement d'un des 2 Velux du bureau de la Directrice qualité</t>
  </si>
  <si>
    <t>L:\Services\SERVICE_DES_TRAVAUX\_NEW SERVEUR DPT\2000_PLAN TVX COURANT cl2-cl6\2025\130 Suivi plan de travaux 2025\Classe 6\303 R-MERONI\LOT 07 - SCHNEIDER - COUVERTURE\23 Devis Schneider Velux Direction 3 eme étage Bou</t>
  </si>
  <si>
    <t>10 - Matériel électrique (CFO bâtiment)</t>
  </si>
  <si>
    <t>DV2246581</t>
  </si>
  <si>
    <t>alimentation occulus portes A&amp;B</t>
  </si>
  <si>
    <t>L:\Services\SERVICE_DES_TRAVAUX\_NEW SERVEUR DPT\2000_PLAN TVX COURANT cl2-cl6\2025\130 Suivi plan de travaux 2025\Classe 6\301 P-DOMERCQ\LOT 04- TBES - ELECTRICITE CFO-CFA</t>
  </si>
  <si>
    <t>2250039</t>
  </si>
  <si>
    <t>remplacement divers materiel electrique</t>
  </si>
  <si>
    <t>L:\Services\SERVICE_DES_TRAVAUX\_NEW SERVEUR DPT\2000_PLAN TVX COURANT cl2-cl6\2025\130 Suivi plan de travaux 2025\Classe 2\T2023035 - ACACIAS\TBES 2025</t>
  </si>
  <si>
    <t>2170</t>
  </si>
  <si>
    <t>C</t>
  </si>
  <si>
    <t>T2025006 - Securite IFSI - Formation</t>
  </si>
  <si>
    <t>Formation</t>
  </si>
  <si>
    <t>Falret</t>
  </si>
  <si>
    <t>IFSI</t>
  </si>
  <si>
    <t>2247049</t>
  </si>
  <si>
    <t>installation et contrôle d'accés barrieres</t>
  </si>
  <si>
    <t>L:\Services\SERVICE_DES_TRAVAUX\_NEW SERVEUR DPT\2000_PLAN TVX COURANT cl2-cl6\2025\130 Suivi plan de travaux 2025\Classe 2\T2025006 - Sécurite IFSI -Pole formation</t>
  </si>
  <si>
    <t>voir si on l affecte sur l'operation sureté?</t>
  </si>
  <si>
    <t>fev2025</t>
  </si>
  <si>
    <t>9016</t>
  </si>
  <si>
    <t>27 - Réseau d'assainissement EU EV EP</t>
  </si>
  <si>
    <t>Charles Tillon</t>
  </si>
  <si>
    <t xml:space="preserve">D2402500 </t>
  </si>
  <si>
    <t>Régul: Travaux de nettoyage hydrodynamique sur fosse de relevage Henri DUCHENE</t>
  </si>
  <si>
    <t>L:\Services\SERVICE_DES_TRAVAUX\_NEW SERVEUR DPT\2000_PLAN TVX COURANT cl2-cl6\2025\130 Suivi plan de travaux 2025\Classe 6\501 E-MINGANT\MBC_LOT11 SEA\0026</t>
  </si>
  <si>
    <t>(Romain, TVA à 20%)</t>
  </si>
  <si>
    <t>8575</t>
  </si>
  <si>
    <t>6152582 - Classe 6 Maintenance Hors Forfait</t>
  </si>
  <si>
    <t>14  - Monte charges et ascenseurs</t>
  </si>
  <si>
    <t>8128 - Appareils Elevateurs</t>
  </si>
  <si>
    <t>Drancy</t>
  </si>
  <si>
    <t>Roger Salengro</t>
  </si>
  <si>
    <t>I02</t>
  </si>
  <si>
    <t>Ancienne trésorerie</t>
  </si>
  <si>
    <t>155111478</t>
  </si>
  <si>
    <t>Fourniture et pose des contacts de surveillance de frein,
Réglages des jeux de fonctionnement
Raccordement dans le contrôleur de manoeuvre,
Programmation de la fonction,
Essais et remise en service.N31</t>
  </si>
  <si>
    <t>L:\Services\SERVICE_DES_TRAVAUX\_NEW SERVEUR DPT\2000_PLAN TVX COURANT cl2-cl6\2025\130 Suivi plan de travaux 2025\Classe 6\501 E-MINGANT\CONT_220026_lot01_SCHINDLER\0027</t>
  </si>
  <si>
    <t>1540</t>
  </si>
  <si>
    <t>13 - Installations chauffage (chauff bâtiment)</t>
  </si>
  <si>
    <t>8126 - Thermique</t>
  </si>
  <si>
    <t>DAHL</t>
  </si>
  <si>
    <t>Château-UCP</t>
  </si>
  <si>
    <t>UCP</t>
  </si>
  <si>
    <t>DK250100122</t>
  </si>
  <si>
    <t>REMPLACEMENT D'UN CAISSON EXTRACTEUR SANITAIRE VESTIAIRE UCPA</t>
  </si>
  <si>
    <t>L:\Services\SERVICE_DES_TRAVAUX\_NEW SERVEUR DPT\2000_PLAN TVX COURANT cl2-cl6\2025\130 Suivi plan de travaux 2025\Classe 6\501 E-MINGANT\CONT_220022_lot03_UTB_Insta thermiques\0028</t>
  </si>
  <si>
    <t>9011</t>
  </si>
  <si>
    <t>26  - Réseau électrique HTA_BT</t>
  </si>
  <si>
    <t>8117 - Electriques</t>
  </si>
  <si>
    <t>304914</t>
  </si>
  <si>
    <r>
      <t xml:space="preserve">Groupe electrogéne
</t>
    </r>
    <r>
      <rPr>
        <b/>
        <sz val="11"/>
        <rFont val="Calibri"/>
        <family val="2"/>
        <scheme val="minor"/>
      </rPr>
      <t xml:space="preserve">Régularisation </t>
    </r>
    <r>
      <rPr>
        <sz val="11"/>
        <color theme="1"/>
        <rFont val="Calibri"/>
        <family val="2"/>
        <scheme val="minor"/>
      </rPr>
      <t xml:space="preserve">sur dépannage  du 27-12-2024
Alarme détecteur de fuite </t>
    </r>
  </si>
  <si>
    <t>L:\Services\SERVICE_DES_TRAVAUX\_NEW SERVEUR DPT\2000_PLAN TVX COURANT cl2-cl6\2025\130 Suivi plan de travaux 2025\Classe 6\503 P-EPIS\CONT_220027_lot06_Rougnon-AGS_GE</t>
  </si>
  <si>
    <t>8908</t>
  </si>
  <si>
    <t>24  - Matériels de signalisation - infrastructures - voiries</t>
  </si>
  <si>
    <t>Noisy le Grand</t>
  </si>
  <si>
    <t>Glacis</t>
  </si>
  <si>
    <t>G18</t>
  </si>
  <si>
    <t>CATTP</t>
  </si>
  <si>
    <t>25V.E 5001</t>
  </si>
  <si>
    <t>reamenagement cloture et bordure pieton</t>
  </si>
  <si>
    <t>L:\Services\SERVICE_DES_TRAVAUX\_NEW SERVEUR DPT\2000_PLAN TVX COURANT cl2-cl6\2025\130 Suivi plan de travaux 2025\Classe 6\302 M-ALEVEQUE\LOT 09 - SNTPP - VRD\0047 noisy le grand</t>
  </si>
  <si>
    <t>Cela semble bien couteux</t>
  </si>
  <si>
    <t>8946</t>
  </si>
  <si>
    <t>Maréchal Leclerc</t>
  </si>
  <si>
    <t>G16</t>
  </si>
  <si>
    <t>Maréchal</t>
  </si>
  <si>
    <t>25V.E.5.003</t>
  </si>
  <si>
    <t>INSTALLATION PARKING VELOS ET TROTINETTES  attention,TVA 20%</t>
  </si>
  <si>
    <t>L:\Services\SERVICE_DES_TRAVAUX\_NEW SERVEUR DPT\2000_PLAN TVX COURANT cl2-cl6\2025\130 Suivi plan de travaux 2025\Classe 6\302 M-ALEVEQUE\LOT 09 - SNTPP - VRD\0048 rue jean jaures</t>
  </si>
  <si>
    <t>8606</t>
  </si>
  <si>
    <t>Henri DUCHÊNE</t>
  </si>
  <si>
    <t>DE017928</t>
  </si>
  <si>
    <t>sol R+4 bureau inf</t>
  </si>
  <si>
    <t>\\SRV-EPS-fai11.epsve.local\DPT\Services\SERVICE_DES_TRAVAUX\_NEW SERVEUR DPT\2000_PLAN TVX COURANT cl2-cl6\2025\130 Suivi plan de travaux 2025\Classe 6\301 P-DOMERCQ\LOT 03 - LES PEINTURES PARISIENNES</t>
  </si>
  <si>
    <t>21351820 - Autres IGAAC : Petits travaux et agencement</t>
  </si>
  <si>
    <t>8722</t>
  </si>
  <si>
    <t>remplacement plafonds suite degats des eaux</t>
  </si>
  <si>
    <t>D2412013</t>
  </si>
  <si>
    <t>travaux plomberie et chauffage sdb commune</t>
  </si>
  <si>
    <t>124630</t>
  </si>
  <si>
    <t>21351820 -  Autres IGAAC : Petits travaux et agencement</t>
  </si>
  <si>
    <t>DE017784</t>
  </si>
  <si>
    <t>refection sols/peintures</t>
  </si>
  <si>
    <t xml:space="preserve">240354 R2 </t>
  </si>
  <si>
    <t>reparations divers</t>
  </si>
  <si>
    <t>T2025007 - Portes DAS CB2</t>
  </si>
  <si>
    <t>124603</t>
  </si>
  <si>
    <t>portes DAS</t>
  </si>
  <si>
    <t>\\SRV-EPS-fai11.epsve.local\DPT\Services\SERVICE_DES_TRAVAUX\_NEW SERVEUR DPT\2000_PLAN TVX COURANT cl2-cl6\2025\130 Suivi plan de travaux 2025\Classe 2\T2025007- Portes DAS CB2</t>
  </si>
  <si>
    <t>DK241216703</t>
  </si>
  <si>
    <t>CLOS BENARD 1 - REMPLACEMENT DE VANNE ET SERVO MOTEUR</t>
  </si>
  <si>
    <t>L:\Services\SERVICE_DES_TRAVAUX\_NEW SERVEUR DPT\2000_PLAN TVX COURANT cl2-cl6\2025\130 Suivi plan de travaux 2025\Classe 6\501 E-MINGANT\CONT_220022_lot03_UTB_Insta thermiques\0039</t>
  </si>
  <si>
    <t>DK241216712</t>
  </si>
  <si>
    <t>CLOS BENARD 1 - REMPLACEMENT DE POMPE CHAUDIÈRE</t>
  </si>
  <si>
    <t>L:\Services\SERVICE_DES_TRAVAUX\_NEW SERVEUR DPT\2000_PLAN TVX COURANT cl2-cl6\2025\130 Suivi plan de travaux 2025\Classe 6\501 E-MINGANT\CONT_220022_lot03_UTB_Insta thermiques\0040</t>
  </si>
  <si>
    <t>D2412012</t>
  </si>
  <si>
    <t>planchers chauffants</t>
  </si>
  <si>
    <t>\\SRV-EPS-fai11.epsve.local\DPT\Services\SERVICE_DES_TRAVAUX\_NEW SERVEUR DPT\2000_PLAN TVX COURANT cl2-cl6\2024\00 plan 2024\010 Suivi Plan 2024\CLasse 2\T2024039 renov 2024 25  CB2 RDC ex G06\planchers chauffants cs et 2 ci</t>
  </si>
  <si>
    <t>24-0380</t>
  </si>
  <si>
    <t>demolition et reconstruction pour ci</t>
  </si>
  <si>
    <t>24-0381</t>
  </si>
  <si>
    <t>demolition et reconstruction  ch d'apaisement</t>
  </si>
  <si>
    <t>DCO24120009</t>
  </si>
  <si>
    <t>Mise en securité verriere batiment Eiffel</t>
  </si>
  <si>
    <t>L:\Services\SERVICE_DES_TRAVAUX\_NEW SERVEUR DPT\2000_PLAN TVX COURANT cl2-cl6\2024\00 plan 2024\010 Suivi Plan 2024\Classe 6\10. Didier PAQUIN\MBC_LOT07 SCHNEIDER</t>
  </si>
  <si>
    <t>TRAVAUX NON FAIT OS ANNULE</t>
  </si>
  <si>
    <t>21351810 - Autres IGAAC : Clos et couvert</t>
  </si>
  <si>
    <t>DCO 24120055</t>
  </si>
  <si>
    <t>sortie en toitures et reprises descentes et fuites toiture</t>
  </si>
  <si>
    <t>L:\Services\SERVICE_DES_TRAVAUX\_NEW SERVEUR DPT\2000_PLAN TVX COURANT cl2-cl6\2024\00 plan 2024\010 Suivi Plan 2024\CLasse 2\T2024015 BUREAUX POLE TECHNIQUE\AMENAGEMENT DES LOCAUX DU POLE TECHNIQUE\DEVIS</t>
  </si>
  <si>
    <t>T20240015</t>
  </si>
  <si>
    <t>8780</t>
  </si>
  <si>
    <t>T2025008- Montreuil Pasteur toiture</t>
  </si>
  <si>
    <t>Pasteur</t>
  </si>
  <si>
    <t>G10</t>
  </si>
  <si>
    <t>Hugo</t>
  </si>
  <si>
    <t>HDJ Agora</t>
  </si>
  <si>
    <t>21/905</t>
  </si>
  <si>
    <t>Refection complète de la toiture zinc</t>
  </si>
  <si>
    <t>L:\Services\SERVICE_DES_TRAVAUX\_NEW SERVEUR DPT\2000_PLAN TVX COURANT cl2-cl6\2025\130 Suivi plan de travaux 2025\Classe 2\T2025008 - Montreuil Pasteur toiture\046</t>
  </si>
  <si>
    <t>8096</t>
  </si>
  <si>
    <t>Provence</t>
  </si>
  <si>
    <t>25V.E.5.005</t>
  </si>
  <si>
    <t>Nettoyage de l’ensemble des verrieres</t>
  </si>
  <si>
    <t>L:\Services\SERVICE_DES_TRAVAUX\_NEW SERVEUR DPT\2000_PLAN TVX COURANT cl2-cl6\2025\130 Suivi plan de travaux 2025\Classe 6\302 M-ALEVEQUE\LOT 09 - SNTPP - VRD\0049 provence</t>
  </si>
  <si>
    <t>on en parle</t>
  </si>
  <si>
    <t>8594</t>
  </si>
  <si>
    <t>Rosny sous bois</t>
  </si>
  <si>
    <t>I05</t>
  </si>
  <si>
    <t>Jaurès</t>
  </si>
  <si>
    <t>25V.E 5.002</t>
  </si>
  <si>
    <t xml:space="preserve">TRAVAUX PARKING ET VOIERIES </t>
  </si>
  <si>
    <t>L:\Services\SERVICE_DES_TRAVAUX\_NEW SERVEUR DPT\2000_PLAN TVX COURANT cl2-cl6\2025\130 Suivi plan de travaux 2025\Classe 6\302 M-ALEVEQUE\LOT 09 - SNTPP - VRD\0050 rosny sous bois</t>
  </si>
  <si>
    <t>En attente</t>
  </si>
  <si>
    <t>on en parle
Rosny</t>
  </si>
  <si>
    <t>8926</t>
  </si>
  <si>
    <t>Paul et Camille Thomoux</t>
  </si>
  <si>
    <t>Thomoux</t>
  </si>
  <si>
    <t>25 .V.E 5.004B</t>
  </si>
  <si>
    <t xml:space="preserve">Abrits velos et amenagement bordures </t>
  </si>
  <si>
    <t>L:\Services\SERVICE_DES_TRAVAUX\_NEW SERVEUR DPT\2000_PLAN TVX COURANT cl2-cl6\2025\130 Suivi plan de travaux 2025\Classe 6\302 M-ALEVEQUE\LOT 09 - SNTPP - VRD\0051 thomoux</t>
  </si>
  <si>
    <r>
      <rPr>
        <i/>
        <sz val="11"/>
        <color theme="1"/>
        <rFont val="Calibri"/>
        <family val="2"/>
        <scheme val="minor"/>
      </rPr>
      <t>on en parle devis a refaire pour lim</t>
    </r>
    <r>
      <rPr>
        <sz val="11"/>
        <color theme="1"/>
        <rFont val="Calibri"/>
        <family val="2"/>
        <scheme val="minor"/>
      </rPr>
      <t>iter le cout</t>
    </r>
    <r>
      <rPr>
        <sz val="8"/>
        <color theme="1"/>
        <rFont val="Calibri"/>
        <family val="2"/>
        <scheme val="minor"/>
      </rPr>
      <t>.</t>
    </r>
    <r>
      <rPr>
        <sz val="8"/>
        <color rgb="FFFF0000"/>
        <rFont val="Calibri"/>
        <family val="2"/>
        <scheme val="minor"/>
      </rPr>
      <t>DEVIS REVISER</t>
    </r>
  </si>
  <si>
    <t xml:space="preserve">avril </t>
  </si>
  <si>
    <t>DE017807</t>
  </si>
  <si>
    <t>signaletique</t>
  </si>
  <si>
    <t>On en parle cela me semble couteux?</t>
  </si>
  <si>
    <t>8604</t>
  </si>
  <si>
    <t>La courneuve</t>
  </si>
  <si>
    <t>16, Général Leclerc</t>
  </si>
  <si>
    <t>Général Leclerc</t>
  </si>
  <si>
    <t>DE017720</t>
  </si>
  <si>
    <r>
      <rPr>
        <i/>
        <sz val="14"/>
        <color rgb="FFFF0000"/>
        <rFont val="Calibri"/>
        <family val="2"/>
        <scheme val="minor"/>
      </rPr>
      <t xml:space="preserve"> regul</t>
    </r>
    <r>
      <rPr>
        <sz val="11"/>
        <color theme="1"/>
        <rFont val="Calibri"/>
        <family val="2"/>
        <scheme val="minor"/>
      </rPr>
      <t xml:space="preserve"> Peinture sup la courneuve</t>
    </r>
  </si>
  <si>
    <t>L:\Services\SERVICE_DES_TRAVAUX\_NEW SERVEUR DPT\2000_PLAN TVX COURANT cl2-cl6\2025\130 Suivi plan de travaux 2025\Classe 6\301 P-DOMERCQ\LOT 03 - LES PEINTURES PARISIENNES</t>
  </si>
  <si>
    <t>20 - Système de contrôle d'accès</t>
  </si>
  <si>
    <t>8130 - Barrieres - Portes</t>
  </si>
  <si>
    <t>10004957</t>
  </si>
  <si>
    <t>régule sur dépannage du 18-12-2024 de la porte vitrée coullissante palier ascenceur N°70-02.
(en attente devis rectifié avec TVA à 20%- le 13-01-25)</t>
  </si>
  <si>
    <t>L:\Services\SERVICE_DES_TRAVAUX\_NEW SERVEUR DPT\2000_PLAN TVX COURANT cl2-cl6\2025\130 Suivi plan de travaux 2025\Classe 6\503 P-EPIS\CONT_220024_lot08_VULCAIN Barriere-Porte Auto</t>
  </si>
  <si>
    <t>10004959</t>
  </si>
  <si>
    <t>régule sur dépannage du 20-12-2024 de la barriére sortie
N° 74-02
(en attente devis rectifié  avec TVA à 20%- le 13-01-25)</t>
  </si>
  <si>
    <t>10004918</t>
  </si>
  <si>
    <t>MULTI SITES   régule pour visite de maintenance 2024 
1/2 des sites Extra hospitalier  (maintenance annuelle gérée par Romain.l,  n'a pas à être dans tableau OS))</t>
  </si>
  <si>
    <t>Refusé</t>
  </si>
  <si>
    <t>Voir avec EM
vu le 25-02</t>
  </si>
  <si>
    <t>10004919</t>
  </si>
  <si>
    <t>MULTI SITES   régule pour visite de maintenance 2024 
2/2 des sites Extra hospitalier /Intra  (maintenance annuelle gérée par Romain.l,  n'a pas à être dans tableau OS))</t>
  </si>
  <si>
    <t>Voir avec EM
VU LE 25/02</t>
  </si>
  <si>
    <t>25 - Réseau d'eau potable</t>
  </si>
  <si>
    <t>8127 - Adoucisseurs</t>
  </si>
  <si>
    <t>DE-19007</t>
  </si>
  <si>
    <t xml:space="preserve">Installation adoucisseur pour le lave vaisselle </t>
  </si>
  <si>
    <t>L:\Services\SERVICE_DES_TRAVAUX\_NEW SERVEUR DPT\2000_PLAN TVX COURANT cl2-cl6\2025\130 Suivi plan de travaux 2025\Classe 6\504 D-PAQUIN\CONT_220025_lot07_GULDAGIL-GILCAM Traitements eau</t>
  </si>
  <si>
    <t>SIEMENS</t>
  </si>
  <si>
    <t>TB24-93-31578_V2_R2</t>
  </si>
  <si>
    <t>Mise à jour de l'imagerie et programmation superviseur</t>
  </si>
  <si>
    <t>L:\Services\SERVICE_DES_TRAVAUX\_NEW SERVEUR DPT\2000_PLAN TVX COURANT cl2-cl6\2025\130 Suivi plan de travaux 2025\Classe 6\102 JC-HONART\Siemens GTC\Upgrade GTC</t>
  </si>
  <si>
    <t>sujet GTC
CAT. HOMO 8126</t>
  </si>
  <si>
    <t>8377</t>
  </si>
  <si>
    <t>FOYER</t>
  </si>
  <si>
    <t>DE017944</t>
  </si>
  <si>
    <t>refection peinture salle de soins</t>
  </si>
  <si>
    <t>D2412076/MA</t>
  </si>
  <si>
    <t>depose repose equiements sanitaires 2 CI et une ex cs</t>
  </si>
  <si>
    <t>DK250100580</t>
  </si>
  <si>
    <t xml:space="preserve">Remplacement vanne trois voies et moteur reseau plancher chauffant </t>
  </si>
  <si>
    <t>L:\Services\SERVICE_DES_TRAVAUX\_NEW SERVEUR DPT\2000_PLAN TVX COURANT cl2-cl6\2025\130 Suivi plan de travaux 2025\Classe 6\504 D-PAQUIN\CONT_220022_lot03_UTB_Insta thermiques</t>
  </si>
  <si>
    <t>10004901</t>
  </si>
  <si>
    <t>Régule sur intervention du 02-12-2024 pour portail 01-02 accés parking Rotonde  - AUBER  H.Duchêne</t>
  </si>
  <si>
    <t>10004903</t>
  </si>
  <si>
    <t>Régule sur intervention du 13-12-2024 pour portail 01-02 accés parking Rotone  - AUBER  H.Duchêne  MOTEUR Gauche en sortant HS</t>
  </si>
  <si>
    <t>10004897</t>
  </si>
  <si>
    <t>Remplacement moteur HS. Fourniture et pose du moteur gauche portail 01-02 accés parking Rotone  - AUBER  H.Duchêne</t>
  </si>
  <si>
    <t>8194</t>
  </si>
  <si>
    <t>Noisy le Sec</t>
  </si>
  <si>
    <t>Unité Périnatalité</t>
  </si>
  <si>
    <t>10004898</t>
  </si>
  <si>
    <t>régule intervention du 29-10-2024 sur diagnostique des sécurités de la porte de parking 43-01</t>
  </si>
  <si>
    <t>10004899</t>
  </si>
  <si>
    <t>régule intervention du 26-11-2024 vérification portail 50-03, côté rue Branly qui grince fortement et qui semble forcer</t>
  </si>
  <si>
    <t>9021</t>
  </si>
  <si>
    <t>10004686</t>
  </si>
  <si>
    <t>régule intervention du 24-10-2024 sur portillon 08-03</t>
  </si>
  <si>
    <t>10004753</t>
  </si>
  <si>
    <t>Regule intervention du 20-11-2024, remplacement des roulements haut du portail 08-02</t>
  </si>
  <si>
    <t>10004900</t>
  </si>
  <si>
    <t>Regule intervention du 29-11-2024, sur barriére sortie VE 74-02. régalage ampli de boucle. Prévoir remplacement boucle de sol douteuse (en attente devis rectifié avec TVA à 20%, le 13-01-2025)</t>
  </si>
  <si>
    <t>10004871</t>
  </si>
  <si>
    <t>Régule. Remplacement boucle de sol sur la barriére sortie V.E 74-02
(en attente du devis rectifié avec TVA à 20%, le 13-01-2025)</t>
  </si>
  <si>
    <t>DE017946</t>
  </si>
  <si>
    <t>sol et mur secretarit R+3 rotonde</t>
  </si>
  <si>
    <t>Mai</t>
  </si>
  <si>
    <t>Franck BRESSAN</t>
  </si>
  <si>
    <t>11 -Matériel téléphonique-informatique-alarmes-videosurveillance (CFA bâtiment)</t>
  </si>
  <si>
    <t>2246862</t>
  </si>
  <si>
    <t>remplacement centrale alarme intrusion qui est HS par une nouvelle installation UCPA</t>
  </si>
  <si>
    <t>L:\Services\SERVICE_DES_TRAVAUX\_NEW SERVEUR DPT\2000_PLAN TVX COURANT cl2-cl6\2025\130 Suivi plan de travaux 2025\Classe 6\402 F-BRESSAN</t>
  </si>
  <si>
    <t>016 - Sécurité des sites</t>
  </si>
  <si>
    <t>vu le 05-11</t>
  </si>
  <si>
    <t>8332</t>
  </si>
  <si>
    <t>P</t>
  </si>
  <si>
    <t>MAS</t>
  </si>
  <si>
    <t>Trigonelles / Touraine</t>
  </si>
  <si>
    <t>UHTP / HDJ</t>
  </si>
  <si>
    <t>6161/24</t>
  </si>
  <si>
    <t>Régule sur intervention du 08-11-2024.
Dépannage volet CH-8 -4- 5 de la MAS
(demande 2024 pas validée par JC-H)</t>
  </si>
  <si>
    <t>L:\Services\SERVICE_DES_TRAVAUX\_NEW SERVEUR DPT\2000_PLAN TVX COURANT cl2-cl6\2025\130 Suivi plan de travaux 2025\Classe 6\503 P-EPIS\MBC_LOT08 ABPSI</t>
  </si>
  <si>
    <t>6162/24</t>
  </si>
  <si>
    <t>Régule, sur intervention du 08-01-2024
Dépannage volet chambre 1106 du G04
 (demande 2024 pas validée par JC-H)</t>
  </si>
  <si>
    <t>6209/24</t>
  </si>
  <si>
    <t>Régule, sur intervention du 11-12-2024
Dépannage volet Bureau assistante sociale</t>
  </si>
  <si>
    <t>6210/10</t>
  </si>
  <si>
    <t>Régule, sur intervention du 11-12-2024
Dépannage volet de la chambre 215 du G11 au 1ET</t>
  </si>
  <si>
    <t>BDC envoyé</t>
  </si>
  <si>
    <t>6211/24</t>
  </si>
  <si>
    <t>Régule, sur intervention du 11-12-2024
Dépannage volet de la chambre 08 et 09  i03
Volet HS, à remplacer</t>
  </si>
  <si>
    <t xml:space="preserve">  5001</t>
  </si>
  <si>
    <t>6215/24</t>
  </si>
  <si>
    <t>Régule, sur intervention du 12-12-2024
Dépannage volet de la chambre 1211-G01 1ET</t>
  </si>
  <si>
    <t>6226/24</t>
  </si>
  <si>
    <t>Régule, sur intervention du 23-12-2024
Dépannage volet de la chambre 1211-G01 1ET</t>
  </si>
  <si>
    <t>24-0406</t>
  </si>
  <si>
    <t xml:space="preserve">rebouchage trous combles </t>
  </si>
  <si>
    <t>L:\Services\SERVICE_DES_TRAVAUX\_NEW SERVEUR DPT\2000_PLAN TVX COURANT cl2-cl6\2025\130 Suivi plan de travaux 2025\Classe 6\302 M-ALEVEQUE\LOT 01 - SANICOTHERM - MACONNERIE\079 logement duvivier</t>
  </si>
  <si>
    <t>25.V-EVRARD.5.006B</t>
  </si>
  <si>
    <t>signalisation sens circul clos Benard</t>
  </si>
  <si>
    <t>L:\Services\SERVICE_DES_TRAVAUX\_NEW SERVEUR DPT\2000_PLAN TVX COURANT cl2-cl6\2025\130 Suivi plan de travaux 2025\Classe 6\301 P-DOMERCQ\LOT 09 - SNTPP - VRD\0080 signalisation clos Benard</t>
  </si>
  <si>
    <t>8193</t>
  </si>
  <si>
    <t>Epinay sur seine</t>
  </si>
  <si>
    <t>DE0117956</t>
  </si>
  <si>
    <t>L:\Services\SERVICE_DES_TRAVAUX\_NEW SERVEUR DPT\2000_PLAN TVX COURANT cl2-cl6\2025\130 Suivi plan de travaux 2025\Classe 6\301 P-DOMERCQ\LOT 03 - LES PEINTURES PARISIENNES\0081 peinutre et sol epinay JJ</t>
  </si>
  <si>
    <t>8936</t>
  </si>
  <si>
    <t>9757</t>
  </si>
  <si>
    <t xml:space="preserve">pose de suspension anti bruit </t>
  </si>
  <si>
    <t>L:\Services\SERVICE_DES_TRAVAUX\_NEW SERVEUR DPT\2000_PLAN TVX COURANT cl2-cl6\2025\130 Suivi plan de travaux 2025\Classe 6\302 M-ALEVEQUE\LOT 13 - AC2P - CLOISONS FAUX PLAF\0082 thomoux</t>
  </si>
  <si>
    <t>8186</t>
  </si>
  <si>
    <t>Albatros</t>
  </si>
  <si>
    <t>8752</t>
  </si>
  <si>
    <r>
      <t xml:space="preserve">refection faux plafond </t>
    </r>
    <r>
      <rPr>
        <sz val="11"/>
        <color rgb="FFFF0000"/>
        <rFont val="Calibri"/>
        <family val="2"/>
        <scheme val="minor"/>
      </rPr>
      <t xml:space="preserve">attention TVA  10% SUR DEVIS </t>
    </r>
  </si>
  <si>
    <t>L:\Services\SERVICE_DES_TRAVAUX\_NEW SERVEUR DPT\2000_PLAN TVX COURANT cl2-cl6\2025\130 Suivi plan de travaux 2025\Classe 6\302 M-ALEVEQUE\LOT 13 - AC2P - CLOISONS FAUX PLAF\083 albatros gascogne</t>
  </si>
  <si>
    <t>8178</t>
  </si>
  <si>
    <t>DE 017953</t>
  </si>
  <si>
    <t xml:space="preserve">peinture  et sol divers locaux </t>
  </si>
  <si>
    <t>L:\Services\SERVICE_DES_TRAVAUX\_NEW SERVEUR DPT\2000_PLAN TVX COURANT cl2-cl6\2025\130 Suivi plan de travaux 2025\Classe 6\302 M-ALEVEQUE\LOT 03 - LES PEINTURES PARISIENNES\084 noisy le grand dglacis</t>
  </si>
  <si>
    <t>102784</t>
  </si>
  <si>
    <t xml:space="preserve">Création et mise en place d'une protection sur tuyaux fioul Cuve Externe- GE </t>
  </si>
  <si>
    <t>102791</t>
  </si>
  <si>
    <r>
      <t xml:space="preserve">Création et mise en place d'une protection sur tuyaux fioul Cuve Externe- GE 
</t>
    </r>
    <r>
      <rPr>
        <sz val="11"/>
        <color rgb="FFFF0000"/>
        <rFont val="Calibri"/>
        <family val="2"/>
        <scheme val="minor"/>
      </rPr>
      <t>(erreur d'intitulé,</t>
    </r>
    <r>
      <rPr>
        <sz val="11"/>
        <color theme="1"/>
        <rFont val="Calibri"/>
        <family val="2"/>
        <scheme val="minor"/>
      </rPr>
      <t xml:space="preserve"> C'est mise en place d'un carpot pour protection Cuve Externe et GE /  P.E  le 03/03/2025 )</t>
    </r>
  </si>
  <si>
    <t>DK250100437</t>
  </si>
  <si>
    <t>Intervention de dépannage comprenant diagnostics de l'ensemble des relevages CB1 (fosse à séparateur d'hydrocarbures et relevage EU EV) et des EP (quai de livraison) du  CB2</t>
  </si>
  <si>
    <t>L:\Services\SERVICE_DES_TRAVAUX\_NEW SERVEUR DPT\2000_PLAN TVX COURANT cl2-cl6\2025\130 Suivi plan de travaux 2025\Classe 6\504 D-PAQUIN\CONT_220022_lot03_UTB_Insta thermiques\0087</t>
  </si>
  <si>
    <t>DK250100438</t>
  </si>
  <si>
    <t>RENOVATION DU POSTE DE RELEVAGE EAUX USEES
HYDROCARBUREES</t>
  </si>
  <si>
    <t>L:\Services\SERVICE_DES_TRAVAUX\_NEW SERVEUR DPT\2000_PLAN TVX COURANT cl2-cl6\2025\130 Suivi plan de travaux 2025\Classe 6\504 D-PAQUIN\CONT_220022_lot03_UTB_Insta thermiques\0088</t>
  </si>
  <si>
    <t>DK250100439</t>
  </si>
  <si>
    <t>Remplacement du coffret de commande du poste eaux pluviales</t>
  </si>
  <si>
    <t>L:\Services\SERVICE_DES_TRAVAUX\_NEW SERVEUR DPT\2000_PLAN TVX COURANT cl2-cl6\2025\130 Suivi plan de travaux 2025\Classe 6\504 D-PAQUIN\CONT_220022_lot03_UTB_Insta thermiques\0089</t>
  </si>
  <si>
    <t>8197</t>
  </si>
  <si>
    <t>Dubreuil</t>
  </si>
  <si>
    <t>G14</t>
  </si>
  <si>
    <t xml:space="preserve">01,2025 DE017933  </t>
  </si>
  <si>
    <t>TS -régul Bureau médical et cage escalier grande salle réfectoire</t>
  </si>
  <si>
    <t>L:\Services\SERVICE_DES_TRAVAUX\_NEW SERVEUR DPT\2000_PLAN TVX COURANT cl2-cl6\2025\130 Suivi plan de travaux 2025\Classe 6\303 R-MERONI\LOT 03 - LES PEINTURES PARISIENNES\090 Dubreuil</t>
  </si>
  <si>
    <t>8162</t>
  </si>
  <si>
    <t>Bagnolet</t>
  </si>
  <si>
    <t>Victor Hugo</t>
  </si>
  <si>
    <t>G12</t>
  </si>
  <si>
    <t>DV-2246889</t>
  </si>
  <si>
    <t>Remplacement éclairage bureau consultation par modele leds  dimmable</t>
  </si>
  <si>
    <t>L:\Services\SERVICE_DES_TRAVAUX\_NEW SERVEUR DPT\2000_PLAN TVX COURANT cl2-cl6\2025\130 Suivi plan de travaux 2025\Classe 6\303 R-MERONI\LOT 04- TBES - ELECTRICITE CFO-CFA\0091\Bag Hugo</t>
  </si>
  <si>
    <t>T2025005 UNIRR APPART THÉRAPEUT</t>
  </si>
  <si>
    <t>24-024</t>
  </si>
  <si>
    <t>Enlèvement amiante S/section 4   colle faience suivant diagnostic Réf : 002EW478527    avec Plan retrait,encapsulage,avec BSDA</t>
  </si>
  <si>
    <t>L:\Services\SERVICE_DES_TRAVAUX\_NEW SERVEUR DPT\2000_PLAN TVX COURANT cl2-cl6\2025\130 Suivi plan de travaux 2025\Classe 2\T2025005 Appartement  Unirre-Care\092 Desamiantage</t>
  </si>
  <si>
    <t>21531020 - Matériels de signalisation, infrastructures, voiries</t>
  </si>
  <si>
    <t>°25.V-EVRARD.5.025c         02/05/25</t>
  </si>
  <si>
    <t>Travaux voieries liés aux pole formation et IFSI devis reactualisé</t>
  </si>
  <si>
    <t>L:\Services\SERVICE_DES_TRAVAUX\_NEW SERVEUR DPT\2000_PLAN TVX COURANT cl2-cl6\2025\130 Suivi plan de travaux 2025\Classe 2\T2025006 - Sécurite IFSI -Pole formation\093 SNTPP</t>
  </si>
  <si>
    <t>Michel on fait le point quand tu as tous les devis
BDC envoyé</t>
  </si>
  <si>
    <t>8164</t>
  </si>
  <si>
    <t>124670</t>
  </si>
  <si>
    <t>F&amp;P d'une claustra  dans salle attente des ADO à l'identique du secrétariat</t>
  </si>
  <si>
    <t>L:\Services\SERVICE_DES_TRAVAUX\_NEW SERVEUR DPT\2000_PLAN TVX COURANT cl2-cl6\2025\130 Suivi plan de travaux 2025\Classe 6\303 R-MERONI\LOT 02 - ARTETLEBOIS -MENUISERIE\0091 Claustra Montreuil RDC</t>
  </si>
  <si>
    <t>8912</t>
  </si>
  <si>
    <t>12 - Matériel Froid (clim bâtiment)</t>
  </si>
  <si>
    <t>81113 - Froid</t>
  </si>
  <si>
    <t>de-2411-41</t>
  </si>
  <si>
    <t xml:space="preserve">Regul (dossier 0937 exercice 2024 écrasé) Dépannage comprenant remise en service des PACs(s) du G12, suite malveillances coupures de la source électrique intempestives au TGBT et sur les  coupures de proximités </t>
  </si>
  <si>
    <t>L:\Services\SERVICE_DES_TRAVAUX\_NEW SERVEUR DPT\2000_PLAN TVX COURANT cl2-cl6\2025\130 Suivi plan de travaux 2025\Classe 6\501 E-MINGANT\CONT_220023_lot04_CLIMATER clim\0095</t>
  </si>
  <si>
    <t>merci de m'apporter  une explication lors de nos reunions maintenance (Explications données il y a 15 jrs)</t>
  </si>
  <si>
    <t>8609</t>
  </si>
  <si>
    <t>155102727</t>
  </si>
  <si>
    <t>Dépannage  comprenant remplacement du contact palier</t>
  </si>
  <si>
    <t>L:\Services\SERVICE_DES_TRAVAUX\_NEW SERVEUR DPT\2000_PLAN TVX COURANT cl2-cl6\2025\130 Suivi plan de travaux 2025\Classe 6\501 E-MINGANT\CONT_220026_lot01_SCHINDLER\0096</t>
  </si>
  <si>
    <t>8063</t>
  </si>
  <si>
    <t>Trefles</t>
  </si>
  <si>
    <t>PRDI</t>
  </si>
  <si>
    <t>155154013</t>
  </si>
  <si>
    <t>Dépannage comprenant remplacement du contact à clé suite à mauvaise utilisation</t>
  </si>
  <si>
    <t>L:\Services\SERVICE_DES_TRAVAUX\_NEW SERVEUR DPT\2000_PLAN TVX COURANT cl2-cl6\2025\130 Suivi plan de travaux 2025\Classe 6\501 E-MINGANT\CONT_220026_lot01_SCHINDLER\0097</t>
  </si>
  <si>
    <t>628811 - Prestations chauffage P2/Px</t>
  </si>
  <si>
    <t>23 - Installation chaufferie et distribution primaire</t>
  </si>
  <si>
    <t>8126 - Chauffage</t>
  </si>
  <si>
    <t>C24076608-1</t>
  </si>
  <si>
    <t xml:space="preserve">Remplancement de la régulation Primaire-Secondaire dans SST La nacelle </t>
  </si>
  <si>
    <t>L:\Services\SERVICE_DES_TRAVAUX\_NEW SERVEUR DPT\2000_PLAN TVX COURANT cl2-cl6\2025\130 Suivi plan de travaux 2025\Classe 6\501 E-MINGANT\CONT_190023_lot00_DALKIA\0098</t>
  </si>
  <si>
    <t>P6</t>
  </si>
  <si>
    <t>C24190284-1</t>
  </si>
  <si>
    <t>Régul réparation fuite sur réseau vapeur Galerie "Touraine"</t>
  </si>
  <si>
    <t>L:\Services\SERVICE_DES_TRAVAUX\_NEW SERVEUR DPT\2000_PLAN TVX COURANT cl2-cl6\2025\130 Suivi plan de travaux 2025\Classe 6\501 E-MINGANT\CONT_190023_lot00_DALKIA\0099</t>
  </si>
  <si>
    <t>8503</t>
  </si>
  <si>
    <t>Galliéni</t>
  </si>
  <si>
    <t>DV-2250460</t>
  </si>
  <si>
    <t xml:space="preserve">Suite F3SCT : sécF&amp;P d'un vidéophone sur porte escalier extérieur </t>
  </si>
  <si>
    <t>L:\Services\SERVICE_DES_TRAVAUX\_NEW SERVEUR DPT\2000_PLAN TVX COURANT cl2-cl6\2025\130 Suivi plan de travaux 2025\Classe 6\303 R-MERONI\LOT 04- TBES - ELECTRICITE CFO-CFA\0100 Bondy Gallieni Vidéophone 5 eme</t>
  </si>
  <si>
    <t>2017</t>
  </si>
  <si>
    <t>Crèche - Garderie</t>
  </si>
  <si>
    <t>enfants</t>
  </si>
  <si>
    <t>6285-25</t>
  </si>
  <si>
    <t>L:\Services\SERVICE_DES_TRAVAUX\_NEW SERVEUR DPT\2000_PLAN TVX COURANT cl2-cl6\2025\130 Suivi plan de travaux 2025\Classe 6\502 A-CARPINTEIRO\MBC_LOT08 ABPSI\0101</t>
  </si>
  <si>
    <t>D2501153/MA</t>
  </si>
  <si>
    <t xml:space="preserve">caniveau en remplacement des siphons de sol </t>
  </si>
  <si>
    <t>D2501152/MA</t>
  </si>
  <si>
    <t>regul recherche de fuite</t>
  </si>
  <si>
    <t>L:\Services\SERVICE_DES_TRAVAUX\_NEW SERVEUR DPT\2000_PLAN TVX COURANT cl2-cl6\2025\130 Suivi plan de travaux 2025\Classe 6\301 P-DOMERCQ\LOT 05 - BSMG - CVC\0103</t>
  </si>
  <si>
    <t>DV-2250476</t>
  </si>
  <si>
    <t>creation poste de travail</t>
  </si>
  <si>
    <t xml:space="preserve">17-petits travaux et agencement </t>
  </si>
  <si>
    <t>124680</t>
  </si>
  <si>
    <t xml:space="preserve">remplacement portes et revisions de 18 portes  </t>
  </si>
  <si>
    <t>L:\Services\SERVICE_DES_TRAVAUX\_NEW SERVEUR DPT\2000_PLAN TVX COURANT cl2-cl6\2025\130 Suivi plan de travaux 2025\Classe 2\T2023035 - ACACIAS\0105art et bois</t>
  </si>
  <si>
    <t>c'est quoi 
regule en lien avec la commission de secu</t>
  </si>
  <si>
    <t>17279/01/25</t>
  </si>
  <si>
    <t>vitrages HS et Portes à remettre en jeu</t>
  </si>
  <si>
    <t>D2501075</t>
  </si>
  <si>
    <t>Réalisation d'une étancheité avant chappe</t>
  </si>
  <si>
    <t>\\SRV-EPS-fai11.epsve.local\DPT\Services\SERVICE_DES_TRAVAUX\_NEW SERVEUR DPT\2000_PLAN TVX COURANT cl2-cl6\2025\130 Suivi plan de travaux 2025\Classe 2\T2025001 - Montreuil boissière</t>
  </si>
  <si>
    <t>DK250100951</t>
  </si>
  <si>
    <r>
      <t xml:space="preserve">Remplacement pompes sous sol </t>
    </r>
    <r>
      <rPr>
        <sz val="11"/>
        <color rgb="FFFF0000"/>
        <rFont val="Calibri"/>
        <family val="2"/>
        <scheme val="minor"/>
      </rPr>
      <t>TVA 20 %</t>
    </r>
  </si>
  <si>
    <t>T2023035</t>
  </si>
  <si>
    <t>d2501154</t>
  </si>
  <si>
    <t xml:space="preserve">divers travaux plomberie chauffage </t>
  </si>
  <si>
    <t>L:\Services\SERVICE_DES_TRAVAUX\_NEW SERVEUR DPT\2000_PLAN TVX COURANT cl2-cl6\2025\130 Suivi plan de travaux 2025\Classe 2\T2023035 - ACACIAS\0119 art et bois</t>
  </si>
  <si>
    <t>c'est quoi 
suite remarque EOH</t>
  </si>
  <si>
    <t>21 - VMC - ventilation des locaux</t>
  </si>
  <si>
    <t>D2501156/MA</t>
  </si>
  <si>
    <t xml:space="preserve">Banéothérapie :Création d'un système d'extraction </t>
  </si>
  <si>
    <t>L:\Services\SERVICE_DES_TRAVAUX\_NEW SERVEUR DPT\2000_PLAN TVX COURANT cl2-cl6\2025\130 Suivi plan de travaux 2025\Classe 6\303 R-MERONI\LOT 05 - BSMG - CVC\MAS\0110 Extracteur MAS</t>
  </si>
  <si>
    <r>
      <t xml:space="preserve">le devis est il il verifé? </t>
    </r>
    <r>
      <rPr>
        <sz val="11"/>
        <color rgb="FFFF0000"/>
        <rFont val="Calibri"/>
        <family val="2"/>
        <scheme val="minor"/>
      </rPr>
      <t>rép :oui</t>
    </r>
  </si>
  <si>
    <t>8090</t>
  </si>
  <si>
    <t>D2501155/MA</t>
  </si>
  <si>
    <t>F&amp;P d'un WC aveclave-mains pour les formations Contention</t>
  </si>
  <si>
    <t>L:\Services\SERVICE_DES_TRAVAUX\_NEW SERVEUR DPT\2000_PLAN TVX COURANT cl2-cl6\2025\130 Suivi plan de travaux 2025\Classe 6\303 R-MERONI\LOT 05 - BSMG - CVC\G10\Tilleuls</t>
  </si>
  <si>
    <t>SMB</t>
  </si>
  <si>
    <t>1200</t>
  </si>
  <si>
    <t>petit travaux d'agencements</t>
  </si>
  <si>
    <t>Ateliers</t>
  </si>
  <si>
    <t>DE00002058</t>
  </si>
  <si>
    <t>intervention sur toupie</t>
  </si>
  <si>
    <t>L:\Services\SERVICE_DES_TRAVAUX\_NEW SERVEUR DPT\2000_PLAN TVX COURANT cl2-cl6\2025\130 Suivi plan de travaux 2025\Classe 6\502 A-CARPINTEIRO\HM_\SMB</t>
  </si>
  <si>
    <t>Bjr Jean Christophe TOUPIE HS, Urgent +++</t>
  </si>
  <si>
    <t>6284/25</t>
  </si>
  <si>
    <t xml:space="preserve">Régule sur inter du 20-01-2025  sur volet Unité à sommeil de la MAS
Chambres Rosier Bleu CH4 et Ch8 
Bouton D'or Ch5 et Ch7   </t>
  </si>
  <si>
    <t>6287/25</t>
  </si>
  <si>
    <t xml:space="preserve">Régule sur inter du 21-01-2025  sur volet entrée H.J - Appartement 181-182 </t>
  </si>
  <si>
    <t>5014</t>
  </si>
  <si>
    <t>6288/25</t>
  </si>
  <si>
    <t>Régule sur inter du 21-01-2025  sur volet G14 - RDJ / Ch3</t>
  </si>
  <si>
    <t>6289/25</t>
  </si>
  <si>
    <t xml:space="preserve">Régule sur inter du 21-01-2025  sur volet </t>
  </si>
  <si>
    <t>MEGADEL</t>
  </si>
  <si>
    <t>1028</t>
  </si>
  <si>
    <t>DPT</t>
  </si>
  <si>
    <t>Devis N° AB DE0006</t>
  </si>
  <si>
    <r>
      <t xml:space="preserve">impressions de plans pour présentations aux équipes les 03 et 04/02.
</t>
    </r>
    <r>
      <rPr>
        <sz val="11"/>
        <color rgb="FFFF0000"/>
        <rFont val="Calibri"/>
        <family val="2"/>
        <scheme val="minor"/>
      </rPr>
      <t>! Pb TVA :  indiquée sur le devis à 5%
&gt; saisie auto à 20%</t>
    </r>
  </si>
  <si>
    <t>\\SRV-EPS-fai11.epsve.local\DPT\Services\SERVICE_DES_TRAVAUX\_NEW SERVEUR DPT\2000_PLAN TVX COURANT cl2-cl6\2025\130 Suivi plan de travaux 2025\Classe 6\201 M-CHEVALIER\MEGADEL</t>
  </si>
  <si>
    <t>Facture déjà reglée  sans OS, Marion</t>
  </si>
  <si>
    <t>0115</t>
  </si>
  <si>
    <t>Social</t>
  </si>
  <si>
    <t>Ferry</t>
  </si>
  <si>
    <t>Clos-syndicat</t>
  </si>
  <si>
    <t>DV-2250517</t>
  </si>
  <si>
    <t xml:space="preserve">Régul :Pose de 2 RJ 45 dans local syndical Autonome </t>
  </si>
  <si>
    <t>L:\Services\SERVICE_DES_TRAVAUX\_NEW SERVEUR DPT\2000_PLAN TVX COURANT cl2-cl6\2025\130 Suivi plan de travaux 2025\Classe 6\303 R-MERONI\LOT 04- TBES - ELECTRICITE CFO-CFA\0118 CLOS  2 RJ</t>
  </si>
  <si>
    <t>155418611</t>
  </si>
  <si>
    <t>Suppression des contacts à clefs cabines suite mise en service des lecteurs de badges salto en appels paliers</t>
  </si>
  <si>
    <t>L:\Services\SERVICE_DES_TRAVAUX\_NEW SERVEUR DPT\2000_PLAN TVX COURANT cl2-cl6\2025\130 Suivi plan de travaux 2025\Classe 6\501 E-MINGANT\CONT_220026_lot01_SCHINDLER\0119</t>
  </si>
  <si>
    <t>DV 2250553</t>
  </si>
  <si>
    <t>L:\Services\SERVICE_DES_TRAVAUX\_NEW SERVEUR DPT\2000_PLAN TVX COURANT cl2-cl6\2025\130 Suivi plan de travaux 2025\Classe 6\302 M-ALEVEQUE\LOT 04- TBES - ELECTRICITE CFO-CFA\0120 Bondy</t>
  </si>
  <si>
    <t>de 017950</t>
  </si>
  <si>
    <t>peintures et sols  attention tva 20%</t>
  </si>
  <si>
    <t>L:\Services\SERVICE_DES_TRAVAUX\_NEW SERVEUR DPT\2000_PLAN TVX COURANT cl2-cl6\2025\130 Suivi plan de travaux 2025\Classe 6\302 M-ALEVEQUE\LOT 03 - LES PEINTURES PARISIENNES\0121 thomoux</t>
  </si>
  <si>
    <t>DV-2250568-0002</t>
  </si>
  <si>
    <t>mise a la terre siphon et huisserie des ci</t>
  </si>
  <si>
    <t>L:\Services\SERVICE_DES_TRAVAUX\_NEW SERVEUR DPT\2000_PLAN TVX COURANT cl2-cl6\2025\130 Suivi plan de travaux 2025\Classe 6\301 P-DOMERCQ\LOT 04- TBES - ELECTRICITE CFO-CFA\0122</t>
  </si>
  <si>
    <t>5005</t>
  </si>
  <si>
    <t>G05</t>
  </si>
  <si>
    <t>124696</t>
  </si>
  <si>
    <t>Porte fumoir</t>
  </si>
  <si>
    <t>L:\Services\SERVICE_DES_TRAVAUX\_NEW SERVEUR DPT\2000_PLAN TVX COURANT cl2-cl6\2025\130 Suivi plan de travaux 2025\Classe 6\301 P-DOMERCQ\LOT 02 - ARTETLEBOIS -MENUISERIE\0123</t>
  </si>
  <si>
    <t>8985</t>
  </si>
  <si>
    <t>Montfermeil</t>
  </si>
  <si>
    <t>59, Général Leclerc</t>
  </si>
  <si>
    <t>G15</t>
  </si>
  <si>
    <t>Leclerc</t>
  </si>
  <si>
    <t>10005215</t>
  </si>
  <si>
    <t>Remplacement porte sectionnelle HS par porte BASCULANTE Fourniture et pose d'une nouvelle porte de parking  N°26-02,  porte très dégradée, coût de réparation trop important,  porte d'origene avec ouverture du site en 2010</t>
  </si>
  <si>
    <t>Attention au marché</t>
  </si>
  <si>
    <t>2246205A</t>
  </si>
  <si>
    <t xml:space="preserve">fourniture et pose de digicode pour permettre l'entrée des familles des logés </t>
  </si>
  <si>
    <t>18 - Système de Sécurité Incendie</t>
  </si>
  <si>
    <t>8129 - SSI</t>
  </si>
  <si>
    <t>325015337</t>
  </si>
  <si>
    <t xml:space="preserve">remplacement vérin desenfumage </t>
  </si>
  <si>
    <t>DV-2250579</t>
  </si>
  <si>
    <t>Pose de 3pc et 1 rj45 pour poste de travail supplémentaire dans bureau mo-lo</t>
  </si>
  <si>
    <t>L:\Services\SERVICE_DES_TRAVAUX\_NEW SERVEUR DPT\2000_PLAN TVX COURANT cl2-cl6\2025\130 Suivi plan de travaux 2025\Classe 6\303 R-MERONI\LOT 04- TBES - ELECTRICITE CFO-CFA\0127 Montreuil pc Bureau RDC</t>
  </si>
  <si>
    <t>10004730</t>
  </si>
  <si>
    <t xml:space="preserve">pose de barrieres </t>
  </si>
  <si>
    <t>L:\Services\SERVICE_DES_TRAVAUX\_NEW SERVEUR DPT\2000_PLAN TVX COURANT cl2-cl6\2025\130 Suivi plan de travaux 2025\Classe 2\T2025006 - Sécurite IFSI -Pole formation\0128 vulacain</t>
  </si>
  <si>
    <t>annulé</t>
  </si>
  <si>
    <t>De017945</t>
  </si>
  <si>
    <t>protecwall</t>
  </si>
  <si>
    <t>GPF</t>
  </si>
  <si>
    <t>21354020 - IGAAC technique (bât. Sociaux et Médico-sociaux)</t>
  </si>
  <si>
    <t>2382312702 AMT PUI</t>
  </si>
  <si>
    <t>Devis N° 03-30-01-25-HS + Devis N°04/30/01/25/HS</t>
  </si>
  <si>
    <r>
      <t xml:space="preserve">prestation Fluides médicaux et MEOPA (DCE dans le cadre de l'opération AMT)
</t>
    </r>
    <r>
      <rPr>
        <sz val="11"/>
        <color rgb="FFFF0000"/>
        <rFont val="Calibri"/>
        <family val="2"/>
        <scheme val="minor"/>
      </rPr>
      <t xml:space="preserve">! Il faut préciser sur le bon de commande : Une situation unique sera réalisée en fin d'intervention. Le délai d'intervention devra respecter le planning OPC de l'opération AMT. </t>
    </r>
  </si>
  <si>
    <t>\\SRV-EPS-fai11.epsve.local\DPT\Services\SERVICE_DES_TRAVAUX\_NEW SERVEUR DPT\2000_PLAN TVX COURANT cl2-cl6\2025\130 Suivi plan de travaux 2025\Classe 2\opération AMT\GPF_FM+MEOPA</t>
  </si>
  <si>
    <t xml:space="preserve">! Il faut préciser sur le bon de commande : Une situation unique sera réalisée en fin d'intervention. Le délai d'intervention devra respecter le planning OPC de l'opération AMT. </t>
  </si>
  <si>
    <t>10005159</t>
  </si>
  <si>
    <t>Régule intervention du 27-01-25 sur porte parking 48-01.
suite véhicule qui la détériorée en rentrant dedans.
Porte très détériorée, devis à venir pour remplacement de la porte compléte</t>
  </si>
  <si>
    <t>10005160</t>
  </si>
  <si>
    <t>Régule intervention du 27-01-25 sur porte parking 26-02..
Porte très détériorée, devis à venir pour remplacement de la porte compléte</t>
  </si>
  <si>
    <t>10005130</t>
  </si>
  <si>
    <t>Remplacement de la porte de parking 48-01 HS   (apparement suite à la détérioration de la porte par un véhicule, trop endommagée pour permettre une réparation).</t>
  </si>
  <si>
    <t>attention au marché</t>
  </si>
  <si>
    <t>DE018067</t>
  </si>
  <si>
    <t>revtement de sol peinture local DASRI</t>
  </si>
  <si>
    <t>L:\Services\SERVICE_DES_TRAVAUX\_NEW SERVEUR DPT\2000_PLAN TVX COURANT cl2-cl6\2025\130 Suivi plan de travaux 2025\Classe 6\301 P-DOMERCQ\LOT 03 - LES PEINTURES PARISIENNES\0134</t>
  </si>
  <si>
    <t>D2501175/MA</t>
  </si>
  <si>
    <t>Remplacement fonte evacuation magasin de stokage</t>
  </si>
  <si>
    <t>L:\Services\SERVICE_DES_TRAVAUX\_NEW SERVEUR DPT\2000_PLAN TVX COURANT cl2-cl6\2025\130 Suivi plan de travaux 2025\Classe 6\504 D-PAQUIN\MBC_LOT05 BSMG-LTDf</t>
  </si>
  <si>
    <t>ATRP TELECOM</t>
  </si>
  <si>
    <t>3015 - PTI</t>
  </si>
  <si>
    <t>C002287</t>
  </si>
  <si>
    <r>
      <t xml:space="preserve">Forfait réparation PTI a71 ASCOM  CAC/G14- N°09  
N°6833570
</t>
    </r>
    <r>
      <rPr>
        <sz val="11"/>
        <color rgb="FFFF0000"/>
        <rFont val="Calibri"/>
        <family val="2"/>
        <scheme val="minor"/>
      </rPr>
      <t>ATTENTION:  TVA à régulariser sur tableau OS = 20%</t>
    </r>
    <r>
      <rPr>
        <sz val="11"/>
        <color theme="1"/>
        <rFont val="Calibri"/>
        <family val="2"/>
        <scheme val="minor"/>
      </rPr>
      <t xml:space="preserve">   </t>
    </r>
    <r>
      <rPr>
        <b/>
        <sz val="11"/>
        <color theme="1"/>
        <rFont val="Calibri"/>
        <family val="2"/>
        <scheme val="minor"/>
      </rPr>
      <t>= 637,60TTC</t>
    </r>
  </si>
  <si>
    <t>L:\Services\SERVICE_DES_TRAVAUX\_NEW SERVEUR DPT\2000_PLAN TVX COURANT cl2-cl6\2025\130 Suivi plan de travaux 2025\Classe 6\503 P-EPIS\HM_\ATRP</t>
  </si>
  <si>
    <t>2382312704 - Pôle Santé</t>
  </si>
  <si>
    <t>T2382312704 - Pole Santé</t>
  </si>
  <si>
    <t>Devis N° :25-01-113</t>
  </si>
  <si>
    <t>deplombage complementaire bâtiment Alsace</t>
  </si>
  <si>
    <t>L:\Services\SERVICE_DES_TRAVAUX\_NEW SERVEUR DPT\1000_OPE TVX STRAT\2019.11 POLE SANTE\00 ETU PREALABLES\002 AMIANTE\Avenir deconstruction\PLOMB complement</t>
  </si>
  <si>
    <t>Devis N° :25-01-115</t>
  </si>
  <si>
    <t>deplombage complementaire bâtiment Auvergne</t>
  </si>
  <si>
    <t>Devis N° :25-01-117</t>
  </si>
  <si>
    <t>deplombage complementaire bâtiment Bearn</t>
  </si>
  <si>
    <t>Devis N° :25-01-114</t>
  </si>
  <si>
    <t>deplombage complementaire bâtiment Normandie</t>
  </si>
  <si>
    <t>8976</t>
  </si>
  <si>
    <t>CATTP ADO</t>
  </si>
  <si>
    <t>10005190</t>
  </si>
  <si>
    <r>
      <t xml:space="preserve">Fourniture et programmation de 7 BIP pour commande porte de garage
</t>
    </r>
    <r>
      <rPr>
        <sz val="11"/>
        <color rgb="FFFF0000"/>
        <rFont val="Calibri"/>
        <family val="2"/>
        <scheme val="minor"/>
      </rPr>
      <t>ATTENTION:  TVA à régulariser sur tableau OS = 20%</t>
    </r>
    <r>
      <rPr>
        <sz val="11"/>
        <color theme="1"/>
        <rFont val="Calibri"/>
        <family val="2"/>
        <scheme val="minor"/>
      </rPr>
      <t xml:space="preserve">  </t>
    </r>
    <r>
      <rPr>
        <b/>
        <sz val="11"/>
        <color theme="1"/>
        <rFont val="Calibri"/>
        <family val="2"/>
        <scheme val="minor"/>
      </rPr>
      <t>= 501,46 TTC</t>
    </r>
  </si>
  <si>
    <t>DE018072</t>
  </si>
  <si>
    <t>peinture SAM/cuisine</t>
  </si>
  <si>
    <t>L:\Services\SERVICE_DES_TRAVAUX\_NEW SERVEUR DPT\2000_PLAN TVX COURANT cl2-cl6\2025\130 Suivi plan de travaux 2025\Classe 6\301 P-DOMERCQ\LOT 03 - LES PEINTURES PARISIENNES\0142</t>
  </si>
  <si>
    <t>8624</t>
  </si>
  <si>
    <t>Stains</t>
  </si>
  <si>
    <t>Maxime Gorki</t>
  </si>
  <si>
    <t>Gorki</t>
  </si>
  <si>
    <t>DE018064</t>
  </si>
  <si>
    <t>refection sol/peinture bureau inf</t>
  </si>
  <si>
    <t>L:\Services\SERVICE_DES_TRAVAUX\_NEW SERVEUR DPT\2000_PLAN TVX COURANT cl2-cl6\2025\130 Suivi plan de travaux 2025\Classe 6\301 P-DOMERCQ\LOT 03 - LES PEINTURES PARISIENNES\0143</t>
  </si>
  <si>
    <t>T2025010 PATIO G06</t>
  </si>
  <si>
    <t>DE00002087</t>
  </si>
  <si>
    <t>INTERVENTION SUR ASPIRATION</t>
  </si>
  <si>
    <t>Samir GALOUL</t>
  </si>
  <si>
    <t>198 Boissiére</t>
  </si>
  <si>
    <t>Gestion Commune</t>
  </si>
  <si>
    <t>325010675</t>
  </si>
  <si>
    <t>Désenfumage - Rempacement VED 10</t>
  </si>
  <si>
    <t>L:\Services\SERVICE_DES_TRAVAUX\_NEW SERVEUR DPT\2000_PLAN TVX COURANT cl2-cl6\2025\130 Suivi plan de travaux 2025\Classe 6\403 S-GALOUL</t>
  </si>
  <si>
    <t>coûteux?</t>
  </si>
  <si>
    <t>7/15 rue Charles Tillon</t>
  </si>
  <si>
    <t>325015339</t>
  </si>
  <si>
    <t>Remplavement du module ED4L</t>
  </si>
  <si>
    <t>6313/25</t>
  </si>
  <si>
    <t>régule intervention 31-01-25 + Remplacement volet CB2 G06 1ET Ch622 par volet rénovation, suite volet ROLTECK HS</t>
  </si>
  <si>
    <t>DE124709</t>
  </si>
  <si>
    <t>renforcement porte vitrée,ajout de paumelles</t>
  </si>
  <si>
    <t>L:\Services\SERVICE_DES_TRAVAUX\_NEW SERVEUR DPT\2000_PLAN TVX COURANT cl2-cl6\2025\130 Suivi plan de travaux 2025\Classe 6\502 A-CARPINTEIRO\MBC_LOT02 AELB\0148</t>
  </si>
  <si>
    <t>vu le 25-02</t>
  </si>
  <si>
    <t>124707</t>
  </si>
  <si>
    <t xml:space="preserve">creation de  coffrage  pour  tuyauterie </t>
  </si>
  <si>
    <t>L:\Services\SERVICE_DES_TRAVAUX\_NEW SERVEUR DPT\2000_PLAN TVX COURANT cl2-cl6\2025\130 Suivi plan de travaux 2025\Classe 2\T2023035 - ACACIAS\0149 arts et bois</t>
  </si>
  <si>
    <t>124716</t>
  </si>
  <si>
    <t>Verrou à voyant et décondamnation pour wc</t>
  </si>
  <si>
    <t>L:\Services\SERVICE_DES_TRAVAUX\_NEW SERVEUR DPT\2000_PLAN TVX COURANT cl2-cl6\2025\130 Suivi plan de travaux 2025\Classe 6\301 P-DOMERCQ\LOT 02 - ARTETLEBOIS -MENUISERIE\0150</t>
  </si>
  <si>
    <t>DK250201698</t>
  </si>
  <si>
    <t xml:space="preserve">Reparation fuite sur reseau chauffage </t>
  </si>
  <si>
    <t>D2402731</t>
  </si>
  <si>
    <t>passage video por recherde de fuite pluvial</t>
  </si>
  <si>
    <t>L:\Services\SERVICE_DES_TRAVAUX\_NEW SERVEUR DPT\2000_PLAN TVX COURANT cl2-cl6\2025\130 Suivi plan de travaux 2025\Classe 6\301 P-DOMERCQ\LOT 11 - SEA - CURAGE RESEAUX\0152</t>
  </si>
  <si>
    <t>DCO 25020017</t>
  </si>
  <si>
    <t xml:space="preserve">  06/02/25</t>
  </si>
  <si>
    <t xml:space="preserve">répartaion toiture suite a fuites </t>
  </si>
  <si>
    <t>L:\Services\SERVICE_DES_TRAVAUX\_NEW SERVEUR DPT\2000_PLAN TVX COURANT cl2-cl6\2025\130 Suivi plan de travaux 2025\Classe 6\302 M-ALEVEQUE\LOT 07 - SCHNEIDER - COUVERTURE\0153 albatros</t>
  </si>
  <si>
    <t>NOVADIS</t>
  </si>
  <si>
    <t>DE33514</t>
  </si>
  <si>
    <t xml:space="preserve">ajour caméras en face de la ferme </t>
  </si>
  <si>
    <t>8482</t>
  </si>
  <si>
    <t>Union</t>
  </si>
  <si>
    <t>02.2025  DE018078</t>
  </si>
  <si>
    <t>Peinture de 5 espace (3Bx  ,Tisanerie ,WC)</t>
  </si>
  <si>
    <t>L:\Services\SERVICE_DES_TRAVAUX\_NEW SERVEUR DPT\2000_PLAN TVX COURANT cl2-cl6\2025\130 Suivi plan de travaux 2025\Classe 6\303 R-MERONI\LOT 03 - LES PEINTURES PARISIENNES\155  Noisy Union</t>
  </si>
  <si>
    <t>124714</t>
  </si>
  <si>
    <t>Pose  de film dépoli sur grande baie  secrétariat</t>
  </si>
  <si>
    <t>L:\Services\SERVICE_DES_TRAVAUX\_NEW SERVEUR DPT\2000_PLAN TVX COURANT cl2-cl6\2025\130 Suivi plan de travaux 2025\Classe 6\303 R-MERONI\LOT 02 - ARTETLEBOIS -MENUISERIE\157 Montreuil secrétariat Film dépoli</t>
  </si>
  <si>
    <t>DCO 25020018</t>
  </si>
  <si>
    <t xml:space="preserve">répartaion toiture suite a fuite TOITURE COMMUNE ACACIAS </t>
  </si>
  <si>
    <t>L:\Services\SERVICE_DES_TRAVAUX\_NEW SERVEUR DPT\2000_PLAN TVX COURANT cl2-cl6\2025\130 Suivi plan de travaux 2025\Classe 6\302 M-ALEVEQUE\LOT 07 - SCHNEIDER - COUVERTURE\0157 acacias</t>
  </si>
  <si>
    <t>25.V-EVRARD.5.008C</t>
  </si>
  <si>
    <t>reamenagement Patio</t>
  </si>
  <si>
    <t>L:\Services\SERVICE_DES_TRAVAUX\_NEW SERVEUR DPT\2000_PLAN TVX COURANT cl2-cl6\2025\130 Suivi plan de travaux 2025\Classe 2\T2025010 Patio G06</t>
  </si>
  <si>
    <t>6331/25</t>
  </si>
  <si>
    <t>Fourniture et pose Stores extérieur pour remplacer les store vénitien intégré au double vitrage (irréparrable) sur CB-2
G06 = Ch-613   +   G13 = Ch-1315 + 1321 + 1324</t>
  </si>
  <si>
    <t>6332/25</t>
  </si>
  <si>
    <t>régule sur intervention du 04-02-25    CB1 G05 1ET Ch-124
Intervention en cours, Remplacer le boitier de commande centralisé Somfy  HS</t>
  </si>
  <si>
    <t>ATTENTION
A ANNULER
nouveau devis en cours prenant en compte les modifications liées aux travaux effectués.  P.EPIS</t>
  </si>
  <si>
    <t>ANNULEE LE
07/03/25</t>
  </si>
  <si>
    <t>2025/2812</t>
  </si>
  <si>
    <t xml:space="preserve">installation d'une stucture acier avec toiture pour cuves fuel </t>
  </si>
  <si>
    <t>L:\Services\SERVICE_DES_TRAVAUX\_NEW SERVEUR DPT\2000_PLAN TVX COURANT cl2-cl6\2025\130 Suivi plan de travaux 2025\Classe 6\302 M-ALEVEQUE\LOT 10 - FDS CORPUS - METALLERIE\structure cuve fuel</t>
  </si>
  <si>
    <t>DCO25020037</t>
  </si>
  <si>
    <t xml:space="preserve">reparation goutiere logement de fonction cours des communs </t>
  </si>
  <si>
    <t>L:\Services\SERVICE_DES_TRAVAUX\_NEW SERVEUR DPT\2000_PLAN TVX COURANT cl2-cl6\2025\130 Suivi plan de travaux 2025\Classe 6\302 M-ALEVEQUE\LOT 07 - SCHNEIDER - COUVERTURE\0162 Cours de communs</t>
  </si>
  <si>
    <t>SERSYS</t>
  </si>
  <si>
    <t>SO24-003568</t>
  </si>
  <si>
    <t xml:space="preserve">réparation système de blocage porte coupe feu </t>
  </si>
  <si>
    <t>SO24-003559</t>
  </si>
  <si>
    <t>SO24-003558</t>
  </si>
  <si>
    <t>2025-2828</t>
  </si>
  <si>
    <t>remplacement vitrages</t>
  </si>
  <si>
    <t>L:\Services\SERVICE_DES_TRAVAUX\_NEW SERVEUR DPT\2000_PLAN TVX COURANT cl2-cl6\2025\130 Suivi plan de travaux 2025\Classe 6\301 P-DOMERCQ\LOT 10 - FDS CORPUS - METALLERIE\0166</t>
  </si>
  <si>
    <t>25-0027</t>
  </si>
  <si>
    <t>chappe chauffage</t>
  </si>
  <si>
    <t>\\SRV-EPS-fai11.epsve.local\DPT\Services\SERVICE_DES_TRAVAUX\_NEW SERVEUR DPT\2000_PLAN TVX COURANT cl2-cl6\2024\00 plan 2024\010 Suivi Plan 2024\CLasse 2\T2024039 renov 2024 25  CB2 RDC ex G06\0167</t>
  </si>
  <si>
    <r>
      <t xml:space="preserve">Philippe cher non? </t>
    </r>
    <r>
      <rPr>
        <sz val="11"/>
        <color rgb="FFC00000"/>
        <rFont val="Calibri"/>
        <family val="2"/>
        <scheme val="minor"/>
      </rPr>
      <t>Oui mais c'est HB</t>
    </r>
  </si>
  <si>
    <t>DE250088</t>
  </si>
  <si>
    <t xml:space="preserve">Organisation d'une Etude acoustique en raison des plaintes du voisinage vis-à-vis du bruit généré par nos pompes à chaleur. </t>
  </si>
  <si>
    <t>L:\Services\SERVICE_DES_TRAVAUX\_NEW SERVEUR DPT\2000_PLAN TVX COURANT cl2-cl6\2025\130 Suivi plan de travaux 2025\Classe 6\501 E-MINGANT\CONT_220023_lot04_CLIMATER clim\0168</t>
  </si>
  <si>
    <t>155441796</t>
  </si>
  <si>
    <t>Remplacement des boutons d'appels et d'étage (en plastique fragile) des ascenseurs 1940635 1940636 et 1940637 par des boutons anti-vandal.</t>
  </si>
  <si>
    <t>L:\Services\SERVICE_DES_TRAVAUX\_NEW SERVEUR DPT\2000_PLAN TVX COURANT cl2-cl6\2025\130 Suivi plan de travaux 2025\Classe 6\501 E-MINGANT\CONT_220026_lot01_SCHINDLER\0169</t>
  </si>
  <si>
    <t>On en parle (EM) en reunion hebdo</t>
  </si>
  <si>
    <t>DK240504711</t>
  </si>
  <si>
    <t>REMPLACEMENT DE LA CTA TERRASSE</t>
  </si>
  <si>
    <t>L:\Services\SERVICE_DES_TRAVAUX\_NEW SERVEUR DPT\2000_PLAN TVX COURANT cl2-cl6\2025\130 Suivi plan de travaux 2025\Classe 6\501 E-MINGANT\CONT_220022_lot03_UTB_Insta thermiques\0170</t>
  </si>
  <si>
    <t>En attente m'en parler en reunion hebdo (bsmg)</t>
  </si>
  <si>
    <t>DK250202062</t>
  </si>
  <si>
    <t>Remise en état d'un caisson VMC et modification des alimentations
électrique des caisson en armoire</t>
  </si>
  <si>
    <t>L:\Services\SERVICE_DES_TRAVAUX\_NEW SERVEUR DPT\2000_PLAN TVX COURANT cl2-cl6\2025\130 Suivi plan de travaux 2025\Classe 6\501 E-MINGANT\CONT_220022_lot03_UTB_Insta thermiques\0171</t>
  </si>
  <si>
    <t>DK250202060</t>
  </si>
  <si>
    <t>Remplacement d'un moteur chaudière VARMAX sur une chaudière du CB2</t>
  </si>
  <si>
    <t>L:\Services\SERVICE_DES_TRAVAUX\_NEW SERVEUR DPT\2000_PLAN TVX COURANT cl2-cl6\2025\130 Suivi plan de travaux 2025\Classe 6\501 E-MINGANT\CONT_220022_lot03_UTB_Insta thermiques\0172</t>
  </si>
  <si>
    <t>DV-2250859</t>
  </si>
  <si>
    <t xml:space="preserve">installation de cameras en face de la ferme </t>
  </si>
  <si>
    <t>8082</t>
  </si>
  <si>
    <t>Morvan</t>
  </si>
  <si>
    <t>D2502056</t>
  </si>
  <si>
    <t>Recherche de fuites sur 2 douches à l'italiennes au dessus BI</t>
  </si>
  <si>
    <t>L:\Services\SERVICE_DES_TRAVAUX\_NEW SERVEUR DPT\2000_PLAN TVX COURANT cl2-cl6\2025\130 Suivi plan de travaux 2025\Classe 6\303 R-MERONI\LOT 05 - BSMG - CVC\G12\174 Morvan douches fuyardes</t>
  </si>
  <si>
    <t>DV-2242421B</t>
  </si>
  <si>
    <t xml:space="preserve">Remplacement des luminaires fluos par Leds dimmables dans 5 espaces de soins </t>
  </si>
  <si>
    <t>L:\Services\SERVICE_DES_TRAVAUX\_NEW SERVEUR DPT\2000_PLAN TVX COURANT cl2-cl6\2025\130 Suivi plan de travaux 2025\Classe 6\303 R-MERONI\LOT 04- TBES - ELECTRICITE CFO-CFA\175 Perinatalité Leds Dimmables</t>
  </si>
  <si>
    <t>DV-33584</t>
  </si>
  <si>
    <t>installation boitier de jonction caméra</t>
  </si>
  <si>
    <t>1240</t>
  </si>
  <si>
    <t>T2024020</t>
  </si>
  <si>
    <t>Cours des commun</t>
  </si>
  <si>
    <t>Logements</t>
  </si>
  <si>
    <t>24/345</t>
  </si>
  <si>
    <t>ASINERIE :Rénovation Toiture  grand rampant coté cour suite 1 ere partie en 2024</t>
  </si>
  <si>
    <t>L:\Services\SERVICE_DES_TRAVAUX\_NEW SERVEUR DPT\2000_PLAN TVX COURANT cl2-cl6\2024\00 plan 2024\010 Suivi Plan 2024\CLasse 2\T2024020 Asinerie Toiture</t>
  </si>
  <si>
    <t>124726</t>
  </si>
  <si>
    <t>ASINERIE : Remplacement ancien chassis fixe bois vêtuste simple vitrage par 2 baie PVC ouvrantes et double vitrage Isolant</t>
  </si>
  <si>
    <t>8580</t>
  </si>
  <si>
    <t>29, Général Leclerc</t>
  </si>
  <si>
    <t>La Tour</t>
  </si>
  <si>
    <t>8793</t>
  </si>
  <si>
    <t>remise en etat suite inondations</t>
  </si>
  <si>
    <t>L:\Services\SERVICE_DES_TRAVAUX\_NEW SERVEUR DPT\2000_PLAN TVX COURANT cl2-cl6\2025\130 Suivi plan de travaux 2025\Classe 6\301 P-DOMERCQ\LOT 13 - AC2P - CLOISONS FAUX PLAF\0179</t>
  </si>
  <si>
    <t>8195</t>
  </si>
  <si>
    <t>T2025009</t>
  </si>
  <si>
    <t>La source / Honorine</t>
  </si>
  <si>
    <t>Source / Honorine</t>
  </si>
  <si>
    <t>8792</t>
  </si>
  <si>
    <t xml:space="preserve">cloisonnement et f plafonds </t>
  </si>
  <si>
    <t>L:\Services\SERVICE_DES_TRAVAUX\_NEW SERVEUR DPT\2000_PLAN TVX COURANT cl2-cl6\2025\130 Suivi plan de travaux 2025\Classe 2\T2025009  CUISINE THERAPEUTIQUE</t>
  </si>
  <si>
    <t>124731</t>
  </si>
  <si>
    <t>cache tuyauteries compact</t>
  </si>
  <si>
    <t>L:\Services\SERVICE_DES_TRAVAUX\_NEW SERVEUR DPT\2000_PLAN TVX COURANT cl2-cl6\2025\130 Suivi plan de travaux 2025\Classe 6\301 P-DOMERCQ\LOT 02 - ARTETLEBOIS -MENUISERIE\0181</t>
  </si>
  <si>
    <t>Remplacement des Fenetres et portes extérieures pour aménagement Appartement  thérapeutiques avec salle de réunion et d'accueil familles</t>
  </si>
  <si>
    <t>9792,29</t>
  </si>
  <si>
    <t>L:\Services\SERVICE_DES_TRAVAUX\_NEW SERVEUR DPT\2000_PLAN TVX COURANT cl2-cl6\2025\130 Suivi plan de travaux 2025\Classe 2\T2025005 Appartement  Unirre-Care\182 Fenetres PVC Appartement thérap MOREAU</t>
  </si>
  <si>
    <t>124732</t>
  </si>
  <si>
    <t>Aménagement de placard rangement dans SDB bébés suite dépose complète d'une douche désaffectée</t>
  </si>
  <si>
    <t>L:\Services\SERVICE_DES_TRAVAUX\_NEW SERVEUR DPT\2000_PLAN TVX COURANT cl2-cl6\2025\130 Suivi plan de travaux 2025\Classe 6\303 R-MERONI\LOT 02 - ARTETLEBOIS -MENUISERIE\183  Noisy union placard</t>
  </si>
  <si>
    <t>Clos Bénard</t>
  </si>
  <si>
    <t>325020550</t>
  </si>
  <si>
    <t>Pose de modules abaisseur de tension et modules ED4L</t>
  </si>
  <si>
    <t>abaisseur pour les verous sersys??</t>
  </si>
  <si>
    <t>325025107</t>
  </si>
  <si>
    <t>Désenfumage remplacement manchette et pressostats</t>
  </si>
  <si>
    <t>DV-2250971-0003</t>
  </si>
  <si>
    <t>creation d'un RJ45</t>
  </si>
  <si>
    <t>L:\Services\SERVICE_DES_TRAVAUX\_NEW SERVEUR DPT\2000_PLAN TVX COURANT cl2-cl6\2025\130 Suivi plan de travaux 2025\Classe 6\301 P-DOMERCQ\LOT 04- TBES - ELECTRICITE CFO-CFA\0186</t>
  </si>
  <si>
    <t>C25032692-1</t>
  </si>
  <si>
    <t>REPARATION FUITE VAPEUR SUR ECHANGEUR RESEAU
CHATEAU MAISON DE SANTE</t>
  </si>
  <si>
    <t>L:\Services\SERVICE_DES_TRAVAUX\_NEW SERVEUR DPT\2000_PLAN TVX COURANT cl2-cl6\2025\130 Suivi plan de travaux 2025\Classe 6\501 E-MINGANT\CONT_190023_lot00_DALKIA\0187</t>
  </si>
  <si>
    <t>Fictif</t>
  </si>
  <si>
    <t>P3</t>
  </si>
  <si>
    <t>C25032667-1</t>
  </si>
  <si>
    <t>REMPLACEMENT EN URGENCE SONDE CONDUCTIVITE SUR
CHAUDIERE VAPEUR 10 TONNES</t>
  </si>
  <si>
    <t>L:\Services\SERVICE_DES_TRAVAUX\_NEW SERVEUR DPT\2000_PLAN TVX COURANT cl2-cl6\2025\130 Suivi plan de travaux 2025\Classe 6\501 E-MINGANT\CONT_190023_lot00_DALKIA\0188</t>
  </si>
  <si>
    <t>8191</t>
  </si>
  <si>
    <t>Emile Beaufils</t>
  </si>
  <si>
    <t>Association Jean Mace</t>
  </si>
  <si>
    <t>155085224</t>
  </si>
  <si>
    <t>Kit remplacement huile W125 à W250</t>
  </si>
  <si>
    <t>L:\Services\SERVICE_DES_TRAVAUX\_NEW SERVEUR DPT\2000_PLAN TVX COURANT cl2-cl6\2025\130 Suivi plan de travaux 2025\Classe 6\501 E-MINGANT\CONT_220026_lot01_SCHINDLER\0189</t>
  </si>
  <si>
    <t>Attention devis en date de sept 2024 (EM)</t>
  </si>
  <si>
    <t>182
commande annulée</t>
  </si>
  <si>
    <t>155483173</t>
  </si>
  <si>
    <t>Assitance ascensoriste pour installation SALTO CB2 vs TBES</t>
  </si>
  <si>
    <t>L:\Services\SERVICE_DES_TRAVAUX\_NEW SERVEUR DPT\2000_PLAN TVX COURANT cl2-cl6\2025\130 Suivi plan de travaux 2025\Classe 6\501 E-MINGANT\CONT_220026_lot01_SCHINDLER\0190</t>
  </si>
  <si>
    <t>Romain TVA 20% asc du CB2</t>
  </si>
  <si>
    <t>2025/2839</t>
  </si>
  <si>
    <t>remplacement VR des deux ci</t>
  </si>
  <si>
    <t>8579</t>
  </si>
  <si>
    <t>IHSEA</t>
  </si>
  <si>
    <t>DE2504872</t>
  </si>
  <si>
    <t>reparation fuite etancheité</t>
  </si>
  <si>
    <t>L:\Services\SERVICE_DES_TRAVAUX\_NEW SERVEUR DPT\2000_PLAN TVX COURANT cl2-cl6\2025\130 Suivi plan de travaux 2025\Classe 6\301 P-DOMERCQ\LOT 06 - COBAT - ETANCHEITE</t>
  </si>
  <si>
    <t>2025/2825</t>
  </si>
  <si>
    <t xml:space="preserve">Remplacement  vitres sur verrieres </t>
  </si>
  <si>
    <t>L:\Services\SERVICE_DES_TRAVAUX\_NEW SERVEUR DPT\2000_PLAN TVX COURANT cl2-cl6\2025\130 Suivi plan de travaux 2025\Classe 6\302 M-ALEVEQUE\LOT 10 - FDS CORPUS - METALLERIE\0193 champagne</t>
  </si>
  <si>
    <t>DV-2251052A</t>
  </si>
  <si>
    <t xml:space="preserve">creation commande  VR et eclairages des ci </t>
  </si>
  <si>
    <t>8102</t>
  </si>
  <si>
    <t>Saint Ouen</t>
  </si>
  <si>
    <t>Hôpital de jour</t>
  </si>
  <si>
    <t>DCO25020061</t>
  </si>
  <si>
    <t>mesure conservatoire et recherche de fuites</t>
  </si>
  <si>
    <t>L:\Services\SERVICE_DES_TRAVAUX\_NEW SERVEUR DPT\2000_PLAN TVX COURANT cl2-cl6\2025\130 Suivi plan de travaux 2025\Classe 6\301 P-DOMERCQ\LOT 07 - SCHNEIDER - COUVERTURE\0196 schneider st ouen</t>
  </si>
  <si>
    <t>25 - 0029</t>
  </si>
  <si>
    <t>ouverture cloison + mise en placve fer pour  renfort cloison</t>
  </si>
  <si>
    <t>L:\Services\SERVICE_DES_TRAVAUX\_NEW SERVEUR DPT\2000_PLAN TVX COURANT cl2-cl6\2025\130 Suivi plan de travaux 2025\Classe 6\301 P-DOMERCQ\LOT 01 - SANICOTHERM - MACONNERIE\0197</t>
  </si>
  <si>
    <t>Rue docteur Delafontaine</t>
  </si>
  <si>
    <t>325025266</t>
  </si>
  <si>
    <t>Recherche et diagnostic défauts transmission + pose diffuseur sonore self</t>
  </si>
  <si>
    <t>325025268</t>
  </si>
  <si>
    <t>Câblage contact défaut pour report détat secteur et batterie pour l'ensemble des DAC</t>
  </si>
  <si>
    <t>SALTO</t>
  </si>
  <si>
    <t>25070951</t>
  </si>
  <si>
    <t>badges bornes fréquence entrée voiture Ville Evrard</t>
  </si>
  <si>
    <t>6356/25</t>
  </si>
  <si>
    <t>Régule sur  inter du 20-02-2025 sur volet électrique du local ARCHIVE, qui faisait disjoncter  remplacement Moteur + véroux</t>
  </si>
  <si>
    <t>CREOBOIS</t>
  </si>
  <si>
    <t>8097</t>
  </si>
  <si>
    <t>Orion</t>
  </si>
  <si>
    <t>00006954</t>
  </si>
  <si>
    <t xml:space="preserve">Capitonnage sol et murs chambre </t>
  </si>
  <si>
    <t>L:\Services\SERVICE_DES_TRAVAUX\_NEW SERVEUR DPT\2000_PLAN TVX COURANT cl2-cl6\2025\130 Suivi plan de travaux 2025\Classe 6\302 M-ALEVEQUE\CREOBOIS</t>
  </si>
  <si>
    <t>250030</t>
  </si>
  <si>
    <t xml:space="preserve">divers travaux  cuisines </t>
  </si>
  <si>
    <t>L:\Services\SERVICE_DES_TRAVAUX\_NEW SERVEUR DPT\2000_PLAN TVX COURANT cl2-cl6\2025\130 Suivi plan de travaux 2025\Classe 6\302 M-ALEVEQUE\LOT 01 - SANICOTHERM - MACONNERIE\0203 UCPA</t>
  </si>
  <si>
    <t>mai</t>
  </si>
  <si>
    <t>8088</t>
  </si>
  <si>
    <t>Dauphiné</t>
  </si>
  <si>
    <t>250031</t>
  </si>
  <si>
    <t xml:space="preserve">reprise carrelages exterieurs terasse </t>
  </si>
  <si>
    <t>L:\Services\SERVICE_DES_TRAVAUX\_NEW SERVEUR DPT\2000_PLAN TVX COURANT cl2-cl6\2025\130 Suivi plan de travaux 2025\Classe 6\302 M-ALEVEQUE\LOT 01 - SANICOTHERM - MACONNERIE\0204 Dauphine</t>
  </si>
  <si>
    <t>DEO18208</t>
  </si>
  <si>
    <t xml:space="preserve">divers travaux peinture et sols  </t>
  </si>
  <si>
    <t>L:\Services\SERVICE_DES_TRAVAUX\_NEW SERVEUR DPT\2000_PLAN TVX COURANT cl2-cl6\2025\130 Suivi plan de travaux 2025\Classe 6\302 M-ALEVEQUE\LOT 03 - LES PEINTURES PARISIENNES\0205 dauphine</t>
  </si>
  <si>
    <t>COPALEC</t>
  </si>
  <si>
    <t>2168</t>
  </si>
  <si>
    <t>Formation continue</t>
  </si>
  <si>
    <t>0000-2023123-A-14-BEL</t>
  </si>
  <si>
    <t>cabalge pole formation</t>
  </si>
  <si>
    <t>L:\Services\SERVICE_DES_TRAVAUX\_NEW SERVEUR DPT\2000_PLAN TVX COURANT cl2-cl6\2025\130 Suivi plan de travaux 2025\Classe 6\102 JC-HONART\Copalec</t>
  </si>
  <si>
    <t>042025DE18814</t>
  </si>
  <si>
    <t xml:space="preserve">DIVERS TRAVAUX PEINTURES </t>
  </si>
  <si>
    <t>L:\Services\SERVICE_DES_TRAVAUX\_NEW SERVEUR DPT\2000_PLAN TVX COURANT cl2-cl6\2025\130 Suivi plan de travaux 2025\Classe 6\302 M-ALEVEQUE\LOT 03 - LES PEINTURES PARISIENNES\0207 UCP</t>
  </si>
  <si>
    <t>bdc envoyé</t>
  </si>
  <si>
    <t>1612</t>
  </si>
  <si>
    <t>Reprographie</t>
  </si>
  <si>
    <t>Morel</t>
  </si>
  <si>
    <t>DE 018212</t>
  </si>
  <si>
    <r>
      <t xml:space="preserve">refection peintures réserve </t>
    </r>
    <r>
      <rPr>
        <b/>
        <sz val="11"/>
        <color rgb="FFFF0000"/>
        <rFont val="Calibri"/>
        <family val="2"/>
        <scheme val="minor"/>
      </rPr>
      <t xml:space="preserve">annule  os </t>
    </r>
  </si>
  <si>
    <t>L:\Services\SERVICE_DES_TRAVAUX\_NEW SERVEUR DPT\2000_PLAN TVX COURANT cl2-cl6\2025\130 Suivi plan de travaux 2025\Classe 6\302 M-ALEVEQUE\LOT 03 - LES PEINTURES PARISIENNES\208 reserve reprographie</t>
  </si>
  <si>
    <t>0222</t>
  </si>
  <si>
    <t>Clos</t>
  </si>
  <si>
    <t>Amicale du personnel</t>
  </si>
  <si>
    <t>DE018211</t>
  </si>
  <si>
    <t xml:space="preserve">peintures CGOS </t>
  </si>
  <si>
    <t>L:\Services\SERVICE_DES_TRAVAUX\_NEW SERVEUR DPT\2000_PLAN TVX COURANT cl2-cl6\2025\130 Suivi plan de travaux 2025\Classe 6\302 M-ALEVEQUE\LOT 03 - LES PEINTURES PARISIENNES\209 cgos</t>
  </si>
  <si>
    <t>C002304</t>
  </si>
  <si>
    <r>
      <t xml:space="preserve">Forfait réparation de deux PTI d81 86002 + 86003
</t>
    </r>
    <r>
      <rPr>
        <sz val="11"/>
        <color rgb="FFFF0000"/>
        <rFont val="Calibri"/>
        <family val="2"/>
        <scheme val="minor"/>
      </rPr>
      <t>ATTENTION</t>
    </r>
    <r>
      <rPr>
        <sz val="11"/>
        <color theme="1"/>
        <rFont val="Calibri"/>
        <family val="2"/>
        <scheme val="minor"/>
      </rPr>
      <t xml:space="preserve"> TVA à 20% sur devis  =1194,38 TTC</t>
    </r>
  </si>
  <si>
    <t>C002305</t>
  </si>
  <si>
    <r>
      <t xml:space="preserve">Forfait réparation de trois PTI d81 81301 + 81305 + 81307
</t>
    </r>
    <r>
      <rPr>
        <sz val="11"/>
        <color rgb="FFFF0000"/>
        <rFont val="Calibri"/>
        <family val="2"/>
        <scheme val="minor"/>
      </rPr>
      <t>ATTENTION</t>
    </r>
    <r>
      <rPr>
        <sz val="11"/>
        <color theme="1"/>
        <rFont val="Calibri"/>
        <family val="2"/>
        <scheme val="minor"/>
      </rPr>
      <t xml:space="preserve"> TVA à 20% sur devis  =1762,78 TTC</t>
    </r>
  </si>
  <si>
    <t>C002311</t>
  </si>
  <si>
    <r>
      <t xml:space="preserve">Fourniture simple de deux PTI d83 + Chargeur individuel pour maintenance AUBERVILLIERS
</t>
    </r>
    <r>
      <rPr>
        <sz val="11"/>
        <color rgb="FFFF0000"/>
        <rFont val="Calibri"/>
        <family val="2"/>
        <scheme val="minor"/>
      </rPr>
      <t xml:space="preserve">ATTENTION </t>
    </r>
    <r>
      <rPr>
        <sz val="11"/>
        <color theme="1"/>
        <rFont val="Calibri"/>
        <family val="2"/>
        <scheme val="minor"/>
      </rPr>
      <t>TVA à 20% sur devis  = 2721,59 TTC</t>
    </r>
  </si>
  <si>
    <t>C002312</t>
  </si>
  <si>
    <r>
      <t xml:space="preserve">Fourniture simple de deux PTI d83 + Chargeur individuel pour maintenance  MONTREUIL I03
</t>
    </r>
    <r>
      <rPr>
        <sz val="11"/>
        <color rgb="FFFF0000"/>
        <rFont val="Calibri"/>
        <family val="2"/>
        <scheme val="minor"/>
      </rPr>
      <t xml:space="preserve">ATTENTION </t>
    </r>
    <r>
      <rPr>
        <sz val="11"/>
        <color theme="1"/>
        <rFont val="Calibri"/>
        <family val="2"/>
        <scheme val="minor"/>
      </rPr>
      <t>TVA à 20% sur devis  = 2721,59 TTC</t>
    </r>
  </si>
  <si>
    <t>C002313</t>
  </si>
  <si>
    <r>
      <t xml:space="preserve">Fourniture simple de deux PTI d83 + Chargeur individuel pour mise en service de deux PTI - HDJ Ado
</t>
    </r>
    <r>
      <rPr>
        <sz val="11"/>
        <color rgb="FFFF0000"/>
        <rFont val="Calibri"/>
        <family val="2"/>
        <scheme val="minor"/>
      </rPr>
      <t xml:space="preserve">ATTENTION </t>
    </r>
    <r>
      <rPr>
        <sz val="11"/>
        <color theme="1"/>
        <rFont val="Calibri"/>
        <family val="2"/>
        <scheme val="minor"/>
      </rPr>
      <t>TVA à 20% sur devis  = 2721,59 TTC</t>
    </r>
  </si>
  <si>
    <t>2402850-001</t>
  </si>
  <si>
    <t xml:space="preserve">Degorgement conduite EU sous stations les manivelles </t>
  </si>
  <si>
    <t>L:\Services\SERVICE_DES_TRAVAUX\_NEW SERVEUR DPT\2000_PLAN TVX COURANT cl2-cl6\2025\130 Suivi plan de travaux 2025\Classe 6\504 D-PAQUIN\MBC_LOT11 SEA</t>
  </si>
  <si>
    <t>2402400-001</t>
  </si>
  <si>
    <t xml:space="preserve">Pompage et curage fosse de relevage </t>
  </si>
  <si>
    <t>D2025/2848</t>
  </si>
  <si>
    <t>Remplacement vitrage CSI 3 G13</t>
  </si>
  <si>
    <t>L:\Services\SERVICE_DES_TRAVAUX\_NEW SERVEUR DPT\2000_PLAN TVX COURANT cl2-cl6\2025\130 Suivi plan de travaux 2025\Classe 6\502 A-CARPINTEIRO\MBC_LOT10 FDS CORPUS\0217</t>
  </si>
  <si>
    <t>DE018213</t>
  </si>
  <si>
    <t xml:space="preserve"> peinture couloir reprographie </t>
  </si>
  <si>
    <t>L:\Services\SERVICE_DES_TRAVAUX\_NEW SERVEUR DPT\2000_PLAN TVX COURANT cl2-cl6\2025\130 Suivi plan de travaux 2025\Classe 6\302 M-ALEVEQUE\LOT 03 - LES PEINTURES PARISIENNES\218 Couloir  reprographie</t>
  </si>
  <si>
    <t>DE018216</t>
  </si>
  <si>
    <t>peinture bureau reprographie</t>
  </si>
  <si>
    <t>L:\Services\SERVICE_DES_TRAVAUX\_NEW SERVEUR DPT\2000_PLAN TVX COURANT cl2-cl6\2025\130 Suivi plan de travaux 2025\Classe 6\302 M-ALEVEQUE\LOT 03 - LES PEINTURES PARISIENNES\219 bureau</t>
  </si>
  <si>
    <t>DE 018227</t>
  </si>
  <si>
    <t xml:space="preserve">peinture petit bureau reprographie </t>
  </si>
  <si>
    <t>L:\Services\SERVICE_DES_TRAVAUX\_NEW SERVEUR DPT\2000_PLAN TVX COURANT cl2-cl6\2025\130 Suivi plan de travaux 2025\Classe 6\302 M-ALEVEQUE\LOT 03 - LES PEINTURES PARISIENNES\220 petit bureau</t>
  </si>
  <si>
    <t>DE 018228</t>
  </si>
  <si>
    <t xml:space="preserve">peinture salle de stock et detente </t>
  </si>
  <si>
    <t>L:\Services\SERVICE_DES_TRAVAUX\_NEW SERVEUR DPT\2000_PLAN TVX COURANT cl2-cl6\2025\130 Suivi plan de travaux 2025\Classe 6\302 M-ALEVEQUE\LOT 03 - LES PEINTURES PARISIENNES\221 salle de stock</t>
  </si>
  <si>
    <t>DE018229</t>
  </si>
  <si>
    <t xml:space="preserve">peinture accueil </t>
  </si>
  <si>
    <t>L:\Services\SERVICE_DES_TRAVAUX\_NEW SERVEUR DPT\2000_PLAN TVX COURANT cl2-cl6\2025\130 Suivi plan de travaux 2025\Classe 6\302 M-ALEVEQUE\LOT 03 - LES PEINTURES PARISIENNES\222 accueil</t>
  </si>
  <si>
    <t>travail fait dans un autre devis</t>
  </si>
  <si>
    <t>GRALL</t>
  </si>
  <si>
    <t>23823190 - RENOVATION PRDI PEUPLIERS</t>
  </si>
  <si>
    <t>T23823190 - RENOVATION PRDI PEUPLIERS</t>
  </si>
  <si>
    <t>devis n°EVE-D003-1</t>
  </si>
  <si>
    <t>Rénovation du bâtiment Peupliers destiné à la prise en charge des Patients Longuement Hospitalisés à Neuilly-sur-Marne
ETUDE - ESQ à ACT</t>
  </si>
  <si>
    <t>L:\Services\SERVICE_DES_TRAVAUX\_NEW SERVEUR DPT\1000_OPE TVX STRAT\2025_02 RENOVATION PLH PEUPLIERS\03 SUIVI FNANCIER\038 MOE\OS</t>
  </si>
  <si>
    <t>VOIR LE CHOIX
DE L UF
EN ATTENTE COMPTE</t>
  </si>
  <si>
    <t>RIFAI</t>
  </si>
  <si>
    <t>23824016 - Urgences Crup Avicennes</t>
  </si>
  <si>
    <t>T23824016 - Crup Avicennes</t>
  </si>
  <si>
    <t>N°1525-EPSVE-120225</t>
  </si>
  <si>
    <t>Création d'un Centre Renforcé d'Urgences Psychiatriques - Hôpital Avicennes
ETUDE - ESQ à ACT</t>
  </si>
  <si>
    <t>L:\Services\SERVICE_DES_TRAVAUX\_NEW SERVEUR DPT\1000_OPE TVX STRAT\2025.02 CRUP AVICENNE\03 SUIVI FNANCIER\038 MOE\OS</t>
  </si>
  <si>
    <t>VOIR LE CHOIX
DE L UF
COMPTE 23824016</t>
  </si>
  <si>
    <t>23823180 - Restructuration Romain Rolland</t>
  </si>
  <si>
    <t>T23823180 - Romain Rolland</t>
  </si>
  <si>
    <t>N°1725-EPSVE-120225</t>
  </si>
  <si>
    <t>Restructuration du bâtiment d'hospitalisation Romain Rolland au 5 rue du Dr Delafontaine 93200 Saint-Denis
ETUDE - ESQ à ACT</t>
  </si>
  <si>
    <t>L:\Services\SERVICE_DES_TRAVAUX\_NEW SERVEUR DPT\1000_OPE TVX STRAT\2025_02 REHABILIATION R ROLLAND\03 SUIVI FNANCIER\038 MOE\OS</t>
  </si>
  <si>
    <t>VOIR LE CHOIX
DE L UF
COMPTE 23823180</t>
  </si>
  <si>
    <t>10005366</t>
  </si>
  <si>
    <t>REMPLACEMENT MOTORISATION PORTILLON SUITE VANDALISME</t>
  </si>
  <si>
    <t>L:\Services\SERVICE_DES_TRAVAUX\_NEW SERVEUR DPT\2000_PLAN TVX COURANT cl2-cl6\2025\130 Suivi plan de travaux 2025\Classe 6\503 P-EPIS\CONT_220024_lot08_VULCAIN Barriere-Porte Auto\0226</t>
  </si>
  <si>
    <t>DK250202605</t>
  </si>
  <si>
    <t>HENRY DUCHENE - REMPLACEMENT DE VARIATEUR DE VITESSE SUR CTA</t>
  </si>
  <si>
    <t>L:\Services\SERVICE_DES_TRAVAUX\_NEW SERVEUR DPT\2000_PLAN TVX COURANT cl2-cl6\2025\130 Suivi plan de travaux 2025\Classe 6\501 E-MINGANT\CONT_220022_lot03_UTB_Insta thermiques\0227</t>
  </si>
  <si>
    <t>DK250202829</t>
  </si>
  <si>
    <t>Remplacement du caisson d'extraction "local poubelle" 1000M3/h</t>
  </si>
  <si>
    <t>L:\Services\SERVICE_DES_TRAVAUX\_NEW SERVEUR DPT\2000_PLAN TVX COURANT cl2-cl6\2025\130 Suivi plan de travaux 2025\Classe 6\501 E-MINGANT\CONT_220022_lot03_UTB_Insta thermiques\0228</t>
  </si>
  <si>
    <t>TVA 10% (EM)
bdc envoyé</t>
  </si>
  <si>
    <t>201
845452</t>
  </si>
  <si>
    <t>DK250202942</t>
  </si>
  <si>
    <t>CLOS BENARD 1 -REMPLACEMENT D'UN PRESSOSTAT D'AIR ET RELAIS SUR CHAUDIERE OPTIMAGAZ</t>
  </si>
  <si>
    <t>L:\Services\SERVICE_DES_TRAVAUX\_NEW SERVEUR DPT\2000_PLAN TVX COURANT cl2-cl6\2025\130 Suivi plan de travaux 2025\Classe 6\501 E-MINGANT\CONT_220022_lot03_UTB_Insta thermiques\0229</t>
  </si>
  <si>
    <t>C25042887-1</t>
  </si>
  <si>
    <t>CREATION DE PIQUAGE ET POSE DE VANNES SUR VIDANGE CONDENSATS SST ANCIENNE CUISINE</t>
  </si>
  <si>
    <t>L:\Services\SERVICE_DES_TRAVAUX\_NEW SERVEUR DPT\2000_PLAN TVX COURANT cl2-cl6\2025\130 Suivi plan de travaux 2025\Classe 6\501 E-MINGANT\CONT_190023_lot00_DALKIA\0230</t>
  </si>
  <si>
    <t>C25042939-1</t>
  </si>
  <si>
    <t>REMPLACEMENT DE TUYAUTERIES CHAUFFAGE DANS  BUREAU MEDECIN BAT REGIS MOREAU</t>
  </si>
  <si>
    <t>L:\Services\SERVICE_DES_TRAVAUX\_NEW SERVEUR DPT\2000_PLAN TVX COURANT cl2-cl6\2025\130 Suivi plan de travaux 2025\Classe 6\501 E-MINGANT\CONT_190023_lot00_DALKIA\0231</t>
  </si>
  <si>
    <t>C25042968-1</t>
  </si>
  <si>
    <t>CREATION DE PIQUAGE ET POSE DE VANNES SUR VIDANGE CONDENSATS VERS LA BACHE EN SST MANIVELLES</t>
  </si>
  <si>
    <t>L:\Services\SERVICE_DES_TRAVAUX\_NEW SERVEUR DPT\2000_PLAN TVX COURANT cl2-cl6\2025\130 Suivi plan de travaux 2025\Classe 6\501 E-MINGANT\CONT_190023_lot00_DALKIA\0232</t>
  </si>
  <si>
    <t>GEOFIT</t>
  </si>
  <si>
    <t>RESAH ACCORD-CADRE N° 2023-R058-000-00</t>
  </si>
  <si>
    <t>Objet : Relevé du bâtiment Peuplier Tournesol / Maquette BIM - LOD-300</t>
  </si>
  <si>
    <t>L:\Services\SERVICE_DES_TRAVAUX\_NEW SERVEUR DPT\1000_OPE TVX STRAT\2025_02 RENOVATION PLH PEUPLIERS\00 ETU PREALABLES\007 GEOMETRE</t>
  </si>
  <si>
    <t>marché resah 
une commande en 2024</t>
  </si>
  <si>
    <t>PICHARD</t>
  </si>
  <si>
    <t>2502033
2502031
2502032</t>
  </si>
  <si>
    <t xml:space="preserve">divers travaux de remplacement  plinthes et protection murale </t>
  </si>
  <si>
    <t>L:\Services\SERVICE_DES_TRAVAUX\_NEW SERVEUR DPT\2000_PLAN TVX COURANT cl2-cl6\2025\130 Suivi plan de travaux 2025\Classe 6\302 M-ALEVEQUE\PICHARD\0234 UCP</t>
  </si>
  <si>
    <t>25-0072</t>
  </si>
  <si>
    <t>depose portes , faiences  CS</t>
  </si>
  <si>
    <t>21351400 - IGAAC : Installations chauffage (chauff bâtiment)</t>
  </si>
  <si>
    <t>DK250202013</t>
  </si>
  <si>
    <t>vidange partiel reseau de chauffage</t>
  </si>
  <si>
    <t>2025DE 18407</t>
  </si>
  <si>
    <t xml:space="preserve">peinture secteur albatros </t>
  </si>
  <si>
    <t>L:\Services\SERVICE_DES_TRAVAUX\_NEW SERVEUR DPT\2000_PLAN TVX COURANT cl2-cl6\2025\130 Suivi plan de travaux 2025\Classe 6\302 M-ALEVEQUE\LOT 03 - LES PEINTURES PARISIENNES\0237 gascogne albatros</t>
  </si>
  <si>
    <t>8506</t>
  </si>
  <si>
    <t>25.V-EVRARD.5.010</t>
  </si>
  <si>
    <t xml:space="preserve">pose de rideaux metalliques  et protection parking </t>
  </si>
  <si>
    <t>L:\Services\SERVICE_DES_TRAVAUX\_NEW SERVEUR DPT\2000_PLAN TVX COURANT cl2-cl6\2025\130 Suivi plan de travaux 2025\Classe 6\302 M-ALEVEQUE\LOT 09 - SNTPP - VRD\0239 galieni</t>
  </si>
  <si>
    <t>T2024034 - Rénovation appartements Gagny</t>
  </si>
  <si>
    <t>DE018139</t>
  </si>
  <si>
    <t xml:space="preserve">RÉFECTION SOL/ PEINTURE : LGT GAGNY BAT A RDC </t>
  </si>
  <si>
    <t>L:\Services\SERVICE_DES_TRAVAUX\_NEW SERVEUR DPT\2000_PLAN TVX COURANT cl2-cl6\2024\00 plan 2024\010 Suivi Plan 2024\CLasse 2\T2024034 Rénovation appartements GAGNY\LOT 03 - LES PEINTURES PARISIENNES\239</t>
  </si>
  <si>
    <t>DE018140</t>
  </si>
  <si>
    <t>RÉFECTION SOL/ PEINTURE : LGT GAGNY BAT A STUDIO R+1 GAUCHE</t>
  </si>
  <si>
    <t>L:\Services\SERVICE_DES_TRAVAUX\_NEW SERVEUR DPT\2000_PLAN TVX COURANT cl2-cl6\2024\00 plan 2024\010 Suivi Plan 2024\CLasse 2\T2024034 Rénovation appartements GAGNY\LOT 03 - LES PEINTURES PARISIENNES\240</t>
  </si>
  <si>
    <t>DE018141</t>
  </si>
  <si>
    <t>RÉFECTION SOL/ PEINTURE : LGT GAGNY BAT 2 R+1 DROITE</t>
  </si>
  <si>
    <t>L:\Services\SERVICE_DES_TRAVAUX\_NEW SERVEUR DPT\2000_PLAN TVX COURANT cl2-cl6\2024\00 plan 2024\010 Suivi Plan 2024\CLasse 2\T2024034 Rénovation appartements GAGNY\LOT 03 - LES PEINTURES PARISIENNES\241</t>
  </si>
  <si>
    <t>N° 8660</t>
  </si>
  <si>
    <t>Rénvonation Appartement RDC entrée A</t>
  </si>
  <si>
    <t>\\SRV-EPS-fai11.epsve.local\DPT\Services\SERVICE_DES_TRAVAUX\_NEW SERVEUR DPT\2000_PLAN TVX COURANT cl2-cl6\2024\00 plan 2024\010 Suivi Plan 2024\CLasse 2\T2024034 Rénovation appartements GAGNY\LOT 13 - AC2P - CLOISONS FAUX PLAF\242</t>
  </si>
  <si>
    <t>N° 8659</t>
  </si>
  <si>
    <t xml:space="preserve">Rénvonation Appartement  R+1 entrée A </t>
  </si>
  <si>
    <t>\\SRV-EPS-fai11.epsve.local\DPT\Services\SERVICE_DES_TRAVAUX\_NEW SERVEUR DPT\2000_PLAN TVX COURANT cl2-cl6\2024\00 plan 2024\010 Suivi Plan 2024\CLasse 2\T2024034 Rénovation appartements GAGNY\LOT 13 - AC2P - CLOISONS FAUX PLAF\243</t>
  </si>
  <si>
    <t>N° 8661</t>
  </si>
  <si>
    <t>Rénvonation Appartement R+1 entrée B</t>
  </si>
  <si>
    <t>\\SRV-EPS-fai11.epsve.local\DPT\Services\SERVICE_DES_TRAVAUX\_NEW SERVEUR DPT\2000_PLAN TVX COURANT cl2-cl6\2024\00 plan 2024\010 Suivi Plan 2024\CLasse 2\T2024034 Rénovation appartements GAGNY\LOT 13 - AC2P - CLOISONS FAUX PLAF\244</t>
  </si>
  <si>
    <t>D2410108/MA</t>
  </si>
  <si>
    <t>Rénovation des installations de plomberie appt 1</t>
  </si>
  <si>
    <t>\\SRV-EPS-fai11.epsve.local\DPT\Services\SERVICE_DES_TRAVAUX\_NEW SERVEUR DPT\2000_PLAN TVX COURANT cl2-cl6\2024\00 plan 2024\010 Suivi Plan 2024\CLasse 2\T2024034 Rénovation appartements GAGNY\LOT 05 - BSMG - CVC\245</t>
  </si>
  <si>
    <t>D2410128/MA</t>
  </si>
  <si>
    <t>Rénovation des installations de plomberie APPT 3</t>
  </si>
  <si>
    <t>\\SRV-EPS-fai11.epsve.local\DPT\Services\SERVICE_DES_TRAVAUX\_NEW SERVEUR DPT\2000_PLAN TVX COURANT cl2-cl6\2024\00 plan 2024\010 Suivi Plan 2024\CLasse 2\T2024034 Rénovation appartements GAGNY\LOT 05 - BSMG - CVC\246</t>
  </si>
  <si>
    <t>D2410129/MA</t>
  </si>
  <si>
    <t>Rénovation des installations de plomberie APPT 2</t>
  </si>
  <si>
    <t>\\SRV-EPS-fai11.epsve.local\DPT\Services\SERVICE_DES_TRAVAUX\_NEW SERVEUR DPT\2000_PLAN TVX COURANT cl2-cl6\2024\00 plan 2024\010 Suivi Plan 2024\CLasse 2\T2024034 Rénovation appartements GAGNY\LOT 05 - BSMG - CVC\247</t>
  </si>
  <si>
    <t>325030061</t>
  </si>
  <si>
    <t>Désenfumage: Remplacement grille VCF</t>
  </si>
  <si>
    <t>ANNULEE/
COMMANDE SUPP</t>
  </si>
  <si>
    <t>10005178</t>
  </si>
  <si>
    <t>Régule sur intervention d'astreinte du 23-01-2025
sur portail CB-3  N°02-05</t>
  </si>
  <si>
    <t>10005179</t>
  </si>
  <si>
    <t>Régule sur intervention d'astreinte du 27-01-2025 sur portail ambulance 48-03</t>
  </si>
  <si>
    <t>10005224</t>
  </si>
  <si>
    <t xml:space="preserve">régule inter d'astraeinte du 21-01-2025 sur porte garage et portail ambulance </t>
  </si>
  <si>
    <t>8169</t>
  </si>
  <si>
    <t>HJ RPS</t>
  </si>
  <si>
    <t>5,0007B</t>
  </si>
  <si>
    <t>Réfection de la voirie affaissée devant l'entrée créant une mare d'eau pour les usagers</t>
  </si>
  <si>
    <t>L:\Services\SERVICE_DES_TRAVAUX\_NEW SERVEUR DPT\2000_PLAN TVX COURANT cl2-cl6\2025\130 Suivi plan de travaux 2025\Classe 6\303 R-MERONI\LOT 09 - SNTPP - VRD</t>
  </si>
  <si>
    <t>m'en parler</t>
  </si>
  <si>
    <t>DE2504958</t>
  </si>
  <si>
    <t>Suite rapport huissier de Ve constatant  fuites chez co-propriétaire  Essais fumigenes et réfection partielle  de la TT + réparation au dessus de la sam personnel.</t>
  </si>
  <si>
    <t>L:\Services\SERVICE_DES_TRAVAUX\_NEW SERVEUR DPT\2000_PLAN TVX COURANT cl2-cl6\2025\130 Suivi plan de travaux 2025\Classe 6\303 R-MERONI\LOT 06 - COBAT - ETANCHEITE</t>
  </si>
  <si>
    <t>39 - Prestation intellectuelle / service</t>
  </si>
  <si>
    <t>2668527</t>
  </si>
  <si>
    <t>triennale SSI TAMARIS attention TVA 20</t>
  </si>
  <si>
    <t>2668510</t>
  </si>
  <si>
    <r>
      <t xml:space="preserve">triennale SSI PROVENCE </t>
    </r>
    <r>
      <rPr>
        <sz val="11"/>
        <color rgb="FFFF0000"/>
        <rFont val="Calibri"/>
        <family val="2"/>
        <scheme val="minor"/>
      </rPr>
      <t>attention TVA 20</t>
    </r>
  </si>
  <si>
    <t>8085</t>
  </si>
  <si>
    <t>Champagne</t>
  </si>
  <si>
    <t>2668502</t>
  </si>
  <si>
    <r>
      <t>triennale SSI CHAMPAGNE</t>
    </r>
    <r>
      <rPr>
        <sz val="11"/>
        <color rgb="FFFF0000"/>
        <rFont val="Calibri"/>
        <family val="2"/>
        <scheme val="minor"/>
      </rPr>
      <t xml:space="preserve"> attention TVA 20</t>
    </r>
  </si>
  <si>
    <t>2668487</t>
  </si>
  <si>
    <r>
      <t>triennale SSI MORVAN</t>
    </r>
    <r>
      <rPr>
        <sz val="11"/>
        <color rgb="FFFF0000"/>
        <rFont val="Calibri"/>
        <family val="2"/>
        <scheme val="minor"/>
      </rPr>
      <t xml:space="preserve"> attention TVA 20</t>
    </r>
  </si>
  <si>
    <t>2668468</t>
  </si>
  <si>
    <r>
      <t xml:space="preserve">triennale SSI DAUPHINE </t>
    </r>
    <r>
      <rPr>
        <sz val="11"/>
        <color rgb="FFFF0000"/>
        <rFont val="Calibri"/>
        <family val="2"/>
        <scheme val="minor"/>
      </rPr>
      <t>attention TVA 20</t>
    </r>
  </si>
  <si>
    <t>2668491</t>
  </si>
  <si>
    <r>
      <t xml:space="preserve">triennale SSI ORION </t>
    </r>
    <r>
      <rPr>
        <sz val="11"/>
        <color rgb="FFFF0000"/>
        <rFont val="Calibri"/>
        <family val="2"/>
        <scheme val="minor"/>
      </rPr>
      <t>attention TVA 20</t>
    </r>
  </si>
  <si>
    <t>615168</t>
  </si>
  <si>
    <t>2668473</t>
  </si>
  <si>
    <r>
      <t>triennale SSI LA MAS</t>
    </r>
    <r>
      <rPr>
        <sz val="11"/>
        <color rgb="FFFF0000"/>
        <rFont val="Calibri"/>
        <family val="2"/>
        <scheme val="minor"/>
      </rPr>
      <t xml:space="preserve"> attention TVA 20</t>
    </r>
  </si>
  <si>
    <t xml:space="preserve"> N° COMPTE 615168
Vu avec Kahina</t>
  </si>
  <si>
    <t>2668659</t>
  </si>
  <si>
    <r>
      <t xml:space="preserve">triennale SSI CHARLES TILLON </t>
    </r>
    <r>
      <rPr>
        <sz val="11"/>
        <color rgb="FFFF0000"/>
        <rFont val="Calibri"/>
        <family val="2"/>
        <scheme val="minor"/>
      </rPr>
      <t>attention TVA 20</t>
    </r>
  </si>
  <si>
    <t>2668881</t>
  </si>
  <si>
    <r>
      <t>triennale SSI LUCIEN CHAPELAIN</t>
    </r>
    <r>
      <rPr>
        <sz val="11"/>
        <color rgb="FFFF0000"/>
        <rFont val="Calibri"/>
        <family val="2"/>
        <scheme val="minor"/>
      </rPr>
      <t xml:space="preserve"> attention TVA 20</t>
    </r>
  </si>
  <si>
    <t>2668895</t>
  </si>
  <si>
    <r>
      <t>triennale SSI DELAFONTAINE</t>
    </r>
    <r>
      <rPr>
        <sz val="11"/>
        <color rgb="FFFF0000"/>
        <rFont val="Calibri"/>
        <family val="2"/>
        <scheme val="minor"/>
      </rPr>
      <t xml:space="preserve"> attention TVA 20</t>
    </r>
  </si>
  <si>
    <t>L:\Services\SERVICE_DES_TRAVAUX\_NEW SERVEUR DPT\2000_PLAN TVX COURANT cl2-cl6\2025\130 Suivi plan de travaux 2025\Classe 6</t>
  </si>
  <si>
    <t>2668886</t>
  </si>
  <si>
    <r>
      <t xml:space="preserve">triennale SSI LA BOISSIERE </t>
    </r>
    <r>
      <rPr>
        <sz val="11"/>
        <color rgb="FFFF0000"/>
        <rFont val="Calibri"/>
        <family val="2"/>
        <scheme val="minor"/>
      </rPr>
      <t>attention TVA 20</t>
    </r>
  </si>
  <si>
    <t>2668869</t>
  </si>
  <si>
    <r>
      <t xml:space="preserve">triennale SSI FELICITE SONTHONAX </t>
    </r>
    <r>
      <rPr>
        <sz val="11"/>
        <color rgb="FFFF0000"/>
        <rFont val="Calibri"/>
        <family val="2"/>
        <scheme val="minor"/>
      </rPr>
      <t>attention TVA 20</t>
    </r>
  </si>
  <si>
    <t>2668278</t>
  </si>
  <si>
    <r>
      <t>triennale SSI ACACIAS</t>
    </r>
    <r>
      <rPr>
        <sz val="11"/>
        <color rgb="FFFF0000"/>
        <rFont val="Calibri"/>
        <family val="2"/>
        <scheme val="minor"/>
      </rPr>
      <t xml:space="preserve"> attention TVA 20</t>
    </r>
  </si>
  <si>
    <t>8480</t>
  </si>
  <si>
    <t>Pantin</t>
  </si>
  <si>
    <t>Delizy</t>
  </si>
  <si>
    <t>Immeuble les Diamants</t>
  </si>
  <si>
    <t>03,2025 DE018400</t>
  </si>
  <si>
    <t>2 eme phase 2025  :Peintures de 7  espaces (Bureaux psycho(2),othophonistes(2) ,médical(1) ; salle psychomoticité,cuisine personnel)</t>
  </si>
  <si>
    <t>L:\Services\SERVICE_DES_TRAVAUX\_NEW SERVEUR DPT\2000_PLAN TVX COURANT cl2-cl6\2025\130 Suivi plan de travaux 2025\Classe 6\303 R-MERONI\LOT 03 - LES PEINTURES PARISIENNES\267 pantin Delizy</t>
  </si>
  <si>
    <t>03.2025 DE018362</t>
  </si>
  <si>
    <t>peinture hdj drancy RDC</t>
  </si>
  <si>
    <t>L:\Services\SERVICE_DES_TRAVAUX\_NEW SERVEUR DPT\2000_PLAN TVX COURANT cl2-cl6\2025\130 Suivi plan de travaux 2025\Classe 6\301 P-DOMERCQ\LOT 03 - LES PEINTURES PARISIENNES\0268 lpp cattp la source drancy</t>
  </si>
  <si>
    <t>DV-2246487</t>
  </si>
  <si>
    <t>REFECTION COMPLETE DES APPARTEMENTS</t>
  </si>
  <si>
    <t>L:\Services\SERVICE_DES_TRAVAUX\_NEW SERVEUR DPT\2000_PLAN TVX COURANT cl2-cl6\2024\00 plan 2024\010 Suivi Plan 2024\CLasse 2\T2024034 Rénovation appartements GAGNY\LOT 04 - ELECTRICITE CFO-CFA\269</t>
  </si>
  <si>
    <t>Exclue</t>
  </si>
  <si>
    <t>EVE-D005</t>
  </si>
  <si>
    <t>Etude de faisabilité pour le transfert de la reprographie
à Neuilly-sur-Marne</t>
  </si>
  <si>
    <t>L:\Services\SERVICE_DES_TRAVAUX\_NEW SERVEUR DPT\2000_PLAN TVX COURANT cl2-cl6\2025\130 Suivi plan de travaux 2025\Classe 6\102 JC-HONART\Graal</t>
  </si>
  <si>
    <t>8913</t>
  </si>
  <si>
    <t>Bobigny</t>
  </si>
  <si>
    <t>Louise Michel / de la Pochette</t>
  </si>
  <si>
    <t>Louise / Pochette</t>
  </si>
  <si>
    <t>D2402941-001</t>
  </si>
  <si>
    <t xml:space="preserve">Vidage et curage de la fosse de relevage </t>
  </si>
  <si>
    <t>D2402931-001</t>
  </si>
  <si>
    <t xml:space="preserve">Remplacement pompe de relevage </t>
  </si>
  <si>
    <t>8505</t>
  </si>
  <si>
    <t>Méderic</t>
  </si>
  <si>
    <t>6380/25</t>
  </si>
  <si>
    <t xml:space="preserve">installation de stores </t>
  </si>
  <si>
    <t>L:\Services\SERVICE_DES_TRAVAUX\_NEW SERVEUR DPT\2000_PLAN TVX COURANT cl2-cl6\2025\130 Suivi plan de travaux 2025\Classe 6\302 M-ALEVEQUE\LOT 08 - ABPSI -STORES\0282mederic</t>
  </si>
  <si>
    <t>25-0080</t>
  </si>
  <si>
    <t>Réparartion des trous devant l'entrée piétonne</t>
  </si>
  <si>
    <t>L:\Services\SERVICE_DES_TRAVAUX\_NEW SERVEUR DPT\2000_PLAN TVX COURANT cl2-cl6\2025\130 Suivi plan de travaux 2025\Classe 6\303 R-MERONI\LOT 01 - SANICOTHERM - MACONNERIE\274  regis parvis trous</t>
  </si>
  <si>
    <t>124778</t>
  </si>
  <si>
    <t>Remplacement de 5 panneaux bois occultant du jardin évitant les interactions de traffic avec l'extérieur</t>
  </si>
  <si>
    <t>L:\Services\SERVICE_DES_TRAVAUX\_NEW SERVEUR DPT\2000_PLAN TVX COURANT cl2-cl6\2025\130 Suivi plan de travaux 2025\Classe 6\303 R-MERONI\LOT 02 - ARTETLEBOIS -MENUISERIE\275 Tamaris panneaux bois jardin</t>
  </si>
  <si>
    <t>2653270.1</t>
  </si>
  <si>
    <t>Vérifications techniques en Sécurité Incendie - Remplacement de deux appareils élévateurs - EPS Ville Evrard "Clos Bernard"</t>
  </si>
  <si>
    <t>L:\Services\SERVICE_DES_TRAVAUX\_NEW SERVEUR DPT\2000_PLAN TVX COURANT cl2-cl6\2025\130 Suivi plan de travaux 2025\Classe 6\501 E-MINGANT\RESHA_APAVE\0276</t>
  </si>
  <si>
    <t>Bonjour Romain TVA à 20% (EM)</t>
  </si>
  <si>
    <t>C25042988-1</t>
  </si>
  <si>
    <t>REPARATION EN URGENCE FUITE VAPEUR EN SOUS
STATION MANIVELLES (intervention de nuit)</t>
  </si>
  <si>
    <t>L:\Services\SERVICE_DES_TRAVAUX\_NEW SERVEUR DPT\2000_PLAN TVX COURANT cl2-cl6\2025\130 Suivi plan de travaux 2025\Classe 6\501 E-MINGANT\CONT_190023_lot00_DALKIA\0277</t>
  </si>
  <si>
    <t>DK250303577</t>
  </si>
  <si>
    <t>Remplacement elements chaudieres</t>
  </si>
  <si>
    <t>6332/25
modifié</t>
  </si>
  <si>
    <t xml:space="preserve">régule intervention du 06-02-25 + du 04-03-25  sur volet électrique de la     chambre-124  au  1Et  G05 </t>
  </si>
  <si>
    <t>5022</t>
  </si>
  <si>
    <t>UHTP Ados</t>
  </si>
  <si>
    <t>C002338</t>
  </si>
  <si>
    <r>
      <t xml:space="preserve">Prise en charge et maintenance corrective par le constructeur PTI 82015 G02 Unité Ado  N-S20067584
</t>
    </r>
    <r>
      <rPr>
        <sz val="11"/>
        <color rgb="FFC00000"/>
        <rFont val="Calibri"/>
        <family val="2"/>
        <scheme val="minor"/>
      </rPr>
      <t>ATTENTION  TVA à 20 % sur devis</t>
    </r>
    <r>
      <rPr>
        <sz val="11"/>
        <color theme="1"/>
        <rFont val="Calibri"/>
        <family val="2"/>
        <scheme val="minor"/>
      </rPr>
      <t xml:space="preserve">  = 625,99 Euro TTC</t>
    </r>
  </si>
  <si>
    <t>NEPSEN</t>
  </si>
  <si>
    <t>62281 - Classe 6 Autres rémunération et honoraires</t>
  </si>
  <si>
    <t>sans</t>
  </si>
  <si>
    <t>Proposition d'accompagnement Bilan Carbone pour l'EPS Ville-Evrard</t>
  </si>
  <si>
    <t>L:\Services\SERVICE_DES_TRAVAUX\_NEW SERVEUR DPT\2000_PLAN TVX COURANT cl2-cl6\2025\130 Suivi plan de travaux 2025\Classe 6\101 C-DARRET\Bilan carbone NEPSEN mar-25</t>
  </si>
  <si>
    <t>Voir Louisiane + faire bon de comande en dataillant le montants des Phase 1 (UO 1,2) / Phase 2 (U.O. 2.2 + UO 5.2) / Phase 3 (UO 10.2 + UO 5.3)</t>
  </si>
  <si>
    <t>T2025009 CUISINE THERAPEUTIQUE</t>
  </si>
  <si>
    <t>DV-2251135</t>
  </si>
  <si>
    <t>renovation cuisine</t>
  </si>
  <si>
    <t>L:\Services\SERVICE_DES_TRAVAUX\_NEW SERVEUR DPT\2000_PLAN TVX COURANT cl2-cl6\2025\130 Suivi plan de travaux 2025\Classe 2\T2025009 cuisine therapeutique\0271 cuisine suresnes</t>
  </si>
  <si>
    <t>124735</t>
  </si>
  <si>
    <t>creation cuisine</t>
  </si>
  <si>
    <t>24-0400</t>
  </si>
  <si>
    <t>Travaux de démolition et refection carrelage cuisine</t>
  </si>
  <si>
    <t>L:\Services\SERVICE_DES_TRAVAUX\_NEW SERVEUR DPT\2000_PLAN TVX COURANT cl2-cl6\2025\130 Suivi plan de travaux 2025\Classe 2\T2025009  CUISINE THERAPEUTIQUE\0271 cuisine suresnes</t>
  </si>
  <si>
    <t>DE017858</t>
  </si>
  <si>
    <t>RÉFECTION PEINTURE ST DENIS G01 salle à manger + sas</t>
  </si>
  <si>
    <t>A annulé</t>
  </si>
  <si>
    <t xml:space="preserve"> annulé</t>
  </si>
  <si>
    <t>8738</t>
  </si>
  <si>
    <t>cloison cuisine</t>
  </si>
  <si>
    <t>DK250303587</t>
  </si>
  <si>
    <t>Formation utilisation GTC</t>
  </si>
  <si>
    <t>DK241114608</t>
  </si>
  <si>
    <t xml:space="preserve">Reparation fuite sur reseau ECS </t>
  </si>
  <si>
    <t>C25053195-1</t>
  </si>
  <si>
    <t>REPARATION FUITE SUR BALLON ECS N°2 EN SST MOREL</t>
  </si>
  <si>
    <t>L:\Services\SERVICE_DES_TRAVAUX\_NEW SERVEUR DPT\2000_PLAN TVX COURANT cl2-cl6\2025\130 Suivi plan de travaux 2025\Classe 6\501 E-MINGANT\CONT_190023_lot00_DALKIA\0289</t>
  </si>
  <si>
    <t>Pour mémoire: P3</t>
  </si>
  <si>
    <t>C25053205-1</t>
  </si>
  <si>
    <t>REPARATION FUITE VAPEUR SUR ECHANGEUR RESEAU PROVENCE SST MAISON DE SANTE</t>
  </si>
  <si>
    <t>L:\Services\SERVICE_DES_TRAVAUX\_NEW SERVEUR DPT\2000_PLAN TVX COURANT cl2-cl6\2025\130 Suivi plan de travaux 2025\Classe 6\501 E-MINGANT\CONT_190023_lot00_DALKIA\0290</t>
  </si>
  <si>
    <t>8623</t>
  </si>
  <si>
    <t>Avenir</t>
  </si>
  <si>
    <t>DE018447</t>
  </si>
  <si>
    <t>peinture circulations et sol escalier+entree,</t>
  </si>
  <si>
    <t>L:\Services\SERVICE_DES_TRAVAUX\_NEW SERVEUR DPT\2000_PLAN TVX COURANT cl2-cl6\2025\130 Suivi plan de travaux 2025\Classe 6\301 P-DOMERCQ\LOT 03 - LES PEINTURES PARISIENNES\0291 lpp l'avenir epinay G03</t>
  </si>
  <si>
    <t>6393/25</t>
  </si>
  <si>
    <t xml:space="preserve">Remplacement rideaux a lames </t>
  </si>
  <si>
    <t>L:\Services\SERVICE_DES_TRAVAUX\_NEW SERVEUR DPT\2000_PLAN TVX COURANT cl2-cl6\2025\130 Suivi plan de travaux 2025\Classe 6\302 M-ALEVEQUE\LOT 08 - ABPSI -STORES\0292 UCP</t>
  </si>
  <si>
    <t>T2024039</t>
  </si>
  <si>
    <t>D2503059/MA</t>
  </si>
  <si>
    <t>plomberie sup pour  cs transformé en ch hoteliere</t>
  </si>
  <si>
    <t>250097</t>
  </si>
  <si>
    <t>démolition mur pour creation biae vitrée</t>
  </si>
  <si>
    <t>L:\Services\SERVICE_DES_TRAVAUX\_NEW SERVEUR DPT\2000_PLAN TVX COURANT cl2-cl6\2025\130 Suivi plan de travaux 2025\Classe 6\302 M-ALEVEQUE\LOT 01 - SANICOTHERM - MACONNERIE\0294 Dauphine couloir</t>
  </si>
  <si>
    <t>D2502187</t>
  </si>
  <si>
    <t>plomberie et ventilation</t>
  </si>
  <si>
    <t>\\SRV-EPS-fai11.epsve.local\DPT\Services\SERVICE_DES_TRAVAUX\_NEW SERVEUR DPT\2000_PLAN TVX COURANT cl2-cl6\2025\130 Suivi plan de travaux 2025\Classe 2\T2025009 cuisine therapeutique\0271 cuisine suresnes</t>
  </si>
  <si>
    <t>124793</t>
  </si>
  <si>
    <t>cremone pompiers a clefs</t>
  </si>
  <si>
    <t>L:\Services\SERVICE_DES_TRAVAUX\_NEW SERVEUR DPT\2000_PLAN TVX COURANT cl2-cl6\2025\130 Suivi plan de travaux 2025\Classe 6\301 P-DOMERCQ\LOT 02 - ARTETLEBOIS -MENUISERIE\0296</t>
  </si>
  <si>
    <t>124794</t>
  </si>
  <si>
    <t>depannage porte DAS passerelle</t>
  </si>
  <si>
    <t>L:\Services\SERVICE_DES_TRAVAUX\_NEW SERVEUR DPT\2000_PLAN TVX COURANT cl2-cl6\2025\130 Suivi plan de travaux 2025\Classe 6\301 P-DOMERCQ\LOT 02 - ARTETLEBOIS -MENUISERIE\0297</t>
  </si>
  <si>
    <t>124682 V1</t>
  </si>
  <si>
    <t xml:space="preserve">Studio, R+1, gauche, entrée B </t>
  </si>
  <si>
    <t>\\SRV-EPS-fai11.epsve.local\DPT\Services\SERVICE_DES_TRAVAUX\_NEW SERVEUR DPT\2000_PLAN TVX COURANT cl2-cl6\2024\00 plan 2024\010 Suivi Plan 2024\CLasse 2\T2024034 Rénovation appartements GAGNY\Nouveau dossier\298</t>
  </si>
  <si>
    <t>TVA à 0,1</t>
  </si>
  <si>
    <t>124683 V1</t>
  </si>
  <si>
    <t xml:space="preserve">Studio, R+1, gauche, entrée A </t>
  </si>
  <si>
    <t>\\SRV-EPS-fai11.epsve.local\DPT\Services\SERVICE_DES_TRAVAUX\_NEW SERVEUR DPT\2000_PLAN TVX COURANT cl2-cl6\2024\00 plan 2024\010 Suivi Plan 2024\CLasse 2\T2024034 Rénovation appartements GAGNY\Nouveau dossier\299</t>
  </si>
  <si>
    <t>124684 V1</t>
  </si>
  <si>
    <r>
      <t>Studio, RDC, gauche, Entrée A</t>
    </r>
    <r>
      <rPr>
        <sz val="11"/>
        <color rgb="FFFF0000"/>
        <rFont val="Calibri"/>
        <family val="2"/>
        <scheme val="minor"/>
      </rPr>
      <t xml:space="preserve"> </t>
    </r>
  </si>
  <si>
    <t>\\SRV-EPS-fai11.epsve.local\DPT\Services\SERVICE_DES_TRAVAUX\_NEW SERVEUR DPT\2000_PLAN TVX COURANT cl2-cl6\2024\00 plan 2024\010 Suivi Plan 2024\CLasse 2\T2024034 Rénovation appartements GAGNY\Nouveau dossier\300</t>
  </si>
  <si>
    <t>D2503071/MA</t>
  </si>
  <si>
    <t>siphon  de sol cuisine</t>
  </si>
  <si>
    <t>L:\Services\SERVICE_DES_TRAVAUX\_NEW SERVEUR DPT\2000_PLAN TVX COURANT cl2-cl6\2025\130 Suivi plan de travaux 2025\Classe 6\301 P-DOMERCQ\LOT 05 - BSMG - CVC\0301</t>
  </si>
  <si>
    <t>25-0092</t>
  </si>
  <si>
    <t>Suite grosses infiltrations réparées :Reprise de plas plafonds placo avec peinture à 3 endroits :Salle d'activités 1 er étage ,Couloir des chambres du G14 ,SAS de la CSI</t>
  </si>
  <si>
    <t>L:\Services\SERVICE_DES_TRAVAUX\_NEW SERVEUR DPT\2000_PLAN TVX COURANT cl2-cl6\2025\130 Suivi plan de travaux 2025\Classe 6\303 R-MERONI\LOT 01 - SANICOTHERM - MACONNERIE\302</t>
  </si>
  <si>
    <t>250096</t>
  </si>
  <si>
    <t>Refection sanitaires et bureaux drh</t>
  </si>
  <si>
    <t>L:\Services\SERVICE_DES_TRAVAUX\_NEW SERVEUR DPT\2000_PLAN TVX COURANT cl2-cl6\2025\130 Suivi plan de travaux 2025\Classe 6\302 M-ALEVEQUE\LOT 01 - SANICOTHERM - MACONNERIE\0303 DRH</t>
  </si>
  <si>
    <t>annulé OS 276</t>
  </si>
  <si>
    <t>124805</t>
  </si>
  <si>
    <t>Divers trvaux menuiseries DRH</t>
  </si>
  <si>
    <t>L:\Services\SERVICE_DES_TRAVAUX\_NEW SERVEUR DPT\2000_PLAN TVX COURANT cl2-cl6\2025\130 Suivi plan de travaux 2025\Classe 6\302 M-ALEVEQUE\LOT 02 - ARTETLEBOIS -MENUISERIE\0304 DRH</t>
  </si>
  <si>
    <t>1530</t>
  </si>
  <si>
    <t>Transports</t>
  </si>
  <si>
    <t>D2502116/MA</t>
  </si>
  <si>
    <t>Recherche de panne sur groupe d'air comprimé</t>
  </si>
  <si>
    <t>L:\Services\SERVICE_DES_TRAVAUX\_NEW SERVEUR DPT\2000_PLAN TVX COURANT cl2-cl6\2025\130 Suivi plan de travaux 2025\Classe 6\501 E-MINGANT\MBC_LOT05 BSMG-LTDf\0305</t>
  </si>
  <si>
    <t>C25060078-1</t>
  </si>
  <si>
    <t>REMPLACEMENT POMPE DE RELEVAGE EN SOUS STATION MANIVELLES</t>
  </si>
  <si>
    <t>L:\Services\SERVICE_DES_TRAVAUX\_NEW SERVEUR DPT\2000_PLAN TVX COURANT cl2-cl6\2025\130 Suivi plan de travaux 2025\Classe 6\501 E-MINGANT\CONT_190023_lot00_DALKIA\0306</t>
  </si>
  <si>
    <t>C25054849-1</t>
  </si>
  <si>
    <t>Remplacement d’un tronçon de tuyauterie sur la canalisation GAZ en chaufferie</t>
  </si>
  <si>
    <t>L:\Services\SERVICE_DES_TRAVAUX\_NEW SERVEUR DPT\2000_PLAN TVX COURANT cl2-cl6\2025\130 Suivi plan de travaux 2025\Classe 6\501 E-MINGANT\CONT_190023_lot00_DALKIA\0307</t>
  </si>
  <si>
    <t>10005522</t>
  </si>
  <si>
    <t xml:space="preserve">REMPLACEMENT DE LA STATION D'ENTRAINEMENT (comprennant également la totalité des interventions sur le portail 02-05) </t>
  </si>
  <si>
    <t>L:\Services\SERVICE_DES_TRAVAUX\_NEW SERVEUR DPT\2000_PLAN TVX COURANT cl2-cl6\2025\130 Suivi plan de travaux 2025\Classe 6\503 P-EPIS\CONT_220024_lot08_VULCAIN Barriere-Porte Auto\0308</t>
  </si>
  <si>
    <t>DV-2251822</t>
  </si>
  <si>
    <t>alimentation des ecrans pour informatique</t>
  </si>
  <si>
    <t>L:\Services\SERVICE_DES_TRAVAUX\_NEW SERVEUR DPT\2000_PLAN TVX COURANT cl2-cl6\2025\130 Suivi plan de travaux 2025\Classe 6\301 P-DOMERCQ\LOT 04- TBES - ELECTRICITE CFO-CFA\0309</t>
  </si>
  <si>
    <t>DV-2251827</t>
  </si>
  <si>
    <t>L:\Services\SERVICE_DES_TRAVAUX\_NEW SERVEUR DPT\2000_PLAN TVX COURANT cl2-cl6\2025\130 Suivi plan de travaux 2025\Classe 6\301 P-DOMERCQ\LOT 04- TBES - ELECTRICITE CFO-CFA\0310</t>
  </si>
  <si>
    <t>DV-2251818</t>
  </si>
  <si>
    <t>porte acces Ambu</t>
  </si>
  <si>
    <t>L:\Services\SERVICE_DES_TRAVAUX\_NEW SERVEUR DPT\2000_PLAN TVX COURANT cl2-cl6\2025\130 Suivi plan de travaux 2025\Classe 6\301 P-DOMERCQ\LOT 04- TBES - ELECTRICITE CFO-CFA\0311</t>
  </si>
  <si>
    <t>8830</t>
  </si>
  <si>
    <t>cloison salle de soins</t>
  </si>
  <si>
    <t>L:\Services\SERVICE_DES_TRAVAUX\_NEW SERVEUR DPT\2000_PLAN TVX COURANT cl2-cl6\2025\130 Suivi plan de travaux 2025\Classe 6\301 P-DOMERCQ\LOT 13 - AC2P - CLOISONS FAUX PLAF\0312</t>
  </si>
  <si>
    <t>8831</t>
  </si>
  <si>
    <t>portes acces gaine tech</t>
  </si>
  <si>
    <t>L:\Services\SERVICE_DES_TRAVAUX\_NEW SERVEUR DPT\2000_PLAN TVX COURANT cl2-cl6\2025\130 Suivi plan de travaux 2025\Classe 6\301 P-DOMERCQ\LOT 13 - AC2P - CLOISONS FAUX PLAF\0313</t>
  </si>
  <si>
    <t>DE,5014</t>
  </si>
  <si>
    <t>Création dalle béton</t>
  </si>
  <si>
    <t>L:\Services\SERVICE_DES_TRAVAUX\_NEW SERVEUR DPT\2000_PLAN TVX COURANT cl2-cl6\2025\130 Suivi plan de travaux 2025\Classe 6\502 A-CARPINTEIRO\MBC_LOT09 SNTPP\0224</t>
  </si>
  <si>
    <t>TVA à 0,1
BDC envoyé</t>
  </si>
  <si>
    <t>240187R4</t>
  </si>
  <si>
    <t>Travaux d'aménagement suivant Version 2 de JLT</t>
  </si>
  <si>
    <t>L:\Services\SERVICE_DES_TRAVAUX\_NEW SERVEUR DPT\2000_PLAN TVX COURANT cl2-cl6\2024\00 plan 2024\010 Suivi Plan 2024\CLasse 2\T2024029 MAISON DES USAGERS\Devis 2025\315  Sanicothrerm</t>
  </si>
  <si>
    <t>124799</t>
  </si>
  <si>
    <t>L:\Services\SERVICE_DES_TRAVAUX\_NEW SERVEUR DPT\2000_PLAN TVX COURANT cl2-cl6\2024\00 plan 2024\010 Suivi Plan 2024\CLasse 2\T2024029 MAISON DES USAGERS\Devis 2025\316  AEB</t>
  </si>
  <si>
    <t>DV-2243544A</t>
  </si>
  <si>
    <t>L:\Services\SERVICE_DES_TRAVAUX\_NEW SERVEUR DPT\2000_PLAN TVX COURANT cl2-cl6\2024\00 plan 2024\010 Suivi Plan 2024\CLasse 2\T2024029 MAISON DES USAGERS\Devis 2025\317 TBES</t>
  </si>
  <si>
    <t>05,2024 DE016266</t>
  </si>
  <si>
    <t>21/05/2024</t>
  </si>
  <si>
    <t>L:\Services\SERVICE_DES_TRAVAUX\_NEW SERVEUR DPT\2000_PLAN TVX COURANT cl2-cl6\2024\00 plan 2024\010 Suivi Plan 2024\CLasse 2\T2024029 MAISON DES USAGERS\Devis 2025\318  LPP</t>
  </si>
  <si>
    <t>8914</t>
  </si>
  <si>
    <t>6450/25</t>
  </si>
  <si>
    <t>régule sur intervention du 25-03-2025 , dépannage rideau entrée CMP/6 ET</t>
  </si>
  <si>
    <t>DE018645</t>
  </si>
  <si>
    <t>sol salle d'activité cattp</t>
  </si>
  <si>
    <t>L:\Services\SERVICE_DES_TRAVAUX\_NEW SERVEUR DPT\2000_PLAN TVX COURANT cl2-cl6\2025\130 Suivi plan de travaux 2025\Classe 6\301 P-DOMERCQ\LOT 03 - LES PEINTURES PARISIENNES\0320</t>
  </si>
  <si>
    <t>D2501158/MA</t>
  </si>
  <si>
    <t>La Nacelle SDB commune :mise en œuvre de bordures carrelées sous les cloisnnements pour prévenir les inondations</t>
  </si>
  <si>
    <t>L:\Services\SERVICE_DES_TRAVAUX\_NEW SERVEUR DPT\2000_PLAN TVX COURANT cl2-cl6\2025\130 Suivi plan de travaux 2025\Classe 2\T2025001 - Montreuil boissière\322 SDB Bordure BSMG</t>
  </si>
  <si>
    <t>remy cela n'était pas inclus dans le premier devis?
BDC ENVOYE</t>
  </si>
  <si>
    <t>Jean Jaurés</t>
  </si>
  <si>
    <t>325030809</t>
  </si>
  <si>
    <t>DM Zone 13 dérangement SSI</t>
  </si>
  <si>
    <t xml:space="preserve"> BDC envoyé</t>
  </si>
  <si>
    <t>325030808</t>
  </si>
  <si>
    <t>Travaux désenfumage mesure de débit d'air</t>
  </si>
  <si>
    <t>INAXE</t>
  </si>
  <si>
    <t>E0520-MO-Comp_V2</t>
  </si>
  <si>
    <t>amo deplombage</t>
  </si>
  <si>
    <t>L:\Services\SERVICE_DES_TRAVAUX\_NEW SERVEUR DPT\1000_OPE TVX STRAT\2019.11 POLE SANTE\00 ETU PREALABLES\002 AMIANTE\023 AMO amiante</t>
  </si>
  <si>
    <t>21351830 - Autres IGAAC : Système de Sécurité Incendie</t>
  </si>
  <si>
    <t>T20230041</t>
  </si>
  <si>
    <t>323120164</t>
  </si>
  <si>
    <t>depose repose réseaux  et remplacements moteurs desenfumage</t>
  </si>
  <si>
    <t>\\SRV-EPS-fai11.epsve.local\DPT\Services\SERVICE_DES_TRAVAUX\_NEW SERVEUR DPT\2000_PLAN TVX COURANT cl2-cl6\2023\2023 cl2 Demat\T20230041 terrasse aile droite St Denis R.Rolland\326</t>
  </si>
  <si>
    <t>DV2251850</t>
  </si>
  <si>
    <t>SOLIROC SAS CI</t>
  </si>
  <si>
    <t>DV2251846</t>
  </si>
  <si>
    <t>Réfection bureaux DRH</t>
  </si>
  <si>
    <t>L:\Services\SERVICE_DES_TRAVAUX\_NEW SERVEUR DPT\2000_PLAN TVX COURANT cl2-cl6\2025\130 Suivi plan de travaux 2025\Classe 6\302 M-ALEVEQUE\LOT 04- TBES - ELECTRICITE CFO-CFA\0327Drh</t>
  </si>
  <si>
    <t>DV-2251873</t>
  </si>
  <si>
    <t>appareillages ch 603 ex cs</t>
  </si>
  <si>
    <t>T2025005 APPARTEMENT MOREAU-REGIS</t>
  </si>
  <si>
    <t>DV-2251833</t>
  </si>
  <si>
    <t>Aménagement d'un appartement prototype pour  travail d'autonomisation des patients et familles</t>
  </si>
  <si>
    <t>L:\Services\SERVICE_DES_TRAVAUX\_NEW SERVEUR DPT\2000_PLAN TVX COURANT cl2-cl6\2025\130 Suivi plan de travaux 2025\Classe 2\T2025005 Appartement  Unirre-Care\329 TBES Appartement Moreau</t>
  </si>
  <si>
    <t>124789</t>
  </si>
  <si>
    <t>Aménagement d'un appartement prototype pour travail d'autonomisation des patients et famille</t>
  </si>
  <si>
    <t>L:\Services\SERVICE_DES_TRAVAUX\_NEW SERVEUR DPT\2000_PLAN TVX COURANT cl2-cl6\2025\130 Suivi plan de travaux 2025\Classe 2\T2025005 Appartement  Unirre-Care\330 AEB Portes intérieures</t>
  </si>
  <si>
    <t>D2503085/MA</t>
  </si>
  <si>
    <t>L:\Services\SERVICE_DES_TRAVAUX\_NEW SERVEUR DPT\2000_PLAN TVX COURANT cl2-cl6\2025\130 Suivi plan de travaux 2025\Classe 2\T2025005 Appartement  Unirre-Care\331 BSMG Cuine-sanitaire -SDB Appartement Moreau</t>
  </si>
  <si>
    <t>24-0404 R1</t>
  </si>
  <si>
    <t>L:\Services\SERVICE_DES_TRAVAUX\_NEW SERVEUR DPT\2000_PLAN TVX COURANT cl2-cl6\2025\130 Suivi plan de travaux 2025\Classe 2\T2025005 Appartement  Unirre-Care\332  Sanicotherm démolition et rénovations completes</t>
  </si>
  <si>
    <t>05.2025 DE019273</t>
  </si>
  <si>
    <t>L:\Services\SERVICE_DES_TRAVAUX\_NEW SERVEUR DPT\2000_PLAN TVX COURANT cl2-cl6\2025\130 Suivi plan de travaux 2025\Classe 2\T2025005 Appartement  Unirre-Care\333 LPP Appartement Moreau</t>
  </si>
  <si>
    <t>valide le 05/06/2025
BDC envoyé</t>
  </si>
  <si>
    <t>BELBEOC'H</t>
  </si>
  <si>
    <t>95D250120</t>
  </si>
  <si>
    <t>Travaux preparatoires espaces verts pole santé -protections</t>
  </si>
  <si>
    <t>L:\Services\SERVICE_DES_TRAVAUX\_NEW SERVEUR DPT\1000_OPE TVX STRAT\2019.11 POLE SANTE\04 SUIVI TECHNIQUE\049 CHANTIER\0495 CHANTIER\Entreprises\belbeoc</t>
  </si>
  <si>
    <t>BDC ENVOYE</t>
  </si>
  <si>
    <t>325030965</t>
  </si>
  <si>
    <t>Remplacemment batteries SSI</t>
  </si>
  <si>
    <t>,</t>
  </si>
  <si>
    <t>Dauphine</t>
  </si>
  <si>
    <t>325030576</t>
  </si>
  <si>
    <t>Remplacement batteries SSI</t>
  </si>
  <si>
    <t>Henri Duchêne</t>
  </si>
  <si>
    <t>325030578</t>
  </si>
  <si>
    <t>Défaut SSI compartimentage</t>
  </si>
  <si>
    <t>6462/25</t>
  </si>
  <si>
    <t xml:space="preserve">pose de stores </t>
  </si>
  <si>
    <t>L:\Services\SERVICE_DES_TRAVAUX\_NEW SERVEUR DPT\2000_PLAN TVX COURANT cl2-cl6\2025\130 Suivi plan de travaux 2025\Classe 6\302 M-ALEVEQUE\LOT 08 - ABPSI -STORES\0339 CGOS</t>
  </si>
  <si>
    <t>T2025012 - Maison famille CB1</t>
  </si>
  <si>
    <t>EVE-D002</t>
  </si>
  <si>
    <t>L:\Services\SERVICE_DES_TRAVAUX\_NEW SERVEUR DPT\2000_PLAN TVX COURANT cl2-cl6\2025\130 Suivi plan de travaux 2025\Classe 2\T2025012 Maison famille CB1</t>
  </si>
  <si>
    <t>2025/2916</t>
  </si>
  <si>
    <t>nacelle pour vr ex cs</t>
  </si>
  <si>
    <t>L:\Services\SERVICE_DES_TRAVAUX\_NEW SERVEUR DPT\2000_PLAN TVX COURANT cl2-cl6\2025\130 Suivi plan de travaux 2025\Classe 6\301 P-DOMERCQ\LOT 10 - FDS CORPUS - METALLERIE</t>
  </si>
  <si>
    <t>EAU+</t>
  </si>
  <si>
    <t>9025</t>
  </si>
  <si>
    <t>DE250300345</t>
  </si>
  <si>
    <t xml:space="preserve">Remplacement pergeur auromatique sur ballon </t>
  </si>
  <si>
    <t>L:\Services\SERVICE_DES_TRAVAUX\_NEW SERVEUR DPT\2000_PLAN TVX COURANT cl2-cl6\2025\130 Suivi plan de travaux 2025\Classe 6\504 D-PAQUIN\CONT_JM-EAU-PLUS</t>
  </si>
  <si>
    <t>DK250404510</t>
  </si>
  <si>
    <t xml:space="preserve">Revision des VMC et remplacements moteurs </t>
  </si>
  <si>
    <t>002 - Hopital sans tabac</t>
  </si>
  <si>
    <t>DK250404535</t>
  </si>
  <si>
    <t xml:space="preserve">Remplacement pompe chaudiere </t>
  </si>
  <si>
    <t>2025/2921</t>
  </si>
  <si>
    <t>rideaux metalliques motorisés</t>
  </si>
  <si>
    <t>L:\Services\SERVICE_DES_TRAVAUX\_NEW SERVEUR DPT\2000_PLAN TVX COURANT cl2-cl6\2025\130 Suivi plan de travaux 2025\Classe 6\301 P-DOMERCQ\LOT 10 - FDS CORPUS - METALLERIE\0345</t>
  </si>
  <si>
    <t>DV-2251832</t>
  </si>
  <si>
    <t>deplacer pc et rj bureau infirmier</t>
  </si>
  <si>
    <t>L:\Services\SERVICE_DES_TRAVAUX\_NEW SERVEUR DPT\2000_PLAN TVX COURANT cl2-cl6\2025\130 Suivi plan de travaux 2025\Classe 6\301 P-DOMERCQ\LOT 04- TBES - ELECTRICITE CFO-CFA\0346</t>
  </si>
  <si>
    <t>DE018242</t>
  </si>
  <si>
    <t>sol/peinture</t>
  </si>
  <si>
    <t>L:\Services\SERVICE_DES_TRAVAUX\_NEW SERVEUR DPT\2000_PLAN TVX COURANT cl2-cl6\2025\130 Suivi plan de travaux 2025\Classe 6\301 P-DOMERCQ\LOT 03 - LES PEINTURES PARISIENNES\0347</t>
  </si>
  <si>
    <t>DE018244</t>
  </si>
  <si>
    <t>peinture/sol circulation bureau RDC R,Rolland</t>
  </si>
  <si>
    <t>L:\Services\SERVICE_DES_TRAVAUX\_NEW SERVEUR DPT\2000_PLAN TVX COURANT cl2-cl6\2025\130 Suivi plan de travaux 2025\Classe 6\301 P-DOMERCQ\LOT 03 - LES PEINTURES PARISIENNES\0348</t>
  </si>
  <si>
    <t>DK250404564</t>
  </si>
  <si>
    <t>Depannage de la PAC</t>
  </si>
  <si>
    <t>DV-2251975</t>
  </si>
  <si>
    <t>eclairages salle de soins</t>
  </si>
  <si>
    <t>L:\Services\SERVICE_DES_TRAVAUX\_NEW SERVEUR DPT\2000_PLAN TVX COURANT cl2-cl6\2025\130 Suivi plan de travaux 2025\Classe 6\301 P-DOMERCQ\LOT 04- TBES - ELECTRICITE CFO-CFA\0350</t>
  </si>
  <si>
    <t>DV-2251984</t>
  </si>
  <si>
    <t>remaniement distribution electrique</t>
  </si>
  <si>
    <t>L:\Services\SERVICE_DES_TRAVAUX\_NEW SERVEUR DPT\2000_PLAN TVX COURANT cl2-cl6\2025\130 Suivi plan de travaux 2025\Classe 6\301 P-DOMERCQ\LOT 04- TBES - ELECTRICITE CFO-CFA\0351</t>
  </si>
  <si>
    <t>D2410136/MA</t>
  </si>
  <si>
    <t>Création d'un robinet de puisage pour l'activité jardins des enfants au RDCH</t>
  </si>
  <si>
    <t>L:\Services\SERVICE_DES_TRAVAUX\_NEW SERVEUR DPT\2000_PLAN TVX COURANT cl2-cl6\2025\130 Suivi plan de travaux 2025\Classe 6\303 R-MERONI\LOT 05 - BSMG - CVC\MONTREUIL Boissiere\352 Robinet puisage  Jardin enfants</t>
  </si>
  <si>
    <t>DV-2251419A</t>
  </si>
  <si>
    <t>Repérage RJ45 et baie informatique .Opération sur 2 samedi</t>
  </si>
  <si>
    <t>L:\Services\SERVICE_DES_TRAVAUX\_NEW SERVEUR DPT\2000_PLAN TVX COURANT cl2-cl6\2025\130 Suivi plan de travaux 2025\Classe 6\303 R-MERONI\LOT 04- TBES - ELECTRICITE CFO-CFA\354 repérage RJ et baie  Montreuil Beaufils</t>
  </si>
  <si>
    <t>compte 61522</t>
  </si>
  <si>
    <t>DV2250923</t>
  </si>
  <si>
    <t xml:space="preserve">alimentaion eclairage exterieur </t>
  </si>
  <si>
    <t>L:\Services\SERVICE_DES_TRAVAUX\_NEW SERVEUR DPT\2000_PLAN TVX COURANT cl2-cl6\2025\130 Suivi plan de travaux 2025\Classe 6\302 M-ALEVEQUE\LOT 04- TBES - ELECTRICITE CFO-CFA\0354 elairage exterieur</t>
  </si>
  <si>
    <t>DV-2251928-0002</t>
  </si>
  <si>
    <t>pose de barrieres levante IFSI  I</t>
  </si>
  <si>
    <t>L:\Services\SERVICE_DES_TRAVAUX\_NEW SERVEUR DPT\2000_PLAN TVX COURANT cl2-cl6\2025\130 Suivi plan de travaux 2025\Classe 2\T2025006 - Sécurite IFSI -Pole formation\0355 tbes barrieres</t>
  </si>
  <si>
    <t>2171</t>
  </si>
  <si>
    <t>IFCS</t>
  </si>
  <si>
    <t>2245375B</t>
  </si>
  <si>
    <t xml:space="preserve">Visiophone et contrôle d'acces </t>
  </si>
  <si>
    <t>L:\Services\SERVICE_DES_TRAVAUX\_NEW SERVEUR DPT\2000_PLAN TVX COURANT cl2-cl6\2025\130 Suivi plan de travaux 2025\Classe 2\T2025006 - Sécurite IFSI -Pole formation\0356 CTL ACCES IFSI</t>
  </si>
  <si>
    <t>BDC envoyé
nb d'heurre?
mise en service?</t>
  </si>
  <si>
    <t xml:space="preserve">fin avril </t>
  </si>
  <si>
    <t>D25033118</t>
  </si>
  <si>
    <t>Pose et installation sanitaires</t>
  </si>
  <si>
    <t>L:\Services\SERVICE_DES_TRAVAUX\_NEW SERVEUR DPT\2000_PLAN TVX COURANT cl2-cl6\2025\130 Suivi plan de travaux 2025\Classe 6\302 M-ALEVEQUE\LOT 05 - BSMG - CVC\0357 DRH</t>
  </si>
  <si>
    <t xml:space="preserve">point a faire </t>
  </si>
  <si>
    <t xml:space="preserve">mai </t>
  </si>
  <si>
    <t>CASA LOPEZ</t>
  </si>
  <si>
    <t>RASPAIL-1-9025</t>
  </si>
  <si>
    <t>Suite à travaux pour Espace Roumieux</t>
  </si>
  <si>
    <t>L:\Services\SERVICE_DES_TRAVAUX\_NEW SERVEUR DPT\2000_PLAN TVX COURANT cl2-cl6\2025\130 Suivi plan de travaux 2025\Classe 6\101 C-DARRET\Tapis Espace Roumieux</t>
  </si>
  <si>
    <t>8837</t>
  </si>
  <si>
    <t xml:space="preserve">remplacements plafond DRH </t>
  </si>
  <si>
    <t>L:\Services\SERVICE_DES_TRAVAUX\_NEW SERVEUR DPT\2000_PLAN TVX COURANT cl2-cl6\2025\130 Suivi plan de travaux 2025\Classe 6\302 M-ALEVEQUE\LOT 13 - AC2P - CLOISONS FAUX PLAF\0359 drh</t>
  </si>
  <si>
    <t>DV-2251994</t>
  </si>
  <si>
    <t xml:space="preserve">Alimentation de la VMC neuve de la balnéothérapie </t>
  </si>
  <si>
    <t>L:\Services\SERVICE_DES_TRAVAUX\_NEW SERVEUR DPT\2000_PLAN TVX COURANT cl2-cl6\2025\130 Suivi plan de travaux 2025\Classe 6\303 R-MERONI\LOT 04- TBES - ELECTRICITE CFO-CFA\360 MAS Alim VMC</t>
  </si>
  <si>
    <t>21351200 - IGAAC : Matériel téléphonique-informatique-alarmes-videosurveillance (CFA bâtiment)</t>
  </si>
  <si>
    <t>T2025004</t>
  </si>
  <si>
    <t>DV-2252020</t>
  </si>
  <si>
    <t xml:space="preserve">ctrl d'acces suplementaire ascensseur </t>
  </si>
  <si>
    <t>L:\Services\SERVICE_DES_TRAVAUX\_NEW SERVEUR DPT\2000_PLAN TVX COURANT cl2-cl6\2025\130 Suivi plan de travaux 2025\Classe 2\T2025004 - Ctrl d'acces ascensseurs\0361 TBES Sup CHD</t>
  </si>
  <si>
    <t>DV-2252029</t>
  </si>
  <si>
    <t>ctrl d'acces vestiaire et livraison</t>
  </si>
  <si>
    <t>L:\Services\SERVICE_DES_TRAVAUX\_NEW SERVEUR DPT\2000_PLAN TVX COURANT cl2-cl6\2025\130 Suivi plan de travaux 2025\Classe 6\301 P-DOMERCQ\LOT 04- TBES - ELECTRICITE CFO-CFA\0362</t>
  </si>
  <si>
    <t>DCO25020040</t>
  </si>
  <si>
    <t>bat cedres  toiture</t>
  </si>
  <si>
    <t>L:\Services\SERVICE_DES_TRAVAUX\_NEW SERVEUR DPT\2000_PLAN TVX COURANT cl2-cl6\2025\130 Suivi plan de travaux 2025\Classe 6\302 M-ALEVEQUE\LOT 07 - SCHNEIDER - COUVERTURE\0363 cedres</t>
  </si>
  <si>
    <t>DV-2252040</t>
  </si>
  <si>
    <t>TRAVAUX SALTO SUR PORTILLON 15 CLOS BENARD</t>
  </si>
  <si>
    <t>L:\Services\SERVICE_DES_TRAVAUX\_NEW SERVEUR DPT\2000_PLAN TVX COURANT cl2-cl6\2025\130 Suivi plan de travaux 2025\Classe 6\301 P-DOMERCQ\LOT 04- TBES - ELECTRICITE CFO-CFA\0364</t>
  </si>
  <si>
    <t>8344</t>
  </si>
  <si>
    <t>Vercors</t>
  </si>
  <si>
    <t>2025/2922</t>
  </si>
  <si>
    <t>protection  exterieur + main courante</t>
  </si>
  <si>
    <t>L:\Services\SERVICE_DES_TRAVAUX\_NEW SERVEUR DPT\2000_PLAN TVX COURANT cl2-cl6\2025\130 Suivi plan de travaux 2025\Classe 6\301 P-DOMERCQ\LOT 10 - FDS CORPUS - METALLERIE\0365 vercors fds</t>
  </si>
  <si>
    <t>DCO24090098</t>
  </si>
  <si>
    <t>velux logement dupont</t>
  </si>
  <si>
    <t>L:\Services\SERVICE_DES_TRAVAUX\_NEW SERVEUR DPT\2000_PLAN TVX COURANT cl2-cl6\2025\130 Suivi plan de travaux 2025\Classe 6\302 M-ALEVEQUE\LOT 07 - SCHNEIDER - COUVERTURE\0369 logement dupont</t>
  </si>
  <si>
    <t>a voir en 2026</t>
  </si>
  <si>
    <t>325040219</t>
  </si>
  <si>
    <t>Racordement de 6 bandeaux de portes DAS</t>
  </si>
  <si>
    <t>8163</t>
  </si>
  <si>
    <t>155318555</t>
  </si>
  <si>
    <t>Mise à disposition sur votre site d'une clé pour frein de secours</t>
  </si>
  <si>
    <t>L:\Services\SERVICE_DES_TRAVAUX\_NEW SERVEUR DPT\2000_PLAN TVX COURANT cl2-cl6\2025\130 Suivi plan de travaux 2025\Classe 6\501 E-MINGANT\CONT_220026_lot01_SCHINDLER\0368</t>
  </si>
  <si>
    <t>2025/2939</t>
  </si>
  <si>
    <t>remise en jeu porte d'entree et fixation  offrage patio</t>
  </si>
  <si>
    <t>L:\Services\SERVICE_DES_TRAVAUX\_NEW SERVEUR DPT\2000_PLAN TVX COURANT cl2-cl6\2025\130 Suivi plan de travaux 2025\Classe 6\301 P-DOMERCQ\LOT 10 - FDS CORPUS - METALLERIE\0369</t>
  </si>
  <si>
    <t>6482/25</t>
  </si>
  <si>
    <t>Régule sur inter du 3 et 7-04-2025 sur volet électrique de la salle de réunion 1 ET Direction</t>
  </si>
  <si>
    <t>L:\Services\SERVICE_DES_TRAVAUX\_NEW SERVEUR DPT\2000_PLAN TVX COURANT cl2-cl6\2025\130 Suivi plan de travaux 2025\Classe 6\503 P-EPIS\MBC_LOT08 ABPSI\0370  NSM Bât. Direction  régule inter sur volet salle de réunion bleu  1 ET  devi6482epsve  .pdf</t>
  </si>
  <si>
    <t>6493/25</t>
  </si>
  <si>
    <t xml:space="preserve">POSE DE STORES OCULTANTS </t>
  </si>
  <si>
    <t>L:\Services\SERVICE_DES_TRAVAUX\_NEW SERVEUR DPT\2000_PLAN TVX COURANT cl2-cl6\2025\130 Suivi plan de travaux 2025\Classe 6\302 M-ALEVEQUE\LOT 08 - ABPSI -STORES\0371 DAUPHINE</t>
  </si>
  <si>
    <t>04.2025 DE018880</t>
  </si>
  <si>
    <t xml:space="preserve">peinture  et sol bureaux </t>
  </si>
  <si>
    <t>L:\Services\SERVICE_DES_TRAVAUX\_NEW SERVEUR DPT\2000_PLAN TVX COURANT cl2-cl6\2025\130 Suivi plan de travaux 2025\Classe 6\302 M-ALEVEQUE\LOT 03 - LES PEINTURES PARISIENNES\0372 DRH</t>
  </si>
  <si>
    <t xml:space="preserve">Logement cours communs  plombiers </t>
  </si>
  <si>
    <t>Annulé</t>
  </si>
  <si>
    <t xml:space="preserve"> PEINTURE SECRETARIAT GASGOGNE  ANNULE </t>
  </si>
  <si>
    <t>C25064852-1</t>
  </si>
  <si>
    <t>REPARATION FUITE CHAUFFAGE  MAGASIN SST ANCIENNE CUISINE</t>
  </si>
  <si>
    <t>L:\Services\SERVICE_DES_TRAVAUX\_NEW SERVEUR DPT\2000_PLAN TVX COURANT cl2-cl6\2025\130 Suivi plan de travaux 2025\Classe 6\501 E-MINGANT\CONT_190023_lot00_DALKIA\0375</t>
  </si>
  <si>
    <t>C25068188-1</t>
  </si>
  <si>
    <t>ENTRETIEN BRULEUR BWD60 CHAUDIERE VAPEUR 6 T</t>
  </si>
  <si>
    <t>L:\Services\SERVICE_DES_TRAVAUX\_NEW SERVEUR DPT\2000_PLAN TVX COURANT cl2-cl6\2025\130 Suivi plan de travaux 2025\Classe 6\501 E-MINGANT\CONT_190023_lot00_DALKIA\0376</t>
  </si>
  <si>
    <t>C25068171-1</t>
  </si>
  <si>
    <t>ENTRETIEN BRULEUR BWD 100 CHAUDIERE 10 T</t>
  </si>
  <si>
    <t>L:\Services\SERVICE_DES_TRAVAUX\_NEW SERVEUR DPT\2000_PLAN TVX COURANT cl2-cl6\2025\130 Suivi plan de travaux 2025\Classe 6\501 E-MINGANT\CONT_190023_lot00_DALKIA\0377</t>
  </si>
  <si>
    <t>C25062053-1</t>
  </si>
  <si>
    <t>REMISE A NIVEAU DE L'ARMOIRE ELECTRIQUE AVEC REGULATION EN SST MANIVELLES</t>
  </si>
  <si>
    <t>L:\Services\SERVICE_DES_TRAVAUX\_NEW SERVEUR DPT\2000_PLAN TVX COURANT cl2-cl6\2025\130 Suivi plan de travaux 2025\Classe 6\501 E-MINGANT\CONT_190023_lot00_DALKIA\0378</t>
  </si>
  <si>
    <t>Validé CD
BDC ENVOYE</t>
  </si>
  <si>
    <t>8903</t>
  </si>
  <si>
    <t>8126 - Chaudières</t>
  </si>
  <si>
    <t>Lépine / Jean Lolive</t>
  </si>
  <si>
    <t>Lépine / Olive</t>
  </si>
  <si>
    <t>DE-2504-83</t>
  </si>
  <si>
    <t>L:\Services\SERVICE_DES_TRAVAUX\_NEW SERVEUR DPT\2000_PLAN TVX COURANT cl2-cl6\2025\130 Suivi plan de travaux 2025\Classe 6\504 D-PAQUIN\CONT_220023_lot04_CLIMATER clim</t>
  </si>
  <si>
    <t>25-0118</t>
  </si>
  <si>
    <t xml:space="preserve">Remplacement  complète de  cloison carrelée placoplatre par Fermacell + plinthes manquantes + carrelages sol manquant dans SDB </t>
  </si>
  <si>
    <t>L:\Services\SERVICE_DES_TRAVAUX\_NEW SERVEUR DPT\2000_PLAN TVX COURANT cl2-cl6\2025\130 Suivi plan de travaux 2025\Classe 6\303 R-MERONI\LOT 01 - SANICOTHERM - MACONNERIE\380 MAS SDB</t>
  </si>
  <si>
    <t>25 - 0117</t>
  </si>
  <si>
    <t>demolition er remise a neuf du wc  G06</t>
  </si>
  <si>
    <t>L:\Services\SERVICE_DES_TRAVAUX\_NEW SERVEUR DPT\2000_PLAN TVX COURANT cl2-cl6\2025\130 Suivi plan de travaux 2025\Classe 6\301 P-DOMERCQ\LOT 01 - SANICOTHERM - MACONNERIE\0381</t>
  </si>
  <si>
    <t>C202500006</t>
  </si>
  <si>
    <t>Marché de Maintenance P2: "CHAUFFERIE, VENTILATION MECANIQUE CONTROLEE, CENTRALE DE TRAITEMENT D'AIR, INSTALLATION D'HYDROTHERAPIE"</t>
  </si>
  <si>
    <t>L:\Services\SERVICE_DES_TRAVAUX\_NEW SERVEUR DPT\2000_PLAN TVX COURANT cl2-cl6\2025\130 Suivi plan de travaux 2025\Classe 6\501 E-MINGANT\CONT_202500006_JM_EAU-PLUS\0382</t>
  </si>
  <si>
    <t xml:space="preserve"> meuble sdb cs transformé en ch hoteliere</t>
  </si>
  <si>
    <t>25VE5022C</t>
  </si>
  <si>
    <t xml:space="preserve"> Pose de dalles pour revetements exterieur</t>
  </si>
  <si>
    <t>L:\Services\SERVICE_DES_TRAVAUX\_NEW SERVEUR DPT\2000_PLAN TVX COURANT cl2-cl6\2025\130 Suivi plan de travaux 2025\Classe 6\302 M-ALEVEQUE\LOT 09 - SNTPP - VRD\0834 noisy glacis TS</t>
  </si>
  <si>
    <t>merci de m'en parler
BDC envoyé</t>
  </si>
  <si>
    <t>DCO25040020</t>
  </si>
  <si>
    <t>Remplacement d'une panne intermédiaire  suite Tx de couverture  (TVA de 10% à appliquetr)</t>
  </si>
  <si>
    <t>DG2403190</t>
  </si>
  <si>
    <t>degorgement conduite en parking 
TVA 20%</t>
  </si>
  <si>
    <t>Engagement RESHA - APAVE
contrôle technique 
réglementaire 2025</t>
  </si>
  <si>
    <t>Prestations de contrôles, inspections et vérifications règlementaires et prestations connexes 2024, 
n° 1 : Installations électriques sites extra
n° 2 : Installations électriques sites intra
n° 3 : Paratonnerres sites extra
n° 4 : Paratonnerres sites intra
n° 5 : Poste HTA/BTA sites intra
n° 6 : Ascenseurs 
n° 7 : Portes et portails automatiques 
n° 8 : Vérification Réglementaire en Exploitation Incendie (VRE SSI &amp; Désenfumage Mécanique)</t>
  </si>
  <si>
    <t>L:\Services\SERVICE_DES_TRAVAUX\_NEW SERVEUR DPT\2000_PLAN TVX COURANT cl2-cl6\2025\130 Suivi plan de travaux 2025\Classe 6\501 E-MINGANT\RESHA_APAVE\0387</t>
  </si>
  <si>
    <t>DE 124865</t>
  </si>
  <si>
    <t>Remplacement doubles-vitrages</t>
  </si>
  <si>
    <t>L:\Services\SERVICE_DES_TRAVAUX\_NEW SERVEUR DPT\2000_PLAN TVX COURANT cl2-cl6\2025\130 Suivi plan de travaux 2025\Classe 6\502 A-CARPINTEIRO\MBC_LOT02 AELB\0388</t>
  </si>
  <si>
    <t>325040499</t>
  </si>
  <si>
    <t>Remplacement grille et volet coupe feu</t>
  </si>
  <si>
    <t>DE0118925</t>
  </si>
  <si>
    <t>sup peinture</t>
  </si>
  <si>
    <t>8092</t>
  </si>
  <si>
    <t>Alizé</t>
  </si>
  <si>
    <t>D2503075/MA</t>
  </si>
  <si>
    <t>Rénovation complete de la SDB hommes au 1 er étage</t>
  </si>
  <si>
    <t>L:\Services\SERVICE_DES_TRAVAUX\_NEW SERVEUR DPT\2000_PLAN TVX COURANT cl2-cl6\2025\130 Suivi plan de travaux 2025\Classe 6\303 R-MERONI\LOT 05 - BSMG - CVC\G12\391 Alize SDB hommes</t>
  </si>
  <si>
    <t>25-0094</t>
  </si>
  <si>
    <t>L:\Services\SERVICE_DES_TRAVAUX\_NEW SERVEUR DPT\2000_PLAN TVX COURANT cl2-cl6\2025\130 Suivi plan de travaux 2025\Classe 6\303 R-MERONI\LOT 01 - SANICOTHERM - MACONNERIE\392 ALIZE SDB hommes</t>
  </si>
  <si>
    <t>124795</t>
  </si>
  <si>
    <t>Remplacement de la porte légère entre Bureau  consultation médical et secrétariat  par BP ISOPHONIQUE pour la confidentialité des entretiens psychothérapiques</t>
  </si>
  <si>
    <t>L:\Services\SERVICE_DES_TRAVAUX\_NEW SERVEUR DPT\2000_PLAN TVX COURANT cl2-cl6\2025\130 Suivi plan de travaux 2025\Classe 6\303 R-MERONI\LOT 02 - ARTETLEBOIS -MENUISERIE\393 La Courneuve BP Isophonique</t>
  </si>
  <si>
    <t>8223</t>
  </si>
  <si>
    <t>CAIRE / URC</t>
  </si>
  <si>
    <t>D2503044/MA</t>
  </si>
  <si>
    <t>Rénovation complete du bloc sanitaire HS pour le public accueilli  et le personnel  + création local ASH manquant à l'étage</t>
  </si>
  <si>
    <t>L:\Services\SERVICE_DES_TRAVAUX\_NEW SERVEUR DPT\2000_PLAN TVX COURANT cl2-cl6\2025\130 Suivi plan de travaux 2025\Classe 6\303 R-MERONI\LOT 05 - BSMG - CVC\Regis Unirr\394 Regis Sanitaire 1 er étage</t>
  </si>
  <si>
    <t>En reparler retour JCH</t>
  </si>
  <si>
    <t>25-0095</t>
  </si>
  <si>
    <t>L:\Services\SERVICE_DES_TRAVAUX\_NEW SERVEUR DPT\2000_PLAN TVX COURANT cl2-cl6\2025\130 Suivi plan de travaux 2025\Classe 6\303 R-MERONI\LOT 01 - SANICOTHERM - MACONNERIE\395 regis Sanitaires 1 er étage</t>
  </si>
  <si>
    <t>VOIR EN 2026</t>
  </si>
  <si>
    <t>DE 018940</t>
  </si>
  <si>
    <t>refection peinture</t>
  </si>
  <si>
    <t>L:\Services\SERVICE_DES_TRAVAUX\_NEW SERVEUR DPT\2000_PLAN TVX COURANT cl2-cl6\2025\130 Suivi plan de travaux 2025\Classe 6\302 M-ALEVEQUE\LOT 03 - LES PEINTURES PARISIENNES\0396 logement ex dupont</t>
  </si>
  <si>
    <t>FAUCHON</t>
  </si>
  <si>
    <t>T2025015</t>
  </si>
  <si>
    <t>E25-04042</t>
  </si>
  <si>
    <t xml:space="preserve">Réfection des sols résines </t>
  </si>
  <si>
    <t>L:\Services\SERVICE_DES_TRAVAUX\_NEW SERVEUR DPT\2000_PLAN TVX COURANT cl2-cl6\2025\130 Suivi plan de travaux 2025\Classe 2\T2025015 UCP\FAUCHON</t>
  </si>
  <si>
    <t>Hors marché ! Un 2e devis est nécessaire - devis lpp</t>
  </si>
  <si>
    <t>septembre</t>
  </si>
  <si>
    <t>ADVIZEO</t>
  </si>
  <si>
    <t>adv-622</t>
  </si>
  <si>
    <t>Formation SAVEE (ligne 7UP-FACT-GRD du devis)</t>
  </si>
  <si>
    <t>L:\Services\SERVICE_DES_TRAVAUX\_NEW SERVEUR DPT\2000_PLAN TVX COURANT cl2-cl6\2025\130 Suivi plan de travaux 2025\Classe 6\101 C-DARRET\Formation Savee</t>
  </si>
  <si>
    <t>0210</t>
  </si>
  <si>
    <t>SIH</t>
  </si>
  <si>
    <t>6522/25</t>
  </si>
  <si>
    <t xml:space="preserve">Remise en état de 2 stores bureau cadre </t>
  </si>
  <si>
    <t>\\Srv-eps-fai11\dpt\Services\SERVICE_DES_TRAVAUX\_NEW SERVEUR DPT\2000_PLAN TVX COURANT cl2-cl6\2025\130 Suivi plan de travaux 2025\Classe 6\502 A-CARPINTEIRO\MBC_LOT08 ABPSI\0399</t>
  </si>
  <si>
    <t>D2403236</t>
  </si>
  <si>
    <t xml:space="preserve">Degorgement conduite en vide sanitaire </t>
  </si>
  <si>
    <t>6503/25</t>
  </si>
  <si>
    <t>régule  Intervention du 10-04-2025 
AUBER - CB1  G05  2ET  Chambre 214</t>
  </si>
  <si>
    <t>L:\Services\SERVICE_DES_TRAVAUX\_NEW SERVEUR DPT\2000_PLAN TVX COURANT cl2-cl6\2025\130 Suivi plan de travaux 2025\Classe 6\503 P-EPIS\MBC_LOT08 ABPSI\0401  AUBER.  CB1-G05  Régule inter. du 10-04-2025 sur Ch 214 -2ET   devi6503</t>
  </si>
  <si>
    <t>6504/25</t>
  </si>
  <si>
    <r>
      <t xml:space="preserve">régule  Intervention du 10-04-2025 + remplacement BSO prévu dans devis  </t>
    </r>
    <r>
      <rPr>
        <sz val="11"/>
        <color rgb="FFFF0000"/>
        <rFont val="Calibri"/>
        <family val="2"/>
        <scheme val="minor"/>
      </rPr>
      <t xml:space="preserve">ATTENTION  UHTP  TVA à 10% </t>
    </r>
    <r>
      <rPr>
        <sz val="11"/>
        <color theme="1"/>
        <rFont val="Calibri"/>
        <family val="2"/>
        <scheme val="minor"/>
      </rPr>
      <t xml:space="preserve">
AUBER  C.Tillon  I02 HJ   IHSEA  R+2 Chambre 13</t>
    </r>
  </si>
  <si>
    <t>6527/25</t>
  </si>
  <si>
    <t>régule  Intervention du 10-04-2025 
AUBER - CB1  G05  1ET  Chambre 217</t>
  </si>
  <si>
    <t>L:\Services\SERVICE_DES_TRAVAUX\_NEW SERVEUR DPT\2000_PLAN TVX COURANT cl2-cl6\2025\130 Suivi plan de travaux 2025\Classe 6\503 P-EPIS\MBC_LOT08 ABPSI\0403  AUBER.  CB1-G05  Régule Inter du 18-04-2025 sur Ch 217 -1ET devi6527</t>
  </si>
  <si>
    <t>C002367</t>
  </si>
  <si>
    <r>
      <t xml:space="preserve">Forfait réparation PTI a71 ASCOM
G11 N°13   N°7057521
</t>
    </r>
    <r>
      <rPr>
        <sz val="11"/>
        <color rgb="FFFF0000"/>
        <rFont val="Calibri"/>
        <family val="2"/>
        <scheme val="minor"/>
      </rPr>
      <t xml:space="preserve">Attention TVA à 20% sur devis </t>
    </r>
    <r>
      <rPr>
        <sz val="11"/>
        <color theme="1"/>
        <rFont val="Calibri"/>
        <family val="2"/>
        <scheme val="minor"/>
      </rPr>
      <t xml:space="preserve"> = 637,60 TTC</t>
    </r>
  </si>
  <si>
    <t>L:\Services\SERVICE_DES_TRAVAUX\_NEW SERVEUR DPT\2000_PLAN TVX COURANT cl2-cl6\2025\130 Suivi plan de travaux 2025\Classe 6\503 P-EPIS\HM_\ATRP\0404  BONDY        G11 PTI N°13</t>
  </si>
  <si>
    <t>Emmanuel toujours pas de marché</t>
  </si>
  <si>
    <t>C002368</t>
  </si>
  <si>
    <r>
      <t xml:space="preserve">Forfait réparation PTI d81 ASCOM
G02 N°82006  N°10450393
</t>
    </r>
    <r>
      <rPr>
        <sz val="11"/>
        <color rgb="FFFF0000"/>
        <rFont val="Calibri"/>
        <family val="2"/>
        <scheme val="minor"/>
      </rPr>
      <t>Attention TVA à 20% sur le devis</t>
    </r>
    <r>
      <rPr>
        <sz val="11"/>
        <color theme="1"/>
        <rFont val="Calibri"/>
        <family val="2"/>
        <scheme val="minor"/>
      </rPr>
      <t xml:space="preserve"> = 625,99 TTC</t>
    </r>
  </si>
  <si>
    <t>L:\Services\SERVICE_DES_TRAVAUX\_NEW SERVEUR DPT\2000_PLAN TVX COURANT cl2-cl6\2025\130 Suivi plan de travaux 2025\Classe 6\503 P-EPIS\HM_\ATRP\0405  AUBER. CB1 G02  PTI N° 82006</t>
  </si>
  <si>
    <t>C002369</t>
  </si>
  <si>
    <r>
      <t xml:space="preserve">Remplacement PTI d83 ASCOM PERDU par le service
G05 N°85005
</t>
    </r>
    <r>
      <rPr>
        <sz val="11"/>
        <color rgb="FFFF0000"/>
        <rFont val="Calibri"/>
        <family val="2"/>
        <scheme val="minor"/>
      </rPr>
      <t xml:space="preserve">Attention TVA à 20% sur le devis </t>
    </r>
    <r>
      <rPr>
        <sz val="11"/>
        <color theme="1"/>
        <rFont val="Calibri"/>
        <family val="2"/>
        <scheme val="minor"/>
      </rPr>
      <t>= 1337,34</t>
    </r>
  </si>
  <si>
    <t>L:\Services\SERVICE_DES_TRAVAUX\_NEW SERVEUR DPT\2000_PLAN TVX COURANT cl2-cl6\2025\130 Suivi plan de travaux 2025\Classe 6\503 P-EPIS\HM_\ATRP\0406  AUBER. CB1 G05  PTI N°85005</t>
  </si>
  <si>
    <t>Emmanuel as-tu une tableau pour suivi des PTI?</t>
  </si>
  <si>
    <t>n°12,2024</t>
  </si>
  <si>
    <t>12,2024 DE017812</t>
  </si>
  <si>
    <t>Bureau secrétaire Directrice: Poncage et vitrification</t>
  </si>
  <si>
    <t>L:\Servic+H408+U408:V1503+U408:V1505+U408:W1505</t>
  </si>
  <si>
    <t>D2504029/MA</t>
  </si>
  <si>
    <t xml:space="preserve">Régul:Réfection d'une fonte cassée en sous sol  sous bureau du médecin UNIRR </t>
  </si>
  <si>
    <t>L:\Services\SERVICE_DES_TRAVAUX\_NEW SERVEUR DPT\2000_PLAN TVX COURANT cl2-cl6\2025\130 Suivi plan de travaux 2025\Classe 6\303 R-MERONI\LOT 05 - BSMG - CVC\Regis Unirr\0408   Régul fonte sous regis</t>
  </si>
  <si>
    <t>325045334</t>
  </si>
  <si>
    <t xml:space="preserve">Remplacement de 2 batteries </t>
  </si>
  <si>
    <t>12000062</t>
  </si>
  <si>
    <t xml:space="preserve">Fourniture et programmation de 8 BIP / 4voix   ouverture portail/portillon/porte de garrage </t>
  </si>
  <si>
    <t>325040837</t>
  </si>
  <si>
    <t>Remplacement DAI</t>
  </si>
  <si>
    <t>04,2025 DE018938</t>
  </si>
  <si>
    <t>Régul peinture en urgence de peinture Balnéothérapie et raccords couloir chambres</t>
  </si>
  <si>
    <t>L:\Services\SERVICE_DES_TRAVAUX\_NEW SERVEUR DPT\2000_PLAN TVX COURANT cl2-cl6\2025\130 Suivi plan de travaux 2025\Classe 6\303 R-MERONI\LOT 03 - LES PEINTURES PARISIENNES\412 MAS Raccords</t>
  </si>
  <si>
    <t>12000085</t>
  </si>
  <si>
    <t>Régule inter.28-03-25 sur Barriére 50-05 et portail logistique 50-03 et 04</t>
  </si>
  <si>
    <t>12000086</t>
  </si>
  <si>
    <t>Remplacement de la lisse de la barriére 50-05 (dépannée dans l'urgence mais dégradée)</t>
  </si>
  <si>
    <t>L:\Services\SERVICE_DES_TRAVAUX\_NEW SERVEUR DPT\2000_PLAN TVX COURANT cl2-cl6\2025\130 Suivi plan de travaux 2025\Classe 6\503 P-EPIS\CONT_220024_lot08_VULCAIN Barriere-Porte Auto\D-0414  MONTREUIL I03  Remplacement lisse barriére articulée barriére 50-05</t>
  </si>
  <si>
    <t>8689</t>
  </si>
  <si>
    <t>Cedres</t>
  </si>
  <si>
    <t>325045383</t>
  </si>
  <si>
    <t>Pose d'un DAI et prog adresse DAI</t>
  </si>
  <si>
    <t>Je pense qu'il faut controler les prix devis
BDC envoyé</t>
  </si>
  <si>
    <t>D2403176</t>
  </si>
  <si>
    <t xml:space="preserve">Curages des bouchesc et des avaloirs </t>
  </si>
  <si>
    <t>124697</t>
  </si>
  <si>
    <t>F&amp;P d'entrebailleurs verrouillables  après révision et mise en jeu des fenetres de l'externat</t>
  </si>
  <si>
    <t>L:\Services\SERVICE_DES_TRAVAUX\_NEW SERVEUR DPT\2000_PLAN TVX COURANT cl2-cl6\2025\130 Suivi plan de travaux 2025\Classe 6\303 R-MERONI\LOT 02 - ARTETLEBOIS -MENUISERIE\418 MAS Entrebailleurs</t>
  </si>
  <si>
    <t>124780</t>
  </si>
  <si>
    <t xml:space="preserve">cuisine therapeutique  </t>
  </si>
  <si>
    <t>L:\Services\SERVICE_DES_TRAVAUX\_NEW SERVEUR DPT\2000_PLAN TVX COURANT cl2-cl6\2025\130 Suivi plan de travaux 2025\Classe 2\T2025009  CUISINE THERAPEUTIQUE\0418 cuisine drancy la source\0418 A&amp;B</t>
  </si>
  <si>
    <t>2251773</t>
  </si>
  <si>
    <t>imprimante G13</t>
  </si>
  <si>
    <t>L:\Services\SERVICE_DES_TRAVAUX\_NEW SERVEUR DPT\2000_PLAN TVX COURANT cl2-cl6\2025\130 Suivi plan de travaux 2025\Classe 6\301 P-DOMERCQ\LOT 04- TBES - ELECTRICITE CFO-CFA\0419</t>
  </si>
  <si>
    <t>25.V-EVRARD.5.009</t>
  </si>
  <si>
    <t>Alimentation Gascogne, Intervention d'urgence pour la recherche de fuites multiples importantes
y compris intervention sur reseaux specifiques, reparations avec raccords spécifiques,…
y compris interventions en plusieurs fois et remblai différés…</t>
  </si>
  <si>
    <t>1 4 855,00</t>
  </si>
  <si>
    <t>L:\Services\SERVICE_DES_TRAVAUX\_NEW SERVEUR DPT\2000_PLAN TVX COURANT cl2-cl6\2025\130 Suivi plan de travaux 2025\Classe 6\504 D-PAQUIN\MBC_LOT09 SNTPP\0420</t>
  </si>
  <si>
    <t>Romain, Marion, TVA à mettre à 10%
bdc envoyé</t>
  </si>
  <si>
    <t>155676129</t>
  </si>
  <si>
    <t>Appareil 1940577:  remplacement de l'afficheur cabine.</t>
  </si>
  <si>
    <t>L:\Services\SERVICE_DES_TRAVAUX\_NEW SERVEUR DPT\2000_PLAN TVX COURANT cl2-cl6\2025\130 Suivi plan de travaux 2025\Classe 6\501 E-MINGANT\CONT_220026_lot01_SCHINDLER\0421</t>
  </si>
  <si>
    <t>155680096</t>
  </si>
  <si>
    <t xml:space="preserve">Appareil 1940591: Défaut de fonctionnement de la sécurité d'entrée cabine. (Obsolescence cellules) </t>
  </si>
  <si>
    <t>L:\Services\SERVICE_DES_TRAVAUX\_NEW SERVEUR DPT\2000_PLAN TVX COURANT cl2-cl6\2025\130 Suivi plan de travaux 2025\Classe 6\501 E-MINGANT\CONT_220026_lot01_SCHINDLER\0422</t>
  </si>
  <si>
    <t>C25085528-1</t>
  </si>
  <si>
    <t>REMPLACEMENT DE LA REGULATION GESTRA EN URGENCE AINSI QUE LE PRESSOSTAT VAPEUR TARE SUR CH VAP 10T</t>
  </si>
  <si>
    <t>L:\Services\SERVICE_DES_TRAVAUX\_NEW SERVEUR DPT\2000_PLAN TVX COURANT cl2-cl6\2025\130 Suivi plan de travaux 2025\Classe 6\501 E-MINGANT\CONT_190023_lot00_DALKIA\0423</t>
  </si>
  <si>
    <t>D2504146/MA</t>
  </si>
  <si>
    <t>remplacement evier salle d'activité</t>
  </si>
  <si>
    <t>20252951</t>
  </si>
  <si>
    <t>mise en securité garde corps</t>
  </si>
  <si>
    <t>doublon avec  dossier 585</t>
  </si>
  <si>
    <t>438292233</t>
  </si>
  <si>
    <t>Dépannage de l'appareil 1940592 suite dégradation volontaire</t>
  </si>
  <si>
    <t>L:\Services\SERVICE_DES_TRAVAUX\_NEW SERVEUR DPT\2000_PLAN TVX COURANT cl2-cl6\2025\130 Suivi plan de travaux 2025\Classe 6\501 E-MINGANT\CONT_220026_lot01_SCHINDLER\0426</t>
  </si>
  <si>
    <t>CONTRÔLE EST</t>
  </si>
  <si>
    <t>DE0856</t>
  </si>
  <si>
    <t>Contrôle règlementaire des installations de jeux</t>
  </si>
  <si>
    <t>N° 8870</t>
  </si>
  <si>
    <t>remplacement dalle de faux plafond</t>
  </si>
  <si>
    <t>L:\Services\SERVICE_DES_TRAVAUX\_NEW SERVEUR DPT\2000_PLAN TVX COURANT cl2-cl6\2025\130 Suivi plan de travaux 2025\Classe 6\302 M-ALEVEQUE\LOT 13 - AC2P - CLOISONS FAUX PLAF\0428 CGOS</t>
  </si>
  <si>
    <t>DEVIS 124900</t>
  </si>
  <si>
    <t xml:space="preserve">pose de plinthes sur portes </t>
  </si>
  <si>
    <t>xxxxxxxxxxxxxxxxxxxxxxxxxxxxxxxxx()(</t>
  </si>
  <si>
    <t>DV-2252561</t>
  </si>
  <si>
    <t>remplacements bornes electrique</t>
  </si>
  <si>
    <t>L:\Services\SERVICE_DES_TRAVAUX\_NEW SERVEUR DPT\2000_PLAN TVX COURANT cl2-cl6\2025\130 Suivi plan de travaux 2025\Classe 6\302 M-ALEVEQUE\LOT 04- TBES - ELECTRICITE CFO-CFA\0430 Bornes transport</t>
  </si>
  <si>
    <t>25 - 0031 R2</t>
  </si>
  <si>
    <t xml:space="preserve">proposition de remplacement de carrelage par enrobé noir </t>
  </si>
  <si>
    <t>L:\Services\SERVICE_DES_TRAVAUX\_NEW SERVEUR DPT\2000_PLAN TVX COURANT cl2-cl6\2025\130 Suivi plan de travaux 2025\Classe 6\302 M-ALEVEQUE\LOT 01 - SANICOTHERM - MACONNERIE\0431 dauphine</t>
  </si>
  <si>
    <t>autre devis validé</t>
  </si>
  <si>
    <t>DE 124899</t>
  </si>
  <si>
    <t>Remplacement bloc-porte cassé</t>
  </si>
  <si>
    <t>L:\Services\SERVICE_DES_TRAVAUX\_NEW SERVEUR DPT\2000_PLAN TVX COURANT cl2-cl6\2025\130 Suivi plan de travaux 2025\Classe 6\502 A-CARPINTEIRO\MBC_LOT02 AELB\0432</t>
  </si>
  <si>
    <t>C002398</t>
  </si>
  <si>
    <r>
      <t xml:space="preserve">Fotfait réparation PTI d81 (Ex G06) 86004  N°5559959
</t>
    </r>
    <r>
      <rPr>
        <b/>
        <sz val="11"/>
        <color rgb="FFFF0000"/>
        <rFont val="Calibri"/>
        <family val="2"/>
        <scheme val="minor"/>
      </rPr>
      <t>ATTENTION  TVA à 20% sur devis</t>
    </r>
    <r>
      <rPr>
        <sz val="11"/>
        <color theme="1"/>
        <rFont val="Calibri"/>
        <family val="2"/>
        <scheme val="minor"/>
      </rPr>
      <t xml:space="preserve"> </t>
    </r>
    <r>
      <rPr>
        <sz val="11"/>
        <color rgb="FFFF0000"/>
        <rFont val="Calibri"/>
        <family val="2"/>
        <scheme val="minor"/>
      </rPr>
      <t>soit 625,99 TTC</t>
    </r>
  </si>
  <si>
    <t>L:\Services\SERVICE_DES_TRAVAUX\_NEW SERVEUR DPT\2000_PLAN TVX COURANT cl2-cl6\2025\130 Suivi plan de travaux 2025\Classe 6\503 P-EPIS\HM_\ATRP\0433  AUBER. CB2 Ex-G06  PTI N°86004</t>
  </si>
  <si>
    <t>C002399</t>
  </si>
  <si>
    <r>
      <t xml:space="preserve">Fotfait réparation PTI d81 (Ex G06) 86005 N°5559960
</t>
    </r>
    <r>
      <rPr>
        <b/>
        <sz val="11"/>
        <color rgb="FFFF0000"/>
        <rFont val="Calibri"/>
        <family val="2"/>
        <scheme val="minor"/>
      </rPr>
      <t>ATTENTION  TVA à 20% sur devis</t>
    </r>
    <r>
      <rPr>
        <sz val="11"/>
        <color theme="1"/>
        <rFont val="Calibri"/>
        <family val="2"/>
        <scheme val="minor"/>
      </rPr>
      <t xml:space="preserve"> </t>
    </r>
    <r>
      <rPr>
        <sz val="11"/>
        <color rgb="FFFF0000"/>
        <rFont val="Calibri"/>
        <family val="2"/>
        <scheme val="minor"/>
      </rPr>
      <t>soit 625,99 TTC</t>
    </r>
  </si>
  <si>
    <t>L:\Services\SERVICE_DES_TRAVAUX\_NEW SERVEUR DPT\2000_PLAN TVX COURANT cl2-cl6\2025\130 Suivi plan de travaux 2025\Classe 6\503 P-EPIS\HM_\ATRP\0434  AUBER. CB2 Ex-G06  PTI N°86005</t>
  </si>
  <si>
    <t>04 2025 E018937</t>
  </si>
  <si>
    <t>Peinture Velux Directrice Qualité + limon escalier  direction</t>
  </si>
  <si>
    <t>L:\Services\SERVICE_DES_TRAVAUX\_NEW SERVEUR DPT\2000_PLAN TVX COURANT cl2-cl6\2025\130 Suivi plan de travaux 2025\Classe 6\303 R-MERONI\LOT 03 - LES PEINTURES PARISIENNES\0435 Peinture escalier Direction + velux</t>
  </si>
  <si>
    <t>3359</t>
  </si>
  <si>
    <t>Cristales</t>
  </si>
  <si>
    <t>Nacelle-Cristales/AMT</t>
  </si>
  <si>
    <t>Consulations spécialisées</t>
  </si>
  <si>
    <t>04,2025 DE018936</t>
  </si>
  <si>
    <t xml:space="preserve">Regul peinture carrelage  WC Tilleuls Hypnorelax </t>
  </si>
  <si>
    <t>L:\Services\SERVICE_DES_TRAVAUX\_NEW SERVEUR DPT\2000_PLAN TVX COURANT cl2-cl6\2025\130 Suivi plan de travaux 2025\Classe 6\303 R-MERONI\LOT 03 - LES PEINTURES PARISIENNES\0436 Cristale WC  hypnorelax</t>
  </si>
  <si>
    <t>04,2025,DE018939</t>
  </si>
  <si>
    <t xml:space="preserve">Ex bibliotheque 1 er étage:Suite déplacement  éclairage Peinture Plafond salle lecture  +divers raccords peinture </t>
  </si>
  <si>
    <t>L:\Services\SERVICE_DES_TRAVAUX\_NEW SERVEUR DPT\2000_PLAN TVX COURANT cl2-cl6\2025\130 Suivi plan de travaux 2025\Classe 6\303 R-MERONI\LOT 03 - LES PEINTURES PARISIENNES\0437 Ex Biblio</t>
  </si>
  <si>
    <t>1405</t>
  </si>
  <si>
    <t>T2025017</t>
  </si>
  <si>
    <t>Internat</t>
  </si>
  <si>
    <t>25-0119 T1</t>
  </si>
  <si>
    <t xml:space="preserve">Aménagement de 2 espaces de stockage  Internat </t>
  </si>
  <si>
    <t>L:\Services\SERVICE_DES_TRAVAUX\_NEW SERVEUR DPT\2000_PLAN TVX COURANT cl2-cl6\2025\130 Suivi plan de travaux 2025\Classe 2\T2025017 Internat Stockage Dahl\0438 sanicotherm</t>
  </si>
  <si>
    <t>Dv 2252560</t>
  </si>
  <si>
    <t>L:\Services\SERVICE_DES_TRAVAUX\_NEW SERVEUR DPT\2000_PLAN TVX COURANT cl2-cl6\2025\130 Suivi plan de travaux 2025\Classe 2\T2025017 Internat Stockage Dahl\0439 TBES</t>
  </si>
  <si>
    <t>devis est à la bonne TVA</t>
  </si>
  <si>
    <t>05,2025,DE019135</t>
  </si>
  <si>
    <t>L:\Services\SERVICE_DES_TRAVAUX\_NEW SERVEUR DPT\2000_PLAN TVX COURANT cl2-cl6\2025\130 Suivi plan de travaux 2025\Classe 2\T2025017 Internat Stockage Dahl\0440 LPP</t>
  </si>
  <si>
    <t>bDC envoyé</t>
  </si>
  <si>
    <t>D2505076/MA</t>
  </si>
  <si>
    <t>L:\Services\SERVICE_DES_TRAVAUX\_NEW SERVEUR DPT\2000_PLAN TVX COURANT cl2-cl6\2025\130 Suivi plan de travaux 2025\Classe 2\T2025017 Internat Stockage Dahl\0441 BSMG</t>
  </si>
  <si>
    <t>OK Devis rectifié à 10%
bdc envoyé</t>
  </si>
  <si>
    <t>DV-2252431</t>
  </si>
  <si>
    <t xml:space="preserve">Régul Aménagement  espace de travail suite embauche  nouveau dentiste </t>
  </si>
  <si>
    <t>L:\Services\SERVICE_DES_TRAVAUX\_NEW SERVEUR DPT\2000_PLAN TVX COURANT cl2-cl6\2025\130 Suivi plan de travaux 2025\Classe 6\303 R-MERONI\LOT 04- TBES - ELECTRICITE CFO-CFA\0442 Dentiste</t>
  </si>
  <si>
    <t>DV-2251170</t>
  </si>
  <si>
    <t xml:space="preserve">cuisine therapêutique </t>
  </si>
  <si>
    <t>L:\Services\SERVICE_DES_TRAVAUX\_NEW SERVEUR DPT\2000_PLAN TVX COURANT cl2-cl6\2025\130 Suivi plan de travaux 2025\Classe 2\T2025009  CUISINE THERAPEUTIQUE\0418 cuisine drancy la source</t>
  </si>
  <si>
    <t>124902</t>
  </si>
  <si>
    <t>volets</t>
  </si>
  <si>
    <t>L:\Services\SERVICE_DES_TRAVAUX\_NEW SERVEUR DPT\2000_PLAN TVX COURANT cl2-cl6\2025\130 Suivi plan de travaux 2025\Classe 6\301 P-DOMERCQ\LOT 02 - ARTETLEBOIS -MENUISERIE\0444 travaux pole volets</t>
  </si>
  <si>
    <t>MCI THERMIQUE</t>
  </si>
  <si>
    <t>072025-0-CB</t>
  </si>
  <si>
    <t>amo pole santé - phase de demarrage Ring</t>
  </si>
  <si>
    <t>L:\Services\SERVICE_DES_TRAVAUX\_NEW SERVEUR DPT\1000_OPE TVX STRAT\0010 MOE multiattributaire 2025-2028\2025.02 POLE SANTE</t>
  </si>
  <si>
    <t>ATELIER AUDIOVISUEL</t>
  </si>
  <si>
    <t>2382312703 - Pôle Enseignement formation</t>
  </si>
  <si>
    <t>T2382312703 - IFSI</t>
  </si>
  <si>
    <t>D2050-508</t>
  </si>
  <si>
    <t>etude  complemnatiare auditorium</t>
  </si>
  <si>
    <t>L:\Services\SERVICE_DES_TRAVAUX\_NEW SERVEUR DPT\1000_OPE TVX STRAT\2020.06 POLE ENSEIGNT FORMATION\03 SUIVI FINANCIER\038 MOE\audiovisuel</t>
  </si>
  <si>
    <t>hors marché
BDC envoyé</t>
  </si>
  <si>
    <t>250149</t>
  </si>
  <si>
    <t>fuite g13 ci</t>
  </si>
  <si>
    <t>L:\Services\SERVICE_DES_TRAVAUX\_NEW SERVEUR DPT\2000_PLAN TVX COURANT cl2-cl6\2025\130 Suivi plan de travaux 2025\Classe 6\301 P-DOMERCQ\LOT 01 - SANICOTHERM - MACONNERIE\0447</t>
  </si>
  <si>
    <t>325055071</t>
  </si>
  <si>
    <t xml:space="preserve">Remplacement d'un DAI </t>
  </si>
  <si>
    <t>C002403</t>
  </si>
  <si>
    <r>
      <t xml:space="preserve">Fourniture simple d'un PTI a72 ASCOM pour remplacer le a71 irréparable 
 ASH N°31   S/N 7534200
</t>
    </r>
    <r>
      <rPr>
        <b/>
        <sz val="11"/>
        <color rgb="FFFF0000"/>
        <rFont val="Calibri"/>
        <family val="2"/>
        <scheme val="minor"/>
      </rPr>
      <t>Attention  TVA à 20% sur devis = 1357,39 TTC</t>
    </r>
  </si>
  <si>
    <t>L:\Services\SERVICE_DES_TRAVAUX\_NEW SERVEUR DPT\2000_PLAN TVX COURANT cl2-cl6\2025\130 Suivi plan de travaux 2025\Classe 6\503 P-EPIS\HM_\ATRP\0449  BONDY Remplacement a71N°31 ASH  irréparrable par  PTI a72</t>
  </si>
  <si>
    <t>Emmanuel avant de valider. OU en est on du projet PTI Bondy.
BDC envoyé</t>
  </si>
  <si>
    <t>124906</t>
  </si>
  <si>
    <t>trappe sanitaire pmr</t>
  </si>
  <si>
    <t>L:\Services\SERVICE_DES_TRAVAUX\_NEW SERVEUR DPT\2000_PLAN TVX COURANT cl2-cl6\2025\130 Suivi plan de travaux 2025\Classe 6\301 P-DOMERCQ\LOT 02 - ARTETLEBOIS -MENUISERIE\0450 trappe G06 pmr</t>
  </si>
  <si>
    <t>124918</t>
  </si>
  <si>
    <t>realisation habillage type coffrage</t>
  </si>
  <si>
    <t>L:\Services\SERVICE_DES_TRAVAUX\_NEW SERVEUR DPT\2000_PLAN TVX COURANT cl2-cl6\2025\130 Suivi plan de travaux 2025\Classe 6\301 P-DOMERCQ\LOT 02 - ARTETLEBOIS -MENUISERIE\0451 coffrage stains</t>
  </si>
  <si>
    <t>Neuilly-sur-Marne</t>
  </si>
  <si>
    <t>Cédres</t>
  </si>
  <si>
    <t>325050114</t>
  </si>
  <si>
    <t>Remplacement du SSI</t>
  </si>
  <si>
    <t>124858</t>
  </si>
  <si>
    <t xml:space="preserve">suite réfection complete de la SDB F&amp;p de 3 portes hydrofuges </t>
  </si>
  <si>
    <t>L:\Services\SERVICE_DES_TRAVAUX\_NEW SERVEUR DPT\2000_PLAN TVX COURANT cl2-cl6\2025\130 Suivi plan de travaux 2025\Classe 6\303 R-MERONI\LOT 02 - ARTETLEBOIS -MENUISERIE\0453 Alize SDB H 1 er</t>
  </si>
  <si>
    <t>5419</t>
  </si>
  <si>
    <t>UCA / UCSNA</t>
  </si>
  <si>
    <t>6572/25</t>
  </si>
  <si>
    <t>Régule sur intervention store HS I02 HJ-IHSEA au R+2 -A1.84</t>
  </si>
  <si>
    <t>L:\Services\SERVICE_DES_TRAVAUX\_NEW SERVEUR DPT\2000_PLAN TVX COURANT cl2-cl6\2025\130 Suivi plan de travaux 2025\Classe 6\503 P-EPIS\MBC_LOT08 ABPSI\0454  AUBERV. C. TILLON Régule inter du 07.05.25 sur I02 HJ-IHSEA</t>
  </si>
  <si>
    <t>25-0098</t>
  </si>
  <si>
    <t>regul remise en etat apres demolition d'une cloison</t>
  </si>
  <si>
    <t>L:\Services\SERVICE_DES_TRAVAUX\_NEW SERVEUR DPT\2000_PLAN TVX COURANT cl2-cl6\2025\130 Suivi plan de travaux 2025\Classe 6\301 P-DOMERCQ\LOT 01 - SANICOTHERM - MACONNERIE\0455</t>
  </si>
  <si>
    <t>DV-2252702</t>
  </si>
  <si>
    <t>remplacement contact a clefs par ctrl d'acces 2 portes DAS G13</t>
  </si>
  <si>
    <t>L:\Services\SERVICE_DES_TRAVAUX\_NEW SERVEUR DPT\2000_PLAN TVX COURANT cl2-cl6\2025\130 Suivi plan de travaux 2025\Classe 6\301 P-DOMERCQ\LOT 04- TBES - ELECTRICITE CFO-CFA\0456</t>
  </si>
  <si>
    <t>2252525</t>
  </si>
  <si>
    <t>remaniement prises electrqiues et informatique</t>
  </si>
  <si>
    <t>L:\Services\SERVICE_DES_TRAVAUX\_NEW SERVEUR DPT\2000_PLAN TVX COURANT cl2-cl6\2025\130 Suivi plan de travaux 2025\Classe 6\302 M-ALEVEQUE\LOT 04- TBES - ELECTRICITE CFO-CFA\0457 CMP neuilly sur marne</t>
  </si>
  <si>
    <t>8590</t>
  </si>
  <si>
    <t>Hirondelles</t>
  </si>
  <si>
    <t>250148</t>
  </si>
  <si>
    <t xml:space="preserve">fissure sur murs betons </t>
  </si>
  <si>
    <t>L:\Services\SERVICE_DES_TRAVAUX\_NEW SERVEUR DPT\2000_PLAN TVX COURANT cl2-cl6\2025\130 Suivi plan de travaux 2025\Classe 6\302 M-ALEVEQUE\LOT 01 - SANICOTHERM - MACONNERIE\0458hirondelle</t>
  </si>
  <si>
    <t>juillet</t>
  </si>
  <si>
    <t>T2025018</t>
  </si>
  <si>
    <t>250167</t>
  </si>
  <si>
    <t xml:space="preserve">etude structure logements </t>
  </si>
  <si>
    <t>L:\Services\SERVICE_DES_TRAVAUX\_NEW SERVEUR DPT\2000_PLAN TVX COURANT cl2-cl6\2025\130 Suivi plan de travaux 2025\Classe 2\T2025018 appartement cours communs\sanicotherm</t>
  </si>
  <si>
    <t>Tamaris</t>
  </si>
  <si>
    <t>124919</t>
  </si>
  <si>
    <t>Suite demande CSS F&amp;P d'une porte isophonique du secrétariat au couloir  des patients lors des échanges médicaux confidentiels</t>
  </si>
  <si>
    <t>L:\Services\SERVICE_DES_TRAVAUX\_NEW SERVEUR DPT\2000_PLAN TVX COURANT cl2-cl6\2025\130 Suivi plan de travaux 2025\Classe 6\303 R-MERONI\LOT 02 - ARTETLEBOIS -MENUISERIE\0460 Tilleuls Secrétariat</t>
  </si>
  <si>
    <t>DV-2252550</t>
  </si>
  <si>
    <t>Diverses installations électriques et informatiques :Salle de Formation 1er ;Salle de réunion RDC ; bureau soignant RDC</t>
  </si>
  <si>
    <t>L:\Services\SERVICE_DES_TRAVAUX\_NEW SERVEUR DPT\2000_PLAN TVX COURANT cl2-cl6\2025\130 Suivi plan de travaux 2025\Classe 6\303 R-MERONI\LOT 04- TBES - ELECTRICITE CFO-CFA\0461 Regis Informattique</t>
  </si>
  <si>
    <t>EDIFLEX</t>
  </si>
  <si>
    <t>DEV-20250417-03634</t>
  </si>
  <si>
    <t>Formation Ediflex et mise en place Edidoc (pole Santé)</t>
  </si>
  <si>
    <t>L:\Services\SERVICE_DES_TRAVAUX\_NEW SERVEUR DPT\2000_PLAN TVX COURANT cl2-cl6\2025\130 Suivi plan de travaux 2025\Classe 6\101 C-DARRET\Ediflex Pôle Santé</t>
  </si>
  <si>
    <t>Ne commander que le poste NOF à 1500 € HT</t>
  </si>
  <si>
    <t>325050298</t>
  </si>
  <si>
    <t>DAI HS</t>
  </si>
  <si>
    <t>DV-2252739</t>
  </si>
  <si>
    <t>Pose d'un bandeau de ventouse local pui</t>
  </si>
  <si>
    <t>\\SRV-EPS-fai11.epsve.local\DPT\Services\SERVICE_DES_TRAVAUX\_NEW SERVEUR DPT\2000_PLAN TVX COURANT cl2-cl6\2025\130 Suivi plan de travaux 2025\Classe 6\301 P-DOMERCQ\LOT 04- TBES - ELECTRICITE CFO-CFA\0464</t>
  </si>
  <si>
    <t>6601/25</t>
  </si>
  <si>
    <t xml:space="preserve">Régule intervention du 19-05-2025 sur volet électrique de l'unité coquelicot CH-06 </t>
  </si>
  <si>
    <t>L:\Services\SERVICE_DES_TRAVAUX\_NEW SERVEUR DPT\2000_PLAN TVX COURANT cl2-cl6\2025\130 Suivi plan de travaux 2025\Classe 6\503 P-EPIS\MBC_LOT08 ABPSI\0465 NSM   La MAS  dépannage volet électrique CH-06 coquelicot</t>
  </si>
  <si>
    <t>DV-2252704</t>
  </si>
  <si>
    <t>remplacement alarme vercors</t>
  </si>
  <si>
    <t>L:\Services\SERVICE_DES_TRAVAUX\_NEW SERVEUR DPT\2000_PLAN TVX COURANT cl2-cl6\2025\130 Suivi plan de travaux 2025\Classe 6\301 P-DOMERCQ\LOT 04- TBES - ELECTRICITE CFO-CFA\0466</t>
  </si>
  <si>
    <t>25-0169</t>
  </si>
  <si>
    <t>remplacement carrelage soL</t>
  </si>
  <si>
    <t>L:\Services\SERVICE_DES_TRAVAUX\_NEW SERVEUR DPT\2000_PLAN TVX COURANT cl2-cl6\2025\130 Suivi plan de travaux 2025\Classe 6\302 M-ALEVEQUE\LOT 01 - SANICOTHERM - MACONNERIE\0467 montfermeil</t>
  </si>
  <si>
    <t>250168</t>
  </si>
  <si>
    <r>
      <t>sécuristaion verriere</t>
    </r>
    <r>
      <rPr>
        <sz val="11"/>
        <color rgb="FFFF0000"/>
        <rFont val="Calibri"/>
        <family val="2"/>
        <scheme val="minor"/>
      </rPr>
      <t xml:space="preserve"> regularisation  suite a danger </t>
    </r>
  </si>
  <si>
    <t>L:\Services\SERVICE_DES_TRAVAUX\_NEW SERVEUR DPT\2000_PLAN TVX COURANT cl2-cl6\2025\130 Suivi plan de travaux 2025\Classe 6\302 M-ALEVEQUE\LOT 01 - SANICOTHERM - MACONNERIE\0469 orion</t>
  </si>
  <si>
    <t>m en parler vu 02/07
BDC envoyé</t>
  </si>
  <si>
    <t>DV-2251833-0002</t>
  </si>
  <si>
    <t>Aménagement d'un appartement prototype pour  travail d'autonomisation des patients et familles: Complément pour alimentation éléctrique générale du coffret</t>
  </si>
  <si>
    <t>L:\Services\SERVICE_DES_TRAVAUX\_NEW SERVEUR DPT\2000_PLAN TVX COURANT cl2-cl6\2025\130 Suivi plan de travaux 2025\Classe 2\T2025005 Appartement  Unirre-Care</t>
  </si>
  <si>
    <t>T2025016 CH DE GARDES</t>
  </si>
  <si>
    <t>DE019041</t>
  </si>
  <si>
    <t xml:space="preserve"> peintures&amp;revetements de sol chambres + sol et mur SDB</t>
  </si>
  <si>
    <t>\\SRV-EPS-fai11.epsve.local\DPT\Services\SERVICE_DES_TRAVAUX\_NEW SERVEUR DPT\2000_PLAN TVX COURANT cl2-cl6\2025\130 Suivi plan de travaux 2025\Classe 2\T2025016 Ch de Gardes\CB1</t>
  </si>
  <si>
    <t>124907</t>
  </si>
  <si>
    <t>2 meubles vasques avec miroirs</t>
  </si>
  <si>
    <t>L:\Services\SERVICE_DES_TRAVAUX\_NEW SERVEUR DPT\2000_PLAN TVX COURANT cl2-cl6\2025\130 Suivi plan de travaux 2025\Classe 2\T2025016 Ch de Gardes\CB1</t>
  </si>
  <si>
    <t>DV-2252603</t>
  </si>
  <si>
    <t>remaniement elec</t>
  </si>
  <si>
    <t>pose de stores et films</t>
  </si>
  <si>
    <t>D2504145</t>
  </si>
  <si>
    <t>Travaux de plomberie au niveau de la chambre de garde</t>
  </si>
  <si>
    <t>124926</t>
  </si>
  <si>
    <t>L:\Services\SERVICE_DES_TRAVAUX\_NEW SERVEUR DPT\2000_PLAN TVX COURANT cl2-cl6\2025\130 Suivi plan de travaux 2025\Classe 2\T2025017 Internat Stockage Dahl\0475 AEB</t>
  </si>
  <si>
    <r>
      <t xml:space="preserve">DEVIS TVA 20% à modifier </t>
    </r>
    <r>
      <rPr>
        <b/>
        <sz val="9"/>
        <color rgb="FF7030A0"/>
        <rFont val="Calibri"/>
        <family val="2"/>
        <scheme val="minor"/>
      </rPr>
      <t>demande faite</t>
    </r>
    <r>
      <rPr>
        <b/>
        <sz val="9"/>
        <color rgb="FFFF0000"/>
        <rFont val="Calibri"/>
        <family val="2"/>
        <scheme val="minor"/>
      </rPr>
      <t xml:space="preserve">
bdc envoyé</t>
    </r>
  </si>
  <si>
    <t>25-0172</t>
  </si>
  <si>
    <t>Enlèvement d'un bac bois désaffecté  dans futur potager du jardin Enfants</t>
  </si>
  <si>
    <t>L:\Services\SERVICE_DES_TRAVAUX\_NEW SERVEUR DPT\2000_PLAN TVX COURANT cl2-cl6\2025\130 Suivi plan de travaux 2025\Classe 6\303 R-MERONI\LOT 01 - SANICOTHERM - MACONNERIE\0476 Bac Potager MONTREUIL</t>
  </si>
  <si>
    <t>25-0146</t>
  </si>
  <si>
    <t>Aménagement de la chambre de garde médicale au 2 eme étage</t>
  </si>
  <si>
    <t>L:\Services\SERVICE_DES_TRAVAUX\_NEW SERVEUR DPT\2000_PLAN TVX COURANT cl2-cl6\2025\130 Suivi plan de travaux 2025\Classe 2\T2025016 Ch de Gardes\Montreuil Boissiere</t>
  </si>
  <si>
    <t>D25041136/MA</t>
  </si>
  <si>
    <t>DV-2252832</t>
  </si>
  <si>
    <t>052025DE019074</t>
  </si>
  <si>
    <t>L:\Services\SERVICE_DES_TRAVAUX\_NEW SERVEUR DPT\2000_PLAN TVX COURANT cl2-cl6\2025\130 Suivi plan de travaux 2025\Classe 2\T2025016 Ch de Gardes\Montreuil Boissiere\0480 LPP Ch Garde Montreuil</t>
  </si>
  <si>
    <t>6605/25</t>
  </si>
  <si>
    <t>124953</t>
  </si>
  <si>
    <t>Remplacement de tous les nez de marches plastique par modèle aluminium</t>
  </si>
  <si>
    <t>L:\Services\SERVICE_DES_TRAVAUX\_NEW SERVEUR DPT\2000_PLAN TVX COURANT cl2-cl6\2025\130 Suivi plan de travaux 2025\Classe 6\303 R-MERONI\LOT 02 - ARTETLEBOIS -MENUISERIE\0482  Direction Escalier</t>
  </si>
  <si>
    <t>DE2505735</t>
  </si>
  <si>
    <t>Réparation skydom</t>
  </si>
  <si>
    <t>L:\Services\SERVICE_DES_TRAVAUX\_NEW SERVEUR DPT\2000_PLAN TVX COURANT cl2-cl6\2025\130 Suivi plan de travaux 2025\Classe 6\302 M-ALEVEQUE\LOT 06 - COBAT - ETANCHEITE\0483 thomoux</t>
  </si>
  <si>
    <t>12000156</t>
  </si>
  <si>
    <t>Remplacement du convertisseur de fréquence + filtre réseau +  3 fins de course inductif M30</t>
  </si>
  <si>
    <t>L:\Services\SERVICE_DES_TRAVAUX\_NEW SERVEUR DPT\2000_PLAN TVX COURANT cl2-cl6\2025\130 Suivi plan de travaux 2025\Classe 6\503 P-EPIS\CONT_220024_lot08_VULCAIN Barriere-Porte Auto\D-0484  AUBER CB3  remplacement convertisseur de fréquense portail-CB3</t>
  </si>
  <si>
    <t>DV2252913</t>
  </si>
  <si>
    <t>Modification éclairage de la SDB Hommes suite rénovation</t>
  </si>
  <si>
    <t>L:\Services\SERVICE_DES_TRAVAUX\_NEW SERVEUR DPT\2000_PLAN TVX COURANT cl2-cl6\2025\130 Suivi plan de travaux 2025\Classe 6\303 R-MERONI\LOT 04- TBES - ELECTRICITE CFO-CFA\0485 Alize  SDB Hommes</t>
  </si>
  <si>
    <t>D2403345</t>
  </si>
  <si>
    <t xml:space="preserve">entretien station de pompage </t>
  </si>
  <si>
    <t>Y:\2025\130 Suivi plan de travaux 2025\Classe 6\504 D-PAQUIN\MBC_LOT11 SEA</t>
  </si>
  <si>
    <t>TVA,0,2
BDC envoyé</t>
  </si>
  <si>
    <t>325050595</t>
  </si>
  <si>
    <t>Installation de treuil de réarmement DAC</t>
  </si>
  <si>
    <t>2382312705 - SDT</t>
  </si>
  <si>
    <t>172025-O-CB</t>
  </si>
  <si>
    <t>amo mission phase 1 fibre optique</t>
  </si>
  <si>
    <t>L:\Services\SERVICE_DES_TRAVAUX\_NEW SERVEUR DPT\1000_OPE TVX STRAT\0010 MOE multiattributaire 2025-2028\2025.02 SDT\Fibre</t>
  </si>
  <si>
    <t>compte SDT
ON VOIT ENSEMBLE
BDC envoyé</t>
  </si>
  <si>
    <t>Dv-2243544-0002</t>
  </si>
  <si>
    <t>Maison des Usagers :Création d'une ligne de FO de 150ml  pour raccorder la baie informatique</t>
  </si>
  <si>
    <t>D-6623/25</t>
  </si>
  <si>
    <t>Fet P de stores vénitien sur chassis et fenêtres bureaux technique</t>
  </si>
  <si>
    <t>L:\Services\SERVICE_DES_TRAVAUX\_NEW SERVEUR DPT\2000_PLAN TVX COURANT cl2-cl6\2025\130 Suivi plan de travaux 2025\Classe 6\502 A-CARPINTEIRO</t>
  </si>
  <si>
    <t>12000132</t>
  </si>
  <si>
    <t>Régule intervention du 14-05-25 sur potelet  cellule 01-04</t>
  </si>
  <si>
    <t>L:\Services\SERVICE_DES_TRAVAUX\_NEW SERVEUR DPT\2000_PLAN TVX COURANT cl2-cl6\2025\130 Suivi plan de travaux 2025\Classe 6\503 P-EPIS\CONT_220024_lot08_VULCAIN Barriere-Porte Auto\D-0491  AUBER Charles TILLON  régule inetrevention 14-05-25</t>
  </si>
  <si>
    <t>12000141</t>
  </si>
  <si>
    <t>Intervention du 20-05-2025 sur portail ambulance 48-03
Probléme barre palpeuse</t>
  </si>
  <si>
    <t>L:\Services\SERVICE_DES_TRAVAUX\_NEW SERVEUR DPT\2000_PLAN TVX COURANT cl2-cl6\2025\130 Suivi plan de travaux 2025\Classe 6\503 P-EPIS\CONT_220024_lot08_VULCAIN Barriere-Porte Auto\D-0492  St DENIS  régule inter Portail ambulance</t>
  </si>
  <si>
    <t>12000142</t>
  </si>
  <si>
    <t xml:space="preserve">Régule 1ier inter du 13-05-2025 porte coulissante verre côté vestiaire </t>
  </si>
  <si>
    <t>L:\Services\SERVICE_DES_TRAVAUX\_NEW SERVEUR DPT\2000_PLAN TVX COURANT cl2-cl6\2025\130 Suivi plan de travaux 2025\Classe 6\503 P-EPIS\CONT_220024_lot08_VULCAIN Barriere-Porte Auto\D-0493  NSM  UCPA  dép. porte auto verre coté vestiaire RDC</t>
  </si>
  <si>
    <t>12000143</t>
  </si>
  <si>
    <t>régule remplacement selecteur digital de commande et capteur infrarouge</t>
  </si>
  <si>
    <t>L:\Services\SERVICE_DES_TRAVAUX\_NEW SERVEUR DPT\2000_PLAN TVX COURANT cl2-cl6\2025\130 Suivi plan de travaux 2025\Classe 6\503 P-EPIS\CONT_220024_lot08_VULCAIN Barriere-Porte Auto\D-0494  NSM UCPA  Dép. porte coulissante côté vestiaire</t>
  </si>
  <si>
    <t>DE019222</t>
  </si>
  <si>
    <t>sol sup  R+1</t>
  </si>
  <si>
    <t>L:\Services\SERVICE_DES_TRAVAUX\_NEW SERVEUR DPT\2000_PLAN TVX COURANT cl2-cl6\2025\130 Suivi plan de travaux 2025\Classe 6\301 P-DOMERCQ\LOT 03 - LES PEINTURES PARISIENNES\0495</t>
  </si>
  <si>
    <t>DEKRA</t>
  </si>
  <si>
    <t>2024-B935-5246</t>
  </si>
  <si>
    <t>Assistance en Maîtrise d’Ouvrage pour la réalisation d’un Plan
de Conception de Travaux (PCT) - Terrain Blanchisserie</t>
  </si>
  <si>
    <t>L:\Services\SERVICE_DES_TRAVAUX\_NEW SERVEUR DPT\2000_PLAN TVX COURANT cl2-cl6\2025\130 Suivi plan de travaux 2025\Classe 6\101 C-DARRET\Dekra Blanchisserie</t>
  </si>
  <si>
    <t>DEV-20250523-03692</t>
  </si>
  <si>
    <t>EDIDOC - ABONNEMENT (Test)</t>
  </si>
  <si>
    <t>L:\Services\SERVICE_DES_TRAVAUX\_NEW SERVEUR DPT\2000_PLAN TVX COURANT cl2-cl6\2025\130 Suivi plan de travaux 2025\Classe 6\101 C-DARRET\Ediflex Edidoc</t>
  </si>
  <si>
    <t>6227/24</t>
  </si>
  <si>
    <t>regul:Dépannage sur le VR de la chambre 5</t>
  </si>
  <si>
    <t>L:\Services\SERVICE_DES_TRAVAUX\_NEW SERVEUR DPT\2000_PLAN TVX COURANT cl2-cl6\2025\130 Suivi plan de travaux 2025\Classe 6\303 R-MERONI\LOT 08 - ABPSI -STORES\0498 Bondy VR 5</t>
  </si>
  <si>
    <t>155717776</t>
  </si>
  <si>
    <t>Réparation de l'appareil Cuisine 1000kg 1940606
- Remplacement des contacteurs de puissance obsolètes,
- Reprise de la tension de la courroie de liaison moteur.</t>
  </si>
  <si>
    <t>L:\Services\SERVICE_DES_TRAVAUX\_NEW SERVEUR DPT\2000_PLAN TVX COURANT cl2-cl6\2025\130 Suivi plan de travaux 2025\Classe 6\501 E-MINGANT\CONT_220026_lot01_SCHINDLER\0499</t>
  </si>
  <si>
    <t>2751975.1</t>
  </si>
  <si>
    <t>Complément de mission 2ème visite Vérifications techniques en Sécurité Incendie - Remplacement de deux appareils élévateurs - EPS Ville Evrard "Clos Bernard"</t>
  </si>
  <si>
    <t>L:\Services\SERVICE_DES_TRAVAUX\_NEW SERVEUR DPT\2000_PLAN TVX COURANT cl2-cl6\2025\130 Suivi plan de travaux 2025\Classe 6\501 E-MINGANT\RESHA_APAVE\0500</t>
  </si>
  <si>
    <t>Bonjour Romain TVA à 20% (EM)
bdc envoyé</t>
  </si>
  <si>
    <t>213518999 - Accessibilité EPSVE opération AD'AP</t>
  </si>
  <si>
    <t>T2025003 - Accessibilité</t>
  </si>
  <si>
    <t>25.V-EVRARD.5.020b</t>
  </si>
  <si>
    <t>Intervention pour la réparation
et la securisation de 3 regards fracturés.
Probablement profondement,
donnant l'accés aux rats
qui ont degradés le jardin.
Proposition de reprise complète
afin de re etanchéifier les regards
et renforcer à l'aide d'une longrine beton
Creation d'unr rampe PMR en enrobé noir</t>
  </si>
  <si>
    <t>L:\Services\SERVICE_DES_TRAVAUX\_NEW SERVEUR DPT\2000_PLAN TVX COURANT cl2-cl6\2025\130 Suivi plan de travaux 2025\Classe 2\T2025003 - Accessibilite\0501</t>
  </si>
  <si>
    <t>23/06/025</t>
  </si>
  <si>
    <t>IPSI</t>
  </si>
  <si>
    <t>DE-IPS.25.03.1252</t>
  </si>
  <si>
    <t xml:space="preserve">Maintenance poteaux incendie </t>
  </si>
  <si>
    <t>Réseau incendie</t>
  </si>
  <si>
    <t>DE-IPS.25.03.1249</t>
  </si>
  <si>
    <t>Maintenance poteaux incendie</t>
  </si>
  <si>
    <t>DE-IPS.25.03.1250</t>
  </si>
  <si>
    <t>Maintenance colonne seche</t>
  </si>
  <si>
    <t>DE-IPS.25.03.1251</t>
  </si>
  <si>
    <t>05,2025 DE019307</t>
  </si>
  <si>
    <t xml:space="preserve">Peinture d'une chambre simple </t>
  </si>
  <si>
    <t>L:\Services\SERVICE_DES_TRAVAUX\_NEW SERVEUR DPT\2000_PLAN TVX COURANT cl2-cl6\2025\130 Suivi plan de travaux 2025\Classe 6\303 R-MERONI\LOT 03 - LES PEINTURES PARISIENNES\0506 MAS Pgmme</t>
  </si>
  <si>
    <t>05,2025 DE019308</t>
  </si>
  <si>
    <t>Peinture des circulations coté Activités + Administration</t>
  </si>
  <si>
    <t>DE6233/25</t>
  </si>
  <si>
    <t>Volet roulant à remplacer ch1</t>
  </si>
  <si>
    <t>L:\Services\SERVICE_DES_TRAVAUX\_NEW SERVEUR DPT\2000_PLAN TVX COURANT cl2-cl6\2025\130 Suivi plan de travaux 2025\Classe 6\502 A-CARPINTEIRO\MBC_LOT08 ABPSI\0508</t>
  </si>
  <si>
    <t>T2024031 - Hypnorelaxe Tilleuls</t>
  </si>
  <si>
    <t>24-0377</t>
  </si>
  <si>
    <t>Régul :Dépose des plinthes carrelage dans les 2 salles d'hypnorelax et rebouchages</t>
  </si>
  <si>
    <t>L:\Services\SERVICE_DES_TRAVAUX\_NEW SERVEUR DPT\2000_PLAN TVX COURANT cl2-cl6\2024\00 plan 2024\010 Suivi Plan 2024\CLasse 2\T2024031 Hypnorelaxe Tilleuls</t>
  </si>
  <si>
    <t>DV-2253015</t>
  </si>
  <si>
    <t>Demande de l'Informatique :Création de 13 bornes WF et remplacement de 47  RJ45 avec noyaux</t>
  </si>
  <si>
    <t>L:\Services\SERVICE_DES_TRAVAUX\_NEW SERVEUR DPT\2000_PLAN TVX COURANT cl2-cl6\2025\130 Suivi plan de travaux 2025\Classe 6\303 R-MERONI\LOT 04- TBES - ELECTRICITE CFO-CFA\0510  Montreuil Archipel Macé</t>
  </si>
  <si>
    <t>8079</t>
  </si>
  <si>
    <t>Tournesol</t>
  </si>
  <si>
    <t>6471/25</t>
  </si>
  <si>
    <t>régule intervention du 03-04-2025 sur NSM/Tournesols sur volet CSI N°2</t>
  </si>
  <si>
    <t>L:\Services\SERVICE_DES_TRAVAUX\_NEW SERVEUR DPT\2000_PLAN TVX COURANT cl2-cl6\2025\130 Suivi plan de travaux 2025\Classe 6\503 P-EPIS\MBC_LOT08 ABPSI\0511 NSM  TOURNESOLS  Dépannage du 03-04-25 volet CSI N°2</t>
  </si>
  <si>
    <t>T2025021</t>
  </si>
  <si>
    <t>DE019328</t>
  </si>
  <si>
    <t>sols</t>
  </si>
  <si>
    <t>L:\Services\SERVICE_DES_TRAVAUX\_NEW SERVEUR DPT\2000_PLAN TVX COURANT cl2-cl6\2025\130 Suivi plan de travaux 2025\Classe 2\T2025021 refection sol creche</t>
  </si>
  <si>
    <t>attention classe 2
bdc envoyé</t>
  </si>
  <si>
    <t>5 aout</t>
  </si>
  <si>
    <t>DK250505961</t>
  </si>
  <si>
    <t>Remplacement moteur de la CTA</t>
  </si>
  <si>
    <t>L:\Services\SERVICE_DES_TRAVAUX\_NEW SERVEUR DPT\2000_PLAN TVX COURANT cl2-cl6\2025\130 Suivi plan de travaux 2025\Classe 6\504 D-PAQUIN\CONT_220022_lot03_UTB_Insta thermiques\0513</t>
  </si>
  <si>
    <t>DE2505736</t>
  </si>
  <si>
    <t>remplacement skydom</t>
  </si>
  <si>
    <t>L:\Services\SERVICE_DES_TRAVAUX\_NEW SERVEUR DPT\2000_PLAN TVX COURANT cl2-cl6\2025\130 Suivi plan de travaux 2025\Classe 6\302 M-ALEVEQUE\LOT 06 - COBAT - ETANCHEITE\0514 admission</t>
  </si>
  <si>
    <t>DE5.026c</t>
  </si>
  <si>
    <t>Intervention pour la securisation du site</t>
  </si>
  <si>
    <t>L:\Services\SERVICE_DES_TRAVAUX\_NEW SERVEUR DPT\2000_PLAN TVX COURANT cl2-cl6\2025\130 Suivi plan de travaux 2025\Classe 6\502 A-CARPINTEIRO\MBC_LOT09 SNTPP\0515</t>
  </si>
  <si>
    <t>124961</t>
  </si>
  <si>
    <t>cuisine du personel + elargissement portes</t>
  </si>
  <si>
    <t>L:\Services\SERVICE_DES_TRAVAUX\_NEW SERVEUR DPT\2000_PLAN TVX COURANT cl2-cl6\2025\130 Suivi plan de travaux 2025\Classe 6\301 P-DOMERCQ\LOT 02 - ARTETLEBOIS -MENUISERIE\0516</t>
  </si>
  <si>
    <t>SOCOTEC</t>
  </si>
  <si>
    <t>2025/06_RB/003</t>
  </si>
  <si>
    <t>Mission contrôle technqiue op SDT chauffage</t>
  </si>
  <si>
    <t>L:\Services\SERVICE_DES_TRAVAUX\_NEW SERVEUR DPT\1000_OPE TVX STRAT\0005 marché socotec</t>
  </si>
  <si>
    <r>
      <t xml:space="preserve">Le numéro de marché sur Cpage  </t>
    </r>
    <r>
      <rPr>
        <b/>
        <sz val="9"/>
        <color rgb="FF1F497D"/>
        <rFont val="Calibri"/>
        <family val="2"/>
      </rPr>
      <t>250063.</t>
    </r>
    <r>
      <rPr>
        <sz val="9"/>
        <color rgb="FF1F497D"/>
        <rFont val="Calibri"/>
        <family val="2"/>
      </rPr>
      <t xml:space="preserve"> </t>
    </r>
    <r>
      <rPr>
        <sz val="9"/>
        <color theme="1"/>
        <rFont val="Calibri"/>
        <family val="2"/>
        <scheme val="minor"/>
      </rPr>
      <t xml:space="preserve">
BDC envoyé</t>
    </r>
  </si>
  <si>
    <t>238231721 - PLH RENOVATION PEUPLIERS</t>
  </si>
  <si>
    <t>2025/06_RB/002</t>
  </si>
  <si>
    <t>Mission contrôle technqiue op GJA peuplier</t>
  </si>
  <si>
    <t xml:space="preserve">bdc envoyé
</t>
  </si>
  <si>
    <t>2025/06_RB/001</t>
  </si>
  <si>
    <t>Mission contrôle technqiue op CRUP Avicenne</t>
  </si>
  <si>
    <t>2025/06_RB/004</t>
  </si>
  <si>
    <t>Mission contrôle technqiue op</t>
  </si>
  <si>
    <t>323065024</t>
  </si>
  <si>
    <t>Equilibrage et mesures aéraulique de désenfumage</t>
  </si>
  <si>
    <t>323060688</t>
  </si>
  <si>
    <t>TVA
BDC envoyé</t>
  </si>
  <si>
    <t>De124970</t>
  </si>
  <si>
    <t>Fet posed'un bloc-porte pvc</t>
  </si>
  <si>
    <t>L:\Services\SERVICE_DES_TRAVAUX\_NEW SERVEUR DPT\2000_PLAN TVX COURANT cl2-cl6\2025\130 Suivi plan de travaux 2025\Classe 6\502 A-CARPINTEIRO\MBC_LOT02 AELB\0523</t>
  </si>
  <si>
    <t>12000186</t>
  </si>
  <si>
    <t xml:space="preserve">Fourniture et remplacement inter sectionnel des 6 coffrets de commandes porte sectionnelle + 1 boitier complet de sécurité </t>
  </si>
  <si>
    <t>L:\Services\SERVICE_DES_TRAVAUX\_NEW SERVEUR DPT\2000_PLAN TVX COURANT cl2-cl6\2025\130 Suivi plan de travaux 2025\Classe 6\503 P-EPIS\CONT_220024_lot08_VULCAIN Barriere-Porte Auto\D-0524  NSM UCPA  remplacement sectionneur et boitier complet de sécurité</t>
  </si>
  <si>
    <t>12000181</t>
  </si>
  <si>
    <t>Régule intervention du 07-03-25 porte automatique verre (RDC/ côté vestiaires)</t>
  </si>
  <si>
    <t>L:\Services\SERVICE_DES_TRAVAUX\_NEW SERVEUR DPT\2000_PLAN TVX COURANT cl2-cl6\2025\130 Suivi plan de travaux 2025\Classe 6\503 P-EPIS\CONT_220024_lot08_VULCAIN Barriere-Porte Auto\D-0525 NSM UCPA  porte coulis. 70-06</t>
  </si>
  <si>
    <t>12000182</t>
  </si>
  <si>
    <t>Régule intervention du 18-02-25 sur portail ambulance et porte de parking</t>
  </si>
  <si>
    <t>L:\Services\SERVICE_DES_TRAVAUX\_NEW SERVEUR DPT\2000_PLAN TVX COURANT cl2-cl6\2025\130 Suivi plan de travaux 2025\Classe 6\503 P-EPIS\CONT_220024_lot08_VULCAIN Barriere-Porte Auto\D-0526  St DENIS  régule intervention du 18-02-2025</t>
  </si>
  <si>
    <t>Cable pour borne DECT  (à finaliser)</t>
  </si>
  <si>
    <t>Remplacement grille VCF</t>
  </si>
  <si>
    <t>C25062203-1</t>
  </si>
  <si>
    <t>REGULARISATION REPARATION FUITE AU NIVEAU DU BALLON D'ECLATEMENT EN CHAUFFERIE</t>
  </si>
  <si>
    <t>L:\Services\SERVICE_DES_TRAVAUX\_NEW SERVEUR DPT\2000_PLAN TVX COURANT cl2-cl6\2025\130 Suivi plan de travaux 2025\Classe 6\501 E-MINGANT\CONT_190023_lot00_DALKIA\0529</t>
  </si>
  <si>
    <t>C25062179-1</t>
  </si>
  <si>
    <t xml:space="preserve">REGULARISATION REPARATION FUITE EN URGENCE SUR EXTRACTION PURGE CHAUDIERE 10 TONNES VAPEUR </t>
  </si>
  <si>
    <t>L:\Services\SERVICE_DES_TRAVAUX\_NEW SERVEUR DPT\2000_PLAN TVX COURANT cl2-cl6\2025\130 Suivi plan de travaux 2025\Classe 6\501 E-MINGANT\CONT_190023_lot00_DALKIA\0530</t>
  </si>
  <si>
    <t xml:space="preserve">C25098641-1 </t>
  </si>
  <si>
    <t>REGULARISATION REPARATION FUITE SUR PURGES AU NIVEAU DU BALLON D'ECLATEMENT EN CHAUFFERIE</t>
  </si>
  <si>
    <t>L:\Services\SERVICE_DES_TRAVAUX\_NEW SERVEUR DPT\2000_PLAN TVX COURANT cl2-cl6\2025\130 Suivi plan de travaux 2025\Classe 6\501 E-MINGANT\CONT_190023_lot00_DALKIA\0531</t>
  </si>
  <si>
    <t>C25098624-1</t>
  </si>
  <si>
    <t>REGULARISATION REPARATION FUITE SUR PANOPLIE CHAUDIERE 6 TONNES</t>
  </si>
  <si>
    <t>L:\Services\SERVICE_DES_TRAVAUX\_NEW SERVEUR DPT\2000_PLAN TVX COURANT cl2-cl6\2025\130 Suivi plan de travaux 2025\Classe 6\501 E-MINGANT\CONT_190023_lot00_DALKIA\0532</t>
  </si>
  <si>
    <t>8902</t>
  </si>
  <si>
    <t xml:space="preserve">Fourniture et pose d'ilots accoustiques dans les locaux situés au   R+1 du pôle technique </t>
  </si>
  <si>
    <t>L:\Services\SERVICE_DES_TRAVAUX\_NEW SERVEUR DPT\2000_PLAN TVX COURANT cl2-cl6\2025\130 Suivi plan de travaux 2025\Classe 6\501 E-MINGANT\MBC_LOT13 AC2P\0533</t>
  </si>
  <si>
    <t>Devis DV-2252939A</t>
  </si>
  <si>
    <t>Distribution Fibre Optique PHASE 1</t>
  </si>
  <si>
    <t>L:\Services\SERVICE_DES_TRAVAUX\_NEW SERVEUR DPT\1000_OPE TVX STRAT\2020.04. SCHEMA DIR TECH NSM\04 SUIVI TECHNIQUE\045 SDT fibre optique</t>
  </si>
  <si>
    <t>compte SDT
bdc envoyé</t>
  </si>
  <si>
    <t>325065060</t>
  </si>
  <si>
    <t>Modification de libellés et étiquetage</t>
  </si>
  <si>
    <t>325065124</t>
  </si>
  <si>
    <t>Désenfumage remplacement vérin RAG</t>
  </si>
  <si>
    <t>Cèdres</t>
  </si>
  <si>
    <t>CAC</t>
  </si>
  <si>
    <t>D2506069</t>
  </si>
  <si>
    <t>Installation evier salle de TP</t>
  </si>
  <si>
    <t xml:space="preserve">615223 -Classe 6 Travaux Hors Pole </t>
  </si>
  <si>
    <t>Devis DV-2252812A</t>
  </si>
  <si>
    <t>création écran TV RJ 45</t>
  </si>
  <si>
    <t>615223-Classe 6Travaux Hors Pole</t>
  </si>
  <si>
    <t>Devis DV-2252820</t>
  </si>
  <si>
    <t>TVA à 20%
BDC envoyé</t>
  </si>
  <si>
    <t>Devis DV-2252823</t>
  </si>
  <si>
    <t>8577</t>
  </si>
  <si>
    <t>Devis DV-2252827</t>
  </si>
  <si>
    <t>TVA à 10%
BDC envoyé</t>
  </si>
  <si>
    <t>D2506030/MA</t>
  </si>
  <si>
    <t>Suite réfection compléte SDB Homme TS pour rajout d'une VMC+remplacement du siphon sol existant</t>
  </si>
  <si>
    <t>L:\Services\SERVICE_DES_TRAVAUX\_NEW SERVEUR DPT\2000_PLAN TVX COURANT cl2-cl6\2025\130 Suivi plan de travaux 2025\Classe 6\303 R-MERONI\LOT 05 - BSMG - CVC\G12\544  Devis BSMG Siphon + VMC</t>
  </si>
  <si>
    <t>T2025005</t>
  </si>
  <si>
    <t>25-0184</t>
  </si>
  <si>
    <t>Suite installation équipements plomberie  de la SDB PMR sans vide sanitaire Réalisatioin d'un doublage pour encoffrer à mi-hauteur les canalisations</t>
  </si>
  <si>
    <t>L:\Services\SERVICE_DES_TRAVAUX\_NEW SERVEUR DPT\2000_PLAN TVX COURANT cl2-cl6\2025\130 Suivi plan de travaux 2025\Classe 2\T2025005 Appartement  Unirre-Care\0544 sanicotherm Coffrage SDB</t>
  </si>
  <si>
    <t>DV-2253228</t>
  </si>
  <si>
    <t>instalations electrique adicto 1 PT et redistrib pc + eclairage gradable</t>
  </si>
  <si>
    <t>L:\Services\SERVICE_DES_TRAVAUX\_NEW SERVEUR DPT\2000_PLAN TVX COURANT cl2-cl6\2025\130 Suivi plan de travaux 2025\Classe 6\301 P-DOMERCQ\LOT 04- TBES - ELECTRICITE CFO-CFA\545 Adicto TBES</t>
  </si>
  <si>
    <t>325060402</t>
  </si>
  <si>
    <t>Remplacement 4 modules MD4A</t>
  </si>
  <si>
    <t xml:space="preserve">Clos Bénard </t>
  </si>
  <si>
    <t>325060417</t>
  </si>
  <si>
    <t>Mise à jour textes clairs</t>
  </si>
  <si>
    <t>06,2025,DE019333</t>
  </si>
  <si>
    <t>Peinture d'une chambre simple + une chambre double</t>
  </si>
  <si>
    <t>DV-2253250</t>
  </si>
  <si>
    <t xml:space="preserve">rajout RJ 45 + 3 pc pour second poste </t>
  </si>
  <si>
    <t>L:\Services\SERVICE_DES_TRAVAUX\_NEW SERVEUR DPT\2000_PLAN TVX COURANT cl2-cl6\2025\130 Suivi plan de travaux 2025\Classe 6\301 P-DOMERCQ\LOT 04- TBES - ELECTRICITE CFO-CFA\0549</t>
  </si>
  <si>
    <t>06.2025 DE019399</t>
  </si>
  <si>
    <t>peinture et sol adicto</t>
  </si>
  <si>
    <t>L:\Services\SERVICE_DES_TRAVAUX\_NEW SERVEUR DPT\2000_PLAN TVX COURANT cl2-cl6\2025\130 Suivi plan de travaux 2025\Classe 6\301 P-DOMERCQ\LOT 03 - LES PEINTURES PARISIENNES\0550</t>
  </si>
  <si>
    <t>06.2025 DE019396</t>
  </si>
  <si>
    <t>regul peinture cage d'escalier et reprise mur apres fuite</t>
  </si>
  <si>
    <t>L:\Services\SERVICE_DES_TRAVAUX\_NEW SERVEUR DPT\2000_PLAN TVX COURANT cl2-cl6\2025\130 Suivi plan de travaux 2025\Classe 6\301 P-DOMERCQ\LOT 03 - LES PEINTURES PARISIENNES\0551</t>
  </si>
  <si>
    <t>06,2025 DE019397</t>
  </si>
  <si>
    <t>peinture cage d'escalier R+2</t>
  </si>
  <si>
    <t>L:\Services\SERVICE_DES_TRAVAUX\_NEW SERVEUR DPT\2000_PLAN TVX COURANT cl2-cl6\2025\130 Suivi plan de travaux 2025\Classe 6\301 P-DOMERCQ\LOT 03 - LES PEINTURES PARISIENNES\0552</t>
  </si>
  <si>
    <t>8942</t>
  </si>
  <si>
    <t>depose cloison er reprise plafond par dalles locaux humides</t>
  </si>
  <si>
    <t>2025/3022</t>
  </si>
  <si>
    <t>axe des rideaux mettaliques secretariat</t>
  </si>
  <si>
    <t>L:\Services\SERVICE_DES_TRAVAUX\_NEW SERVEUR DPT\2000_PLAN TVX COURANT cl2-cl6\2025\130 Suivi plan de travaux 2025\Classe 6\301 P-DOMERCQ\LOT 10 - FDS CORPUS - METALLERIE\0554</t>
  </si>
  <si>
    <t>DV-2253224A</t>
  </si>
  <si>
    <t>Création alimentation électrique pour les 2 rideaux métalliques de  sécurisation pour 4 places des voitures de services</t>
  </si>
  <si>
    <t>L:\Services\SERVICE_DES_TRAVAUX\_NEW SERVEUR DPT\2000_PLAN TVX COURANT cl2-cl6\2025\130 Suivi plan de travaux 2025\Classe 6\303 R-MERONI\LOT 04- TBES - ELECTRICITE CFO-CFA\0555 Boindy gallieni alim rideaux parking</t>
  </si>
  <si>
    <t>324030296</t>
  </si>
  <si>
    <t>Désenfumage - Remplacement des grilles de VCF</t>
  </si>
  <si>
    <t>validé apres info de PB
BDC envoyé</t>
  </si>
  <si>
    <t>Dievrs</t>
  </si>
  <si>
    <t>SO25-004119</t>
  </si>
  <si>
    <t>Verrou SERSYS Serrure motorisée</t>
  </si>
  <si>
    <t>0205</t>
  </si>
  <si>
    <t>T2025014 EX-IFSI  DAHL</t>
  </si>
  <si>
    <t>Logistique</t>
  </si>
  <si>
    <t>124968</t>
  </si>
  <si>
    <r>
      <t xml:space="preserve">Aménagement des bureaux de la DAHL en vue de leur transfert pendant les travaux du pôle santé </t>
    </r>
    <r>
      <rPr>
        <b/>
        <sz val="11"/>
        <color theme="1"/>
        <rFont val="Calibri"/>
        <family val="2"/>
        <scheme val="minor"/>
      </rPr>
      <t>:Portes;plinthes,habillages ,vitres</t>
    </r>
  </si>
  <si>
    <t>L:\Services\SERVICE_DES_TRAVAUX\_NEW SERVEUR DPT\2000_PLAN TVX COURANT cl2-cl6\2025\130 Suivi plan de travaux 2025\Classe 2\T2025014  Ex IFSI DAHL\DEVIS</t>
  </si>
  <si>
    <t>8928</t>
  </si>
  <si>
    <r>
      <t xml:space="preserve">Aménagement des bureaux de la DAHL en vue de leur transfert pendant les travaux du pôle santé: </t>
    </r>
    <r>
      <rPr>
        <b/>
        <sz val="11"/>
        <color theme="1"/>
        <rFont val="Calibri"/>
        <family val="2"/>
        <scheme val="minor"/>
      </rPr>
      <t>Cloisonnement  Bx</t>
    </r>
  </si>
  <si>
    <t>DV-2253161</t>
  </si>
  <si>
    <r>
      <t xml:space="preserve">Aménagement des bureaux de la DAHL en vue de leur transfert pendant les travaux du pôle santé: </t>
    </r>
    <r>
      <rPr>
        <b/>
        <sz val="11"/>
        <color theme="1"/>
        <rFont val="Calibri"/>
        <family val="2"/>
        <scheme val="minor"/>
      </rPr>
      <t>Electricité</t>
    </r>
    <r>
      <rPr>
        <sz val="11"/>
        <color theme="1"/>
        <rFont val="Calibri"/>
        <family val="2"/>
        <scheme val="minor"/>
      </rPr>
      <t xml:space="preserve"> </t>
    </r>
  </si>
  <si>
    <t>06,2025 DE019361</t>
  </si>
  <si>
    <r>
      <t xml:space="preserve">Aménagement des bureaux de la DAHL en vue de leur transfert pendant les travaux du pôle santé </t>
    </r>
    <r>
      <rPr>
        <b/>
        <sz val="11"/>
        <color theme="1"/>
        <rFont val="Calibri"/>
        <family val="2"/>
        <scheme val="minor"/>
      </rPr>
      <t xml:space="preserve">Peinture 1 er étage </t>
    </r>
  </si>
  <si>
    <t>06,2025 DE019358</t>
  </si>
  <si>
    <r>
      <t xml:space="preserve">Aménagement des bureaux de la DAHL en vue de leur transfert pendant les travaux du pôle santé </t>
    </r>
    <r>
      <rPr>
        <b/>
        <sz val="11"/>
        <color theme="1"/>
        <rFont val="Calibri"/>
        <family val="2"/>
        <scheme val="minor"/>
      </rPr>
      <t>Peinture</t>
    </r>
    <r>
      <rPr>
        <sz val="11"/>
        <color theme="1"/>
        <rFont val="Calibri"/>
        <family val="2"/>
        <scheme val="minor"/>
      </rPr>
      <t xml:space="preserve"> </t>
    </r>
    <r>
      <rPr>
        <b/>
        <sz val="11"/>
        <color theme="1"/>
        <rFont val="Calibri"/>
        <family val="2"/>
        <scheme val="minor"/>
      </rPr>
      <t>RDC</t>
    </r>
  </si>
  <si>
    <t>DV-2253397</t>
  </si>
  <si>
    <t>mise en place de  colonne GT dans bureau AS suite rajout de poste</t>
  </si>
  <si>
    <t>L:\Services\SERVICE_DES_TRAVAUX\_NEW SERVEUR DPT\2000_PLAN TVX COURANT cl2-cl6\2025\130 Suivi plan de travaux 2025\Classe 6\301 P-DOMERCQ\LOT 04- TBES - ELECTRICITE CFO-CFA\0563</t>
  </si>
  <si>
    <t>DK250607330</t>
  </si>
  <si>
    <t xml:space="preserve">Intrevention sur pompe relevage quai de livraison </t>
  </si>
  <si>
    <t>DK250607327</t>
  </si>
  <si>
    <t xml:space="preserve">Regul intervention sur pompe de relevage </t>
  </si>
  <si>
    <t>21351300 - IGAAC : Matériel Froid (clim bâtiment)</t>
  </si>
  <si>
    <t>T2025020 NOISY SEC CLIM</t>
  </si>
  <si>
    <t>D2506054/MA</t>
  </si>
  <si>
    <t>F&amp;P d'une climatisation au 3 eme étage dans salle psychomotricité (Pateaugeoire Enfants)</t>
  </si>
  <si>
    <t>L:\Services\SERVICE_DES_TRAVAUX\_NEW SERVEUR DPT\2000_PLAN TVX COURANT cl2-cl6\2025\130 Suivi plan de travaux 2025\Classe 2\T2025020 Climatisation Noisy Sec Union</t>
  </si>
  <si>
    <t>125005</t>
  </si>
  <si>
    <t xml:space="preserve">protection des 6 doubles portes DAS </t>
  </si>
  <si>
    <t>L:\Services\SERVICE_DES_TRAVAUX\_NEW SERVEUR DPT\2000_PLAN TVX COURANT cl2-cl6\2025\130 Suivi plan de travaux 2025\Classe 2\T2025007- Portes DAS CB2\0565</t>
  </si>
  <si>
    <t>DV-2253436</t>
  </si>
  <si>
    <t>ctrl d'acces bibiotheque CB2</t>
  </si>
  <si>
    <t>L:\Services\SERVICE_DES_TRAVAUX\_NEW SERVEUR DPT\2000_PLAN TVX COURANT cl2-cl6\2025\130 Suivi plan de travaux 2025\Classe 6\301 P-DOMERCQ\LOT 04- TBES - ELECTRICITE CFO-CFA\0567</t>
  </si>
  <si>
    <t>T2025007 PORTES DAS CB2</t>
  </si>
  <si>
    <t>DV-2253177</t>
  </si>
  <si>
    <t>cablage portes DAS ctrl d'acces et verrou automatique GROOM</t>
  </si>
  <si>
    <t>L:\Services\SERVICE_DES_TRAVAUX\_NEW SERVEUR DPT\2000_PLAN TVX COURANT cl2-cl6\2025\130 Suivi plan de travaux 2025\Classe 2\T2025007- Portes DAS CB2</t>
  </si>
  <si>
    <t>fin prevu pour le 27/06/25</t>
  </si>
  <si>
    <t>8823</t>
  </si>
  <si>
    <t>EMP</t>
  </si>
  <si>
    <t>DE-2507-47</t>
  </si>
  <si>
    <t>Remplacement climatisation bureau infirmier  sect3</t>
  </si>
  <si>
    <t>Bdc envoyé</t>
  </si>
  <si>
    <t>120000243</t>
  </si>
  <si>
    <t>Remplacement lisse articulée suite dégradation par ambulance</t>
  </si>
  <si>
    <t>L:\Services\SERVICE_DES_TRAVAUX\_NEW SERVEUR DPT\2000_PLAN TVX COURANT cl2-cl6\2025\130 Suivi plan de travaux 2025\Classe 6\503 P-EPIS\CONT_220024_lot08_VULCAIN Barriere-Porte Auto\D-0571 MONTREUIL I03  remplace. barriére</t>
  </si>
  <si>
    <t>12000244</t>
  </si>
  <si>
    <t>régularisation sur sécurisation barriere accidentée par ambulance le 16-06-2025.</t>
  </si>
  <si>
    <t>L:\Services\SERVICE_DES_TRAVAUX\_NEW SERVEUR DPT\2000_PLAN TVX COURANT cl2-cl6\2025\130 Suivi plan de travaux 2025\Classe 6\503 P-EPIS\CONT_220024_lot08_VULCAIN Barriere-Porte Auto\D-0572 MONTREUIL barriére touché par ambulance sécurisation</t>
  </si>
  <si>
    <t xml:space="preserve">  1540</t>
  </si>
  <si>
    <t>12000183</t>
  </si>
  <si>
    <t xml:space="preserve">Régule inter; du 28-05-25 sur porte expedition 70-04 </t>
  </si>
  <si>
    <t>L:\Services\SERVICE_DES_TRAVAUX\_NEW SERVEUR DPT\2000_PLAN TVX COURANT cl2-cl6\2025\130 Suivi plan de travaux 2025\Classe 6\503 P-EPIS\CONT_220024_lot08_VULCAIN Barriere-Porte Auto\D-0573 UCP porte couli. Hall entrée vestiaire</t>
  </si>
  <si>
    <t>12000188</t>
  </si>
  <si>
    <t>Régule inter du 25-02-25 sur portillon 08-03</t>
  </si>
  <si>
    <t>L:\Services\SERVICE_DES_TRAVAUX\_NEW SERVEUR DPT\2000_PLAN TVX COURANT cl2-cl6\2025\130 Suivi plan de travaux 2025\Classe 6\503 P-EPIS\CONT_220024_lot08_VULCAIN Barriere-Porte Auto\D-0574  BONDY portillon</t>
  </si>
  <si>
    <t>25 - 0187</t>
  </si>
  <si>
    <t>regul remplacement joints douche  par epoxy ch 121 G01</t>
  </si>
  <si>
    <t>L:\Services\SERVICE_DES_TRAVAUX\_NEW SERVEUR DPT\2000_PLAN TVX COURANT cl2-cl6\2025\130 Suivi plan de travaux 2025\Classe 6\301 P-DOMERCQ\LOT 01 - SANICOTHERM - MACONNERIE\0573</t>
  </si>
  <si>
    <t>325050393</t>
  </si>
  <si>
    <t>Régul Défaut SSI</t>
  </si>
  <si>
    <t>25-0165</t>
  </si>
  <si>
    <t>Réfection des briquettes de parement sur la façade arriere</t>
  </si>
  <si>
    <t>L:\Services\SERVICE_DES_TRAVAUX\_NEW SERVEUR DPT\2000_PLAN TVX COURANT cl2-cl6\2025\130 Suivi plan de travaux 2025\Classe 6\303 R-MERONI\LOT 01 - SANICOTHERM - MACONNERIE\0577 Parement Périnatalité</t>
  </si>
  <si>
    <t>325060526</t>
  </si>
  <si>
    <t>Régul Défaut batterie SSI</t>
  </si>
  <si>
    <t>DE250600574</t>
  </si>
  <si>
    <t xml:space="preserve">Creation d un reseau aerolique </t>
  </si>
  <si>
    <t>L:\Services\SERVICE_DES_TRAVAUX\_NEW SERVEUR DPT\2000_PLAN TVX COURANT cl2-cl6\2025\130 Suivi plan de travaux 2025\Classe 6\504 D-PAQUIN\CONT_202500006_JM_EAU-PLUS</t>
  </si>
  <si>
    <t>emmanuel puis je avoir une explication
bdc envoyé</t>
  </si>
  <si>
    <t>325060570</t>
  </si>
  <si>
    <t>Régul défaut SSI</t>
  </si>
  <si>
    <t>T2024020 ASINERIE</t>
  </si>
  <si>
    <t>124942</t>
  </si>
  <si>
    <t>Asinerie:F&amp;P d'un  petit chassis suite 1 ere intervention du grand chassis vitré</t>
  </si>
  <si>
    <t>Devis 25.V-EVRARD.5.009</t>
  </si>
  <si>
    <t>Terrassements pour recherche de fuite sur réseau d'eau entterré dans chaussée située entre bat 51 et 36, y compris toutes sujétions de remise  en état des voiries (regularisation tvx réalisés en mars)</t>
  </si>
  <si>
    <t>L:\Services\SERVICE_DES_TRAVAUX\_NEW SERVEUR DPT\2000_PLAN TVX COURANT cl2-cl6\2025\130 Suivi plan de travaux 2025\Classe 6\504 D-PAQUIN\MBC_LOT09 SNTPP</t>
  </si>
  <si>
    <t>6655/25</t>
  </si>
  <si>
    <t>Régularisation d'intervention du 05-06-2025 sur ch.108 G2 1Et G02</t>
  </si>
  <si>
    <t>L:\Services\SERVICE_DES_TRAVAUX\_NEW SERVEUR DPT\2000_PLAN TVX COURANT cl2-cl6\2025\130 Suivi plan de travaux 2025\Classe 6\503 P-EPIS\MBC_LOT08 ABPSI\D- 583  Auber G02 ch 108</t>
  </si>
  <si>
    <t>2025/3068</t>
  </si>
  <si>
    <t>verriere adicto</t>
  </si>
  <si>
    <t>L:\Services\SERVICE_DES_TRAVAUX\_NEW SERVEUR DPT\2000_PLAN TVX COURANT cl2-cl6\2025\130 Suivi plan de travaux 2025\Classe 6\301 P-DOMERCQ\LOT 10 - FDS CORPUS - METALLERIE\0582</t>
  </si>
  <si>
    <t>2025/2951</t>
  </si>
  <si>
    <t>mise en securité terrasse garde corps</t>
  </si>
  <si>
    <t>L:\Services\SERVICE_DES_TRAVAUX\_NEW SERVEUR DPT\2000_PLAN TVX COURANT cl2-cl6\2025\130 Suivi plan de travaux 2025\Classe 6\301 P-DOMERCQ\LOT 10 - FDS CORPUS - METALLERIE\0425 CHD</t>
  </si>
  <si>
    <t>124920</t>
  </si>
  <si>
    <r>
      <t xml:space="preserve">Aménagement de la chambre de garde médicale au 2 eme étage: </t>
    </r>
    <r>
      <rPr>
        <b/>
        <sz val="11"/>
        <color theme="1"/>
        <rFont val="Calibri"/>
        <family val="2"/>
        <scheme val="minor"/>
      </rPr>
      <t xml:space="preserve"> F&amp;P porte SDB</t>
    </r>
  </si>
  <si>
    <t>L:\Services\SERVICE_DES_TRAVAUX\_NEW SERVEUR DPT\2000_PLAN TVX COURANT cl2-cl6\2025\130 Suivi plan de travaux 2025\Classe 2\T2025016 Ch de Gardes\Montreuil Boissiere\0585 AEB Chambre garde</t>
  </si>
  <si>
    <t>95D250121</t>
  </si>
  <si>
    <t>Travaux preparatoires espaces verts pole santé - abattage</t>
  </si>
  <si>
    <t>DV-225002</t>
  </si>
  <si>
    <r>
      <t xml:space="preserve">Passage de 4P. Torsadées CB1-CB2 + CB1/CB3   pour amélioration et sécurisation du sytéme DATI/PTI
</t>
    </r>
    <r>
      <rPr>
        <sz val="11"/>
        <color rgb="FFFF0000"/>
        <rFont val="Calibri"/>
        <family val="2"/>
        <scheme val="minor"/>
      </rPr>
      <t>ATTENTION TVA à  20 % sur devis</t>
    </r>
    <r>
      <rPr>
        <sz val="11"/>
        <color theme="1"/>
        <rFont val="Calibri"/>
        <family val="2"/>
        <scheme val="minor"/>
      </rPr>
      <t xml:space="preserve">     </t>
    </r>
    <r>
      <rPr>
        <b/>
        <sz val="11"/>
        <color rgb="FFFF0000"/>
        <rFont val="Calibri"/>
        <family val="2"/>
        <scheme val="minor"/>
      </rPr>
      <t>3064,20 TTC</t>
    </r>
  </si>
  <si>
    <t>L:\Services\SERVICE_DES_TRAVAUX\_NEW SERVEUR DPT\2000_PLAN TVX COURANT cl2-cl62025\130 Suivi plan de travaux 2025\Classe 6\503 P-EPIS\MBC_LOT04 TBES</t>
  </si>
  <si>
    <t>325060778</t>
  </si>
  <si>
    <t>Régul défaut dialogue TRA ECS1</t>
  </si>
  <si>
    <t>8597</t>
  </si>
  <si>
    <t>Bargue</t>
  </si>
  <si>
    <t>6716/25</t>
  </si>
  <si>
    <t>Régul suite urgence pour réparation VR de la porte de la cour arriere</t>
  </si>
  <si>
    <t>L:\Services\SERVICE_DES_TRAVAUX\_NEW SERVEUR DPT\2000_PLAN TVX COURANT cl2-cl6\2025\130 Suivi plan de travaux 2025\Classe 6\303 R-MERONI\LOT 08 - ABPSI -STORES\0590  Montfermeil Bargue Urgence</t>
  </si>
  <si>
    <t>6577/25 modifié</t>
  </si>
  <si>
    <t>Suite demande du chef de pole: à CD  :  F&amp;Pose de films calorifique  "réflective"sur les vitrages les plus exposés de la Comete 2 eme étage</t>
  </si>
  <si>
    <t>L:\Services\SERVICE_DES_TRAVAUX\_NEW SERVEUR DPT\2000_PLAN TVX COURANT cl2-cl6\2025\130 Suivi plan de travaux 2025\Classe 6\303 R-MERONI\LOT 08 - ABPSI -STORES\0591  Montreuil 2 e etge  Films Thermiques</t>
  </si>
  <si>
    <t>T2025005 APPARTEMENT UNIRR</t>
  </si>
  <si>
    <t>124964</t>
  </si>
  <si>
    <t xml:space="preserve">F &amp; Pose des plinthes bois </t>
  </si>
  <si>
    <t>L:\Services\SERVICE_DES_TRAVAUX\_NEW SERVEUR DPT\2000_PLAN TVX COURANT cl2-cl6\2025\130 Suivi plan de travaux 2025\Classe 2\T2025005 Appartement  Unirre-Care\0592  Devis AEB plinthes Bois</t>
  </si>
  <si>
    <t>BIR</t>
  </si>
  <si>
    <t>O.T.17315- N°71246</t>
  </si>
  <si>
    <t>Degazage du reseau gaz zone perenne</t>
  </si>
  <si>
    <t>L:\Services\SERVICE_DES_TRAVAUX\_NEW SERVEUR DPT\1000_OPE TVX STRAT\2019.11 POLE SANTE\04 SUIVI TECHNIQUE\049 CHANTIER\0495 CHANTIER\Degazage du reseau</t>
  </si>
  <si>
    <t>25,0167R1</t>
  </si>
  <si>
    <t xml:space="preserve">demolition diverses </t>
  </si>
  <si>
    <t>L:\Services\SERVICE_DES_TRAVAUX\_NEW SERVEUR DPT\2000_PLAN TVX COURANT cl2-cl6\2025\130 Suivi plan de travaux 2025\Classe 2\T2025018 appartement cours communs</t>
  </si>
  <si>
    <t>T2025017 BOXES INTERNAT</t>
  </si>
  <si>
    <t>D2507068/MA</t>
  </si>
  <si>
    <t>Suite création 3 eme box F&amp;Pose de 2 radiateurs et création d'un point d'eau de lavage</t>
  </si>
  <si>
    <t>L:\Services\SERVICE_DES_TRAVAUX\_NEW SERVEUR DPT\2000_PLAN TVX COURANT cl2-cl6\2025\130 Suivi plan de travaux 2025\Classe 2\T2025017 Internat Stockage Dahl\0595 BSMG 3 eme Box</t>
  </si>
  <si>
    <t>25-0120 R2</t>
  </si>
  <si>
    <t xml:space="preserve">Création d'un 3 eme Box de Stockage y compris toutes sujétions s'y </t>
  </si>
  <si>
    <t>L:\Services\SERVICE_DES_TRAVAUX\_NEW SERVEUR DPT\2000_PLAN TVX COURANT cl2-cl6\2025\130 Suivi plan de travaux 2025\Classe 2\T2025017 Internat Stockage Dahl\0596 Sanic 3 eme Box</t>
  </si>
  <si>
    <t>C25106098-1-</t>
  </si>
  <si>
    <t>COMPENSATEUR DE DILAT  DEPART VAP UGT GALERIE TOURAINE-11-06-2025</t>
  </si>
  <si>
    <t>L:\Services\SERVICE_DES_TRAVAUX\_NEW SERVEUR DPT\2000_PLAN TVX COURANT cl2-cl6\2025\130 Suivi plan de travaux 2025\Classe 6\501 E-MINGANT\CONT_190023_lot00_DALKIA\0597</t>
  </si>
  <si>
    <t>C25106117-1_</t>
  </si>
  <si>
    <t>SERVOMOTEUR ECHANGEUR VAP 1 ET 3 SST MANIVELLES-11-06-2025</t>
  </si>
  <si>
    <t>L:\Services\SERVICE_DES_TRAVAUX\_NEW SERVEUR DPT\2000_PLAN TVX COURANT cl2-cl6\2025\130 Suivi plan de travaux 2025\Classe 6\501 E-MINGANT\CONT_190023_lot00_DALKIA\0598</t>
  </si>
  <si>
    <t>bdc 856921 annulé P3</t>
  </si>
  <si>
    <t>438429942</t>
  </si>
  <si>
    <t>Demande de dépannage appareil 1940636</t>
  </si>
  <si>
    <t>L:\Services\SERVICE_DES_TRAVAUX\_NEW SERVEUR DPT\2000_PLAN TVX COURANT cl2-cl6\2025\130 Suivi plan de travaux 2025\Classe 6\501 E-MINGANT\CONT_220026_lot01_SCHINDLER\0599</t>
  </si>
  <si>
    <t>marion-romain TVA à 20% (EM)
BDC ENVOYE</t>
  </si>
  <si>
    <t>438430267</t>
  </si>
  <si>
    <t>Demande de dépannage appareil 1940637</t>
  </si>
  <si>
    <t>L:\Services\SERVICE_DES_TRAVAUX\_NEW SERVEUR DPT\2000_PLAN TVX COURANT cl2-cl6\2025\130 Suivi plan de travaux 2025\Classe 6\501 E-MINGANT\CONT_220026_lot01_SCHINDLER\0600</t>
  </si>
  <si>
    <t>Demande d'intervention de dépannage de Mme
BALTYDE en date du 04.04.2025 et en raison d'un appareil 1940636 en panne
usager en cabine.</t>
  </si>
  <si>
    <t>L:\Services\SERVICE_DES_TRAVAUX\_NEW SERVEUR DPT\2000_PLAN TVX COURANT cl2-cl6\2025\130 Suivi plan de travaux 2025\Classe 6\501 E-MINGANT\CONT_220026_lot01_SCHINDLER\0601</t>
  </si>
  <si>
    <t>DCO25060118</t>
  </si>
  <si>
    <t>MESURE CONESRVATOIRE POUR ENTRETIEN</t>
  </si>
  <si>
    <t>L:\Services\SERVICE_DES_TRAVAUX\_NEW SERVEUR DPT\2000_PLAN TVX COURANT cl2-cl6\2025\130 Suivi plan de travaux 2025\Classe 6\301 P-DOMERCQ\LOT 07 - SCHNEIDER - COUVERTURE\0602 adicto</t>
  </si>
  <si>
    <t>25 - 0189</t>
  </si>
  <si>
    <t>renovation 6 dalles sur plots</t>
  </si>
  <si>
    <t>L:\Services\SERVICE_DES_TRAVAUX\_NEW SERVEUR DPT\2000_PLAN TVX COURANT cl2-cl6\2025\130 Suivi plan de travaux 2025\Classe 6\301 P-DOMERCQ\LOT 01 - SANICOTHERM - MACONNERIE\0603 dalles sur plots st denis RR</t>
  </si>
  <si>
    <t>DV-2253567</t>
  </si>
  <si>
    <t xml:space="preserve">changement des deux digicodes de l'entrée NSM </t>
  </si>
  <si>
    <t>118739-268</t>
  </si>
  <si>
    <t xml:space="preserve"> fenetres logement plombiers </t>
  </si>
  <si>
    <t>L:\Services\SERVICE_DES_TRAVAUX\_NEW SERVEUR DPT\2000_PLAN TVX COURANT cl2-cl6\2025\130 Suivi plan de travaux 2025\Classe 2\T2025018-1 appartement cours communs clos couvert</t>
  </si>
  <si>
    <t>en attnet d evalidation archi et art et bois</t>
  </si>
  <si>
    <t>6741/25</t>
  </si>
  <si>
    <t xml:space="preserve">POSE STORES BUREAUX SOIGNANTS </t>
  </si>
  <si>
    <t>L:\Services\SERVICE_DES_TRAVAUX\_NEW SERVEUR DPT\2000_PLAN TVX COURANT cl2-cl6\2025\130 Suivi plan de travaux 2025\Classe 6\302 M-ALEVEQUE\LOT 08 - ABPSI -STORES\608 DAUPHINE</t>
  </si>
  <si>
    <t>Peupliers Tournesols</t>
  </si>
  <si>
    <t>325060924</t>
  </si>
  <si>
    <t>Ouverture de ligne SSI</t>
  </si>
  <si>
    <t>Sonthonax</t>
  </si>
  <si>
    <t>325065358</t>
  </si>
  <si>
    <t>Remplacement d'un DAI</t>
  </si>
  <si>
    <t>Gestion COmmune</t>
  </si>
  <si>
    <t>325065431</t>
  </si>
  <si>
    <t>Prog, Cablage IA et remplacement batteries</t>
  </si>
  <si>
    <t>DE019351</t>
  </si>
  <si>
    <t xml:space="preserve">peinture  appartement </t>
  </si>
  <si>
    <t>L:\Services\SERVICE_DES_TRAVAUX\_NEW SERVEUR DPT\2000_PLAN TVX COURANT cl2-cl6\2025\130 Suivi plan de travaux 2025\Classe 2\T2025018 appartement cours communs\LPP</t>
  </si>
  <si>
    <t>DE 019347</t>
  </si>
  <si>
    <t>05/0625</t>
  </si>
  <si>
    <t xml:space="preserve">sol appartement </t>
  </si>
  <si>
    <t>00480488</t>
  </si>
  <si>
    <t>prelevements Epinay HJ Jaures</t>
  </si>
  <si>
    <t>L:\Services\SERVICE_DES_TRAVAUX\_NEW SERVEUR DPT\2000_PLAN TVX COURANT cl2-cl6\2025\130 Suivi plan de travaux 2025\Classe 6\301 P-DOMERCQ\AC environnement</t>
  </si>
  <si>
    <t>8203</t>
  </si>
  <si>
    <t>Vendée</t>
  </si>
  <si>
    <t>Secrétariat</t>
  </si>
  <si>
    <t>6335/25</t>
  </si>
  <si>
    <t>Poses de stores vénitien dans différents bureaux</t>
  </si>
  <si>
    <t>L:\Services\SERVICE_DES_TRAVAUX\_NEW SERVEUR DPT\2000_PLAN TVX COURANT cl2-cl6\2025\130 Suivi plan de travaux 2025\Classe 6\502 A-CARPINTEIRO\MBC_LOT08 ABPSI\0614</t>
  </si>
  <si>
    <t>la demande n'était pas enregistrer</t>
  </si>
  <si>
    <t>8617</t>
  </si>
  <si>
    <t>125025</t>
  </si>
  <si>
    <t>Fourniture et pose de 2 stores vénitiens</t>
  </si>
  <si>
    <t>L:\Services\SERVICE_DES_TRAVAUX\_NEW SERVEUR DPT\2000_PLAN TVX COURANT cl2-cl6\2025\130 Suivi plan de travaux 2025\Classe 6\502 A-CARPINTEIRO\MBC_LOT02 AELB\0615</t>
  </si>
  <si>
    <t>attention tva à 10%
BDC ENVOYE</t>
  </si>
  <si>
    <t>062025DE019341</t>
  </si>
  <si>
    <t>travaux Pole prioritaire:pose de dalles amortissantes</t>
  </si>
  <si>
    <t>L:\Services\SERVICE_DES_TRAVAUX\_NEW SERVEUR DPT\2000_PLAN TVX COURANT cl2-cl6\2025\130 Suivi plan de travaux 2025\Classe 6\303 R-MERONI\LOT 03 - LES PEINTURES PARISIENNES\616  Perinatalité Dalles ext</t>
  </si>
  <si>
    <t>00480468</t>
  </si>
  <si>
    <t xml:space="preserve">diag  amiante </t>
  </si>
  <si>
    <t>L:\Services\SERVICE_DES_TRAVAUX\_NEW SERVEUR DPT\2000_PLAN TVX COURANT cl2-cl6\2025\130 Suivi plan de travaux 2025\Classe 2\T2025018 appartement cours communs\ac environement</t>
  </si>
  <si>
    <t>8929</t>
  </si>
  <si>
    <t xml:space="preserve">cloisons appartement </t>
  </si>
  <si>
    <t>L:\Services\SERVICE_DES_TRAVAUX\_NEW SERVEUR DPT\2000_PLAN TVX COURANT cl2-cl6\2025\130 Suivi plan de travaux 2025\Classe 2\T2025018 appartement cours communs\AC2P</t>
  </si>
  <si>
    <t>THEMISS</t>
  </si>
  <si>
    <t>DV-25-07-055 V2</t>
  </si>
  <si>
    <t>Mission de coordination SSI reception ascenseur</t>
  </si>
  <si>
    <t>DEVIS-22333</t>
  </si>
  <si>
    <t xml:space="preserve">remplacement compteur a impulsion </t>
  </si>
  <si>
    <t>Attention TVA a 20
BDC ENVOYE</t>
  </si>
  <si>
    <t>DEVIS-22359</t>
  </si>
  <si>
    <t>Remplacement adoucisseur lave vaisselle</t>
  </si>
  <si>
    <t>DEVIS-22360</t>
  </si>
  <si>
    <t xml:space="preserve">Remplacement adoucisseur en chaufferie </t>
  </si>
  <si>
    <t>324115108</t>
  </si>
  <si>
    <t>Mise en place 13 casquettes de protections et 43 boutons réarmement PCF + remplacement ED4L</t>
  </si>
  <si>
    <t>merci de vu le 05-11 avec PB
BDC ENVOYE</t>
  </si>
  <si>
    <t>06-2025 DE019545</t>
  </si>
  <si>
    <t>Peinture future salle de soins (ex-local syndical)</t>
  </si>
  <si>
    <t>L:\Services\SERVICE_DES_TRAVAUX\_NEW SERVEUR DPT\2000_PLAN TVX COURANT cl2-cl6\2025\130 Suivi plan de travaux 2025\Classe 6\303 R-MERONI\LOT 03 - LES PEINTURES PARISIENNES\0624  Montreuil Jean Macé émile Beaufils</t>
  </si>
  <si>
    <t>compte 61522
BDC ENVOYE</t>
  </si>
  <si>
    <t>40614817</t>
  </si>
  <si>
    <t>Abonnement Travaux du Pôle Santé</t>
  </si>
  <si>
    <t>bdc annulé</t>
  </si>
  <si>
    <t>325075068</t>
  </si>
  <si>
    <t>Remplacement 6 batteries</t>
  </si>
  <si>
    <t>325075074</t>
  </si>
  <si>
    <t>Remplacement face avant ECS</t>
  </si>
  <si>
    <t>2253628</t>
  </si>
  <si>
    <t xml:space="preserve">refection electricité logement </t>
  </si>
  <si>
    <t>L:\Services\SERVICE_DES_TRAVAUX\_NEW SERVEUR DPT\2000_PLAN TVX COURANT cl2-cl6\2025\130 Suivi plan de travaux 2025\Classe 2\T2025018 appartement cours communs\TBES</t>
  </si>
  <si>
    <t>T2025014 DAHL EX IFSI</t>
  </si>
  <si>
    <t>DV2253161</t>
  </si>
  <si>
    <t>TS suite transfert de la Dahl:Création 18 RJ45 +remaniements dans anciens bureaux Rdch avec dépose des poteaux centraux</t>
  </si>
  <si>
    <t>D2507038/MA</t>
  </si>
  <si>
    <t>Remplacement de la robinetterie de la future salle de soins (modèle avec déclenchement au coude)</t>
  </si>
  <si>
    <t>L:\Services\SERVICE_DES_TRAVAUX\_NEW SERVEUR DPT\2000_PLAN TVX COURANT cl2-cl6\2025\130 Suivi plan de travaux 2025\Classe 6\303 R-MERONI\LOT 05 - BSMG - CVC\I03\0630 Devis BSMG mitigeur Salle de soins</t>
  </si>
  <si>
    <t xml:space="preserve">FTM 47 IND 0 </t>
  </si>
  <si>
    <t>Ajout d'une goulotte MEOPA - Alimentation et raccordement des fauteuils dentaires au compresseur - alimentation et distribution de 3 prises AC</t>
  </si>
  <si>
    <t>\\SRV-EPS-fai11.epsve.local\DPT\Services\SERVICE_DES_TRAVAUX\_NEW SERVEUR DPT\2000_PLAN TVX COURANT cl2-cl6\2025\130 Suivi plan de travaux 2025\Classe 2\opération AMT\GPF_FM+MEOPA\631</t>
  </si>
  <si>
    <t>6026311 - Classe 6 Sécurité incendie</t>
  </si>
  <si>
    <t>8930</t>
  </si>
  <si>
    <t>Dépose tête de cloison dans salle adaptée - rajout de renfort local panoramique</t>
  </si>
  <si>
    <t>\\SRV-EPS-fai11.epsve.local\DPT\Services\SERVICE_DES_TRAVAUX\_NEW SERVEUR DPT\2000_PLAN TVX COURANT cl2-cl6\2025\130 Suivi plan de travaux 2025\Classe 2\opération AMT\AC2P\632</t>
  </si>
  <si>
    <t>DV-2253479</t>
  </si>
  <si>
    <t>Suite demande expresse de l'Informatique:F&amp;Pose d'une Platine  Castel</t>
  </si>
  <si>
    <t>\\SRV-EPS-fai11.epsve.local\DPT\Services\SERVICE_DES_TRAVAUX\_NEW SERVEUR DPT\2000_PLAN TVX COURANT cl2-cl6\2025\130 Suivi plan de travaux 2025\Classe 6\303 R-MERONI\LOT 04- TBES - ELECTRICITE CFO-CFA\0633 TBES platine castel emile beaufils</t>
  </si>
  <si>
    <t xml:space="preserve">compte 61522
BDC ENVOYE
</t>
  </si>
  <si>
    <t>DE-2509-26</t>
  </si>
  <si>
    <t xml:space="preserve">Remplacement groupe climatisation </t>
  </si>
  <si>
    <t>TVA 0,2sur devis
bdc envoyé</t>
  </si>
  <si>
    <t>DE-25096-20</t>
  </si>
  <si>
    <t>Remplacement coupure de proximite climatisation CI</t>
  </si>
  <si>
    <t>D2507066/MA</t>
  </si>
  <si>
    <t xml:space="preserve">creation baignoire et alimentaion pour lave linge </t>
  </si>
  <si>
    <t>L:\Services\SERVICE_DES_TRAVAUX\_NEW SERVEUR DPT\2000_PLAN TVX COURANT cl2-cl6\2025\130 Suivi plan de travaux 2025\Classe 6\302 M-ALEVEQUE\LOT 05 - BSMG - CVC\0636 Hirondells</t>
  </si>
  <si>
    <t>10004263</t>
  </si>
  <si>
    <t xml:space="preserve">régule du 03-10-2024/ BA: 108359.
Remplacement dela lisse + herse basse barriére sortie VE </t>
  </si>
  <si>
    <t>12000262</t>
  </si>
  <si>
    <t>Remplacement delalogique de commande du portail CB3 N°</t>
  </si>
  <si>
    <t>12000345</t>
  </si>
  <si>
    <t>régule intervention du 25-06-2025 sur portail accés parking aérien</t>
  </si>
  <si>
    <t>12000350</t>
  </si>
  <si>
    <t>régule intervention du 26-06-2025 sur portail ambulance 48-03</t>
  </si>
  <si>
    <t>12000354</t>
  </si>
  <si>
    <t>remplacement Arrêt d'urgence portail ambulance 48-03</t>
  </si>
  <si>
    <t>12000365</t>
  </si>
  <si>
    <t>Régule intervention du 01-07-2025 sur barriére sortie</t>
  </si>
  <si>
    <t>12000387</t>
  </si>
  <si>
    <t>fourniture et mise en place d'un arceau de protection pour moteur portail ambulance 48-03</t>
  </si>
  <si>
    <t>6779/25</t>
  </si>
  <si>
    <t>stores adicto</t>
  </si>
  <si>
    <t>L:\Services\SERVICE_DES_TRAVAUX\_NEW SERVEUR DPT\2000_PLAN TVX COURANT cl2-cl6\2025\130 Suivi plan de travaux 2025\Classe 6\301 P-DOMERCQ\LOT 08 - ABPSI -STORES\0644</t>
  </si>
  <si>
    <t>25-0216</t>
  </si>
  <si>
    <t>Réparation carrelage local ménage</t>
  </si>
  <si>
    <t>L:\Services\SERVICE_DES_TRAVAUX\_NEW SERVEUR DPT\2000_PLAN TVX COURANT cl2-cl6\2025\130 Suivi plan de travaux 2025\Classe 6\301 P-DOMERCQ\LOT 01 - SANICOTHERM - MACONNERIE\0645</t>
  </si>
  <si>
    <t>25 0031R3</t>
  </si>
  <si>
    <t xml:space="preserve">Réparation sol exterieur cour </t>
  </si>
  <si>
    <t>L:\Services\SERVICE_DES_TRAVAUX\_NEW SERVEUR DPT\2000_PLAN TVX COURANT cl2-cl6\2025\130 Suivi plan de travaux 2025\Classe 6\302 M-ALEVEQUE\LOT 01 - SANICOTHERM - MACONNERIE\0646 dauphine sol</t>
  </si>
  <si>
    <t>25 - 0215</t>
  </si>
  <si>
    <t xml:space="preserve">réparation carrelage suite infiltration </t>
  </si>
  <si>
    <t>L:\Services\SERVICE_DES_TRAVAUX\_NEW SERVEUR DPT\2000_PLAN TVX COURANT cl2-cl6\2025\130 Suivi plan de travaux 2025\Classe 6\302 M-ALEVEQUE\LOT 01 - SANICOTHERM - MACONNERIE\0647 orion douche</t>
  </si>
  <si>
    <t xml:space="preserve">aout </t>
  </si>
  <si>
    <t>DV 2253723</t>
  </si>
  <si>
    <t xml:space="preserve">Alimentation prise locaux dechets </t>
  </si>
  <si>
    <t>L:\Services\SERVICE_DES_TRAVAUX\_NEW SERVEUR DPT\2000_PLAN TVX COURANT cl2-cl6\2025\130 Suivi plan de travaux 2025\Classe 6\302 M-ALEVEQUE\LOT 04- TBES - ELECTRICITE CFO-CFA\0648 hirondelles local dechets</t>
  </si>
  <si>
    <t xml:space="preserve">fin juillet </t>
  </si>
  <si>
    <t>DV-2253725</t>
  </si>
  <si>
    <t xml:space="preserve">Changement éclairage </t>
  </si>
  <si>
    <t>L:\Services\SERVICE_DES_TRAVAUX\_NEW SERVEUR DPT\2000_PLAN TVX COURANT cl2-cl6\2025\130 Suivi plan de travaux 2025\Classe 6\302 M-ALEVEQUE\LOT 04- TBES - ELECTRICITE CFO-CFA\0649 hirondelle local hypnostimulation</t>
  </si>
  <si>
    <t>T2025017 BOX INTERNAT</t>
  </si>
  <si>
    <t>Dv2253800</t>
  </si>
  <si>
    <t>Suite prescriptions responsable Sureté :F&amp;P de 7 caméras dome +3 lecteurs Salto des futurs locaux de stockage DAHL</t>
  </si>
  <si>
    <t>L:\Services\SERVICE_DES_TRAVAUX\_NEW SERVEUR DPT\2000_PLAN TVX COURANT cl2-cl6\2025\130 Suivi plan de travaux 2025\Classe 2\T2025017 Internat Stockage Dahl\0650  Devis TBES Caméras + salto</t>
  </si>
  <si>
    <t>7 cameras? A voir avec franck? Vu le 01-08 ok</t>
  </si>
  <si>
    <t>25-0184R2</t>
  </si>
  <si>
    <t>TS pour carrelage total sol-mur  de la SDB et du Sanitaire Publis (Non prévu dans le devis initial)</t>
  </si>
  <si>
    <t>L:\Services\SERVICE_DES_TRAVAUX\_NEW SERVEUR DPT\2000_PLAN TVX COURANT cl2-cl6\2025\130 Suivi plan de travaux 2025\Classe 2\T2025005 Appartement  Unirre-Care\0651  Devis Sanicotherm TS Carrelage</t>
  </si>
  <si>
    <t>283</t>
  </si>
  <si>
    <t xml:space="preserve">F&amp;P de blocs portes </t>
  </si>
  <si>
    <t>L:\Services\SERVICE_DES_TRAVAUX\_NEW SERVEUR DPT\2000_PLAN TVX COURANT cl2-cl6\2025\130 Suivi plan de travaux 2025\Classe 2\T2025018 appartement cours communs\Art et bois</t>
  </si>
  <si>
    <t>284</t>
  </si>
  <si>
    <t xml:space="preserve">CUISINE </t>
  </si>
  <si>
    <t>D2507067/MA</t>
  </si>
  <si>
    <t xml:space="preserve">ventilation + CHAUFFAGES </t>
  </si>
  <si>
    <t>D2503119/MA</t>
  </si>
  <si>
    <t>mise en place de batterie froide pour refroisdissement R+1</t>
  </si>
  <si>
    <t>L:\Services\SERVICE_DES_TRAVAUX\_NEW SERVEUR DPT\2000_PLAN TVX COURANT cl2-cl6\2025\130 Suivi plan de travaux 2025\Classe 6\301 P-DOMERCQ\LOT 05 - BSMG - CVC\0655</t>
  </si>
  <si>
    <t>D2506112/MA</t>
  </si>
  <si>
    <t>robinet de puisage sous sol CB2</t>
  </si>
  <si>
    <t>L:\Services\SERVICE_DES_TRAVAUX\_NEW SERVEUR DPT\2000_PLAN TVX COURANT cl2-cl6\2025\130 Suivi plan de travaux 2025\Classe 6\301 P-DOMERCQ\LOT 05 - BSMG - CVC\0656</t>
  </si>
  <si>
    <r>
      <t xml:space="preserve">Dépose des équipements </t>
    </r>
    <r>
      <rPr>
        <sz val="11"/>
        <color rgb="FFFF0000"/>
        <rFont val="Calibri"/>
        <family val="2"/>
        <scheme val="minor"/>
      </rPr>
      <t xml:space="preserve"> ANNULE FAIT PAR LE ST </t>
    </r>
  </si>
  <si>
    <t>a faire en MOI</t>
  </si>
  <si>
    <t>DV 2253904</t>
  </si>
  <si>
    <t xml:space="preserve">electricite cuisine therapeutique </t>
  </si>
  <si>
    <t>L:\Services\SERVICE_DES_TRAVAUX\_NEW SERVEUR DPT\2000_PLAN TVX COURANT cl2-cl6\2025\130 Suivi plan de travaux 2025\Classe 6\302 M-ALEVEQUE\LOT 04- TBES - ELECTRICITE CFO-CFA\0658 hirondelle cuisine</t>
  </si>
  <si>
    <t>DE019702</t>
  </si>
  <si>
    <t xml:space="preserve">2 pièces R+2 peintures </t>
  </si>
  <si>
    <t>L:\Services\SERVICE_DES_TRAVAUX\_NEW SERVEUR DPT\2000_PLAN TVX COURANT cl2-cl6\2025\130 Suivi plan de travaux 2025\Classe 6\301 P-DOMERCQ\LOT 03 - LES PEINTURES PARISIENNES\0659 peinture magnetique  chd</t>
  </si>
  <si>
    <t>TVA 10%
BDC ENVOYE</t>
  </si>
  <si>
    <t xml:space="preserve">856780
</t>
  </si>
  <si>
    <t>Tamaris Tilleuls</t>
  </si>
  <si>
    <t>dv 8970</t>
  </si>
  <si>
    <t xml:space="preserve">remise en état ci </t>
  </si>
  <si>
    <t>L:\Services\SERVICE_DES_TRAVAUX\_NEW SERVEUR DPT\2000_PLAN TVX COURANT cl2-cl6\2025\130 Suivi plan de travaux 2025\Classe 6\302 M-ALEVEQUE\LOT 13 - AC2P - CLOISONS FAUX PLAF\0660tamaris</t>
  </si>
  <si>
    <t>PTI</t>
  </si>
  <si>
    <t>C002445</t>
  </si>
  <si>
    <t>commande de 5 PTI AGP51 pour maintenance sur VE (derniers appareils disponibles sur le marché)</t>
  </si>
  <si>
    <t>12000407</t>
  </si>
  <si>
    <t xml:space="preserve">régule du 11-07-2025 sur remise en service portail accès rotonde, platine support moteur certainement arrachée par véhicule  </t>
  </si>
  <si>
    <t>8625</t>
  </si>
  <si>
    <t>Haute Borne</t>
  </si>
  <si>
    <t>6754/25</t>
  </si>
  <si>
    <t xml:space="preserve">régule du 01-07-2025 dépannage volet bureau cadre </t>
  </si>
  <si>
    <t>6761/25</t>
  </si>
  <si>
    <t>régule inter. Volet Ch107 et Ch108  - CB2
Volet ROLTECK HS, remplacement par volet de rénovation en cours)</t>
  </si>
  <si>
    <t>BCD ENVOYE</t>
  </si>
  <si>
    <t>6762/25</t>
  </si>
  <si>
    <t>régule inter. du 03-07-25  sur volet Ch02  1ET CB1</t>
  </si>
  <si>
    <t>6773/25</t>
  </si>
  <si>
    <t>régule inter. Du 08-07-2025 Salle de Soins et Ch1312
volet ROLTECK à remplacer par volet rénovation</t>
  </si>
  <si>
    <t>6792/25</t>
  </si>
  <si>
    <t>Régule inter. Inter. G04 ch1106 et G01 Ch1211</t>
  </si>
  <si>
    <t>6793/25</t>
  </si>
  <si>
    <t xml:space="preserve">remplacer brise vue orientable HS (devant désenfumage) par volet roulant sur la partie Haute + film occultant sur la partie basse
couloir R2 IHSEA + coumoir R1 CATTP </t>
  </si>
  <si>
    <t>6794/25</t>
  </si>
  <si>
    <r>
      <rPr>
        <sz val="11"/>
        <color rgb="FFFF0000"/>
        <rFont val="Calibri"/>
        <family val="2"/>
        <scheme val="minor"/>
      </rPr>
      <t xml:space="preserve">ATTENTION G01 sur CB2 AUBERVILLIERS
</t>
    </r>
    <r>
      <rPr>
        <sz val="11"/>
        <rFont val="Calibri"/>
        <family val="2"/>
        <scheme val="minor"/>
      </rPr>
      <t>remplacer volet HS de la salle de détente du personnel</t>
    </r>
  </si>
  <si>
    <t>6795/25</t>
  </si>
  <si>
    <t>Régule du 11-07-2025 sur volet élec. Unité coquelicot Appt3 CH1</t>
  </si>
  <si>
    <t>118739-271</t>
  </si>
  <si>
    <t xml:space="preserve">depose mobilier modification oculux portes , revision des portes </t>
  </si>
  <si>
    <t>L:\Services\SERVICE_DES_TRAVAUX\_NEW SERVEUR DPT\2000_PLAN TVX COURANT cl2-cl6\2025\130 Suivi plan de travaux 2025\Classe 6\302 M-ALEVEQUE\LOT 02 - ARTETLEBOIS -MENUISERIE\0671 portes creche</t>
  </si>
  <si>
    <t>120000416</t>
  </si>
  <si>
    <t xml:space="preserve">Remplacement du moteur HS du portail quai de livaison </t>
  </si>
  <si>
    <t>L:\Services\SERVICE_DES_TRAVAUX\_NEW SERVEUR DPT\2000_PLAN TVX COURANT cl2-cl6\2025\130 Suivi plan de travaux 2025\Classe 6\503 P-EPIS\CONT_220024_lot08_VULCAIN Barriere-Porte Auto\D-0672 St Denis</t>
  </si>
  <si>
    <t>General Leclerc</t>
  </si>
  <si>
    <t>325075191</t>
  </si>
  <si>
    <t>Ajout d'un DM + tirage cable</t>
  </si>
  <si>
    <t>L:\Services\SERVICE_DES_TRAVAUX\_NEW SERVEUR DPT\2000_PLAN TVX COURANT cl2-cl6\2025\130 Suivi plan de travaux 2025\Classe 6\403 S-GALOUL\673</t>
  </si>
  <si>
    <t>8612</t>
  </si>
  <si>
    <t xml:space="preserve">Gestion Commune </t>
  </si>
  <si>
    <t>325070630</t>
  </si>
  <si>
    <t xml:space="preserve">Régul intervention DAI dérangement </t>
  </si>
  <si>
    <t>L:\Services\SERVICE_DES_TRAVAUX\_NEW SERVEUR DPT\2000_PLAN TVX COURANT cl2-cl6\2025\130 Suivi plan de travaux 2025\Classe 6\403 S-GALOUL\674</t>
  </si>
  <si>
    <t>Tamaris-Tilleuils</t>
  </si>
  <si>
    <t>325075195</t>
  </si>
  <si>
    <t xml:space="preserve">Travaux CI suite incendie </t>
  </si>
  <si>
    <t>L:\Services\SERVICE_DES_TRAVAUX\_NEW SERVEUR DPT\2000_PLAN TVX COURANT cl2-cl6\2025\130 Suivi plan de travaux 2025\Classe 6\403 S-GALOUL\675</t>
  </si>
  <si>
    <t>325075216</t>
  </si>
  <si>
    <t>Remplacement socle DAI</t>
  </si>
  <si>
    <t>L:\Services\SERVICE_DES_TRAVAUX\_NEW SERVEUR DPT\2000_PLAN TVX COURANT cl2-cl6\2025\130 Suivi plan de travaux 2025\Classe 6\403 S-GALOUL\676</t>
  </si>
  <si>
    <t>250232</t>
  </si>
  <si>
    <t xml:space="preserve">bat Cedres  carrelage </t>
  </si>
  <si>
    <t>L:\Services\SERVICE_DES_TRAVAUX\_NEW SERVEUR DPT\2000_PLAN TVX COURANT cl2-cl6\2025\130 Suivi plan de travaux 2025\Classe 6\302 M-ALEVEQUE\LOT 01 - SANICOTHERM - MACONNERIE\0677 CEDRES</t>
  </si>
  <si>
    <t>20253106</t>
  </si>
  <si>
    <t>remplacement double vitrage csi 125 vu avec P DOMERCQ</t>
  </si>
  <si>
    <t>L:\Services\SERVICE_DES_TRAVAUX\_NEW SERVEUR DPT\2000_PLAN TVX COURANT cl2-cl6\2025\130 Suivi plan de travaux 2025\Classe 6\302 M-ALEVEQUE\LOT 10 - FDS CORPUS - METALLERIE\0678 aubervilliers</t>
  </si>
  <si>
    <t>1401</t>
  </si>
  <si>
    <t>Cafétaria</t>
  </si>
  <si>
    <t>CMP-DEV-17410</t>
  </si>
  <si>
    <t>remplacement de la facade vitrée par un chassi ouvrant accordeon</t>
  </si>
  <si>
    <t>L:\Services\SERVICE_DES_TRAVAUX\_NEW SERVEUR DPT\2000_PLAN TVX COURANT cl2-cl6\2025\130 Suivi plan de travaux 2025\Classe 2\T2025023 NSM cafétéria\DEVIS METALLERIE PORTE FENETRE\CMP</t>
  </si>
  <si>
    <t>DV -2254010</t>
  </si>
  <si>
    <t>CONTACTEUR A CLE TRIANGLE ACCES POMPIER</t>
  </si>
  <si>
    <t>L:\Services\SERVICE_DES_TRAVAUX\_NEW SERVEUR DPT\2000_PLAN TVX COURANT cl2-cl6\2025\130 Suivi plan de travaux 2025\Classe 6\302 M-ALEVEQUE\LOT 04- TBES - ELECTRICITE CFO-CFA\0681 barrieres IFSI</t>
  </si>
  <si>
    <t>MOORE</t>
  </si>
  <si>
    <t>D-6806/25</t>
  </si>
  <si>
    <t>fourniture et pose de store secrétariat</t>
  </si>
  <si>
    <t>bdc modifié envoyé</t>
  </si>
  <si>
    <t>8487</t>
  </si>
  <si>
    <t>D-6807/25</t>
  </si>
  <si>
    <t>salle CATTP et psychomotricien f et pose de 16 stores en toile</t>
  </si>
  <si>
    <t>6811/25</t>
  </si>
  <si>
    <t xml:space="preserve">Régule intervention du 22 juillet 2025
sur volet Ch207 du G11  </t>
  </si>
  <si>
    <t>\\SRV-EPS-fai11.epsve.local\DPT\Services\SERVICE_DES_TRAVAUX\_NEW SERVEUR DPT\2000_PLAN TVX COURANT cl2-cl6\2025\130 Suivi plan de travaux 2025\Classe 6\503 P-EPIS\MBC_LOT08 ABPSI\0684  BONDY Chapelain Volet elec G11 CH207</t>
  </si>
  <si>
    <t>12000279</t>
  </si>
  <si>
    <t>régule inter sur portail, du 16-06-2025</t>
  </si>
  <si>
    <t>L:\Services\SERVICE_DES_TRAVAUX\_NEW SERVEUR DPT\2000_PLAN TVX COURANT cl2-cl6\2025\130 Suivi plan de travaux 2025\Classe 6\503 P-EPIS\CONT_220024_lot08_VULCAIN Barriere-Porte Auto\D-0685  BONDY</t>
  </si>
  <si>
    <t>12000423</t>
  </si>
  <si>
    <t>régule inter du 18-07-25 sur portail accés parking N°48-03
remise en état Recepteur radio + clignotant + Eclairage de zone</t>
  </si>
  <si>
    <t>L:\Services\SERVICE_DES_TRAVAUX\_NEW SERVEUR DPT\2000_PLAN TVX COURANT cl2-cl6\2025\130 Suivi plan de travaux 2025\Classe 6\503 P-EPIS\CONT_220024_lot08_VULCAIN Barriere-Porte Auto\D-0686  St DENIS</t>
  </si>
  <si>
    <t>C002455</t>
  </si>
  <si>
    <r>
      <t xml:space="preserve">Forfait réparation PTI d81 poste de prêt 83001 N/S: 10450385
</t>
    </r>
    <r>
      <rPr>
        <sz val="11"/>
        <color rgb="FFFF0000"/>
        <rFont val="Calibri"/>
        <family val="2"/>
        <scheme val="minor"/>
      </rPr>
      <t xml:space="preserve">ATTENTION:   TVA à 20% sur devis </t>
    </r>
  </si>
  <si>
    <t>L:\Services\SERVICE_DES_TRAVAUX\_NEW SERVEUR DPT\2000_PLAN TVX COURANT cl2-cl6\2025\130 Suivi plan de travaux 2025\Classe 6\503 P-EPIS\HM_\ATRP\D-0687 Auber C.B</t>
  </si>
  <si>
    <t>C002456</t>
  </si>
  <si>
    <r>
      <t xml:space="preserve">Forfait réparartion PTI a71  G04 N°41  N/S: 7066671
</t>
    </r>
    <r>
      <rPr>
        <sz val="11"/>
        <color rgb="FFFF0000"/>
        <rFont val="Calibri"/>
        <family val="2"/>
        <scheme val="minor"/>
      </rPr>
      <t xml:space="preserve">ATTENTION:   TVA à 20% sur devis </t>
    </r>
  </si>
  <si>
    <t>L:\Services\SERVICE_DES_TRAVAUX\_NEW SERVEUR DPT\2000_PLAN TVX COURANT cl2-cl6\2025\130 Suivi plan de travaux 2025\Classe 6\503 P-EPIS\HM_\ATRP\D-0688  St DENIS</t>
  </si>
  <si>
    <t>DE 19309</t>
  </si>
  <si>
    <r>
      <t>Peinture salle d'activité</t>
    </r>
    <r>
      <rPr>
        <b/>
        <sz val="11"/>
        <color theme="1"/>
        <rFont val="Calibri"/>
        <family val="2"/>
        <scheme val="minor"/>
      </rPr>
      <t xml:space="preserve"> Atention tva 20%</t>
    </r>
  </si>
  <si>
    <t>L:\Services\SERVICE_DES_TRAVAUX\_NEW SERVEUR DPT\2000_PLAN TVX COURANT cl2-cl6\2025\130 Suivi plan de travaux 2025\Classe 6\302 M-ALEVEQUE\LOT 03 - LES PEINTURES PARISIENNES\0689 cedres</t>
  </si>
  <si>
    <t>DV-2254041</t>
  </si>
  <si>
    <t>Remplacement de la platine extérieure portier IP</t>
  </si>
  <si>
    <t>L:\Services\SERVICE_DES_TRAVAUX\_NEW SERVEUR DPT\2000_PLAN TVX COURANT cl2-cl6\2025\130 Suivi plan de travaux 2025\Classe 6\503 P-EPIS\MBC_LOT04 TBES</t>
  </si>
  <si>
    <t>le devis devrait faire apparaitre de la main d'œuvre. + la fourniture
BDC ENVOYE</t>
  </si>
  <si>
    <t>6819/25</t>
  </si>
  <si>
    <t>régule inter du 25-07-2025 sur volet CSI-5 Ch1105</t>
  </si>
  <si>
    <t>L:\Services\SERVICE_DES_TRAVAUX\_NEW SERVEUR DPT\2000_PLAN TVX COURANT cl2-cl6\2025\130 Suivi plan de travaux 2025\Classe 6\503 P-EPIS\MBC_LOT08 ABPSI\D-0691 St DENIS</t>
  </si>
  <si>
    <t>118739_273</t>
  </si>
  <si>
    <t>L:\Services\SERVICE_DES_TRAVAUX\_NEW SERVEUR DPT\2000_PLAN TVX COURANT cl2-cl6\2025\130 Suivi plan de travaux 2025\Classe 6\302 M-ALEVEQUE\LOT 02 - ARTETLEBOIS -MENUISERIE\0693 hirondelles</t>
  </si>
  <si>
    <t>octobre</t>
  </si>
  <si>
    <t>T2025018-1</t>
  </si>
  <si>
    <t>8971</t>
  </si>
  <si>
    <t xml:space="preserve">isolation </t>
  </si>
  <si>
    <t>1511</t>
  </si>
  <si>
    <t>Jardins</t>
  </si>
  <si>
    <t>00480458</t>
  </si>
  <si>
    <t>L:\Services\SERVICE_DES_TRAVAUX\_NEW SERVEUR DPT\2000_PLAN TVX COURANT cl2-cl6\2025\130 Suivi plan de travaux 2025\Classe 6\302 M-ALEVEQUE\AC environnement\0695 jardins</t>
  </si>
  <si>
    <t>TIME2PLUG</t>
  </si>
  <si>
    <t>Q-04498</t>
  </si>
  <si>
    <t xml:space="preserve">SUPERVISION BORNES ELECTRIQUES </t>
  </si>
  <si>
    <t>L:\Services\SERVICE_DES_TRAVAUX\_NEW SERVEUR DPT\2000_PLAN TVX COURANT cl2-cl6\2025\130 Suivi plan de travaux 2025\Classe 6\302 M-ALEVEQUE\TIME2PLUG</t>
  </si>
  <si>
    <t xml:space="preserve">il faut verifier l'offre initiale </t>
  </si>
  <si>
    <t>N° 8973</t>
  </si>
  <si>
    <t>Modification cloisons pour integration porte plombée dans local panoramique au RDC
porte</t>
  </si>
  <si>
    <t>8504</t>
  </si>
  <si>
    <t>Verdun</t>
  </si>
  <si>
    <t>6823/25</t>
  </si>
  <si>
    <t>réparration volet électriqueHS du bureau N°7</t>
  </si>
  <si>
    <t>L:\Services\SERVICE_DES_TRAVAUX\_NEW SERVEUR DPT\2000_PLAN TVX COURANT cl2-cl6\2025\130 Suivi plan de travaux 2025\Classe 6\503 P-EPIS\MBC_LOT08 ABPSI\D-0697  BONDY Volet bur-7</t>
  </si>
  <si>
    <t>FRANCILIANE</t>
  </si>
  <si>
    <t>6291740 et 6291505</t>
  </si>
  <si>
    <t>Raccordement AEP Diam 100 et 200 depuis la RN34</t>
  </si>
  <si>
    <t>\\SRV-EPS-fai11.epsve.local\DPT\Services\SERVICE_DES_TRAVAUX\_NEW SERVEUR DPT\2000_PLAN TVX COURANT cl2-cl6\2025\130 Suivi plan de travaux 2025\Classe 2\opération AMT\Veolia</t>
  </si>
  <si>
    <t>DE0872</t>
  </si>
  <si>
    <t>VERIFICATION REGLEMENTAIRE AIRE DE JEUX ET TEST</t>
  </si>
  <si>
    <t>DV-2253806</t>
  </si>
  <si>
    <t>RREMPLACEMENT CAMERA CASSE
tva 20%</t>
  </si>
  <si>
    <t>DV-2253843</t>
  </si>
  <si>
    <t>FOURNITURE ET POSE DE 2 CABLES ETHERNET ENTRE BAIE VDI ET ARMOIRE ALIMENTATION PAC EN TOITURE TERRASSE</t>
  </si>
  <si>
    <t>L:\Services\SERVICE_DES_TRAVAUX\_NEW SERVEUR DPT\2000_PLAN TVX COURANT cl2-cl6\2025\130 Suivi plan de travaux 2025\Classe 6\501 E-MINGANT\MBC_LOT04 TBES\0701</t>
  </si>
  <si>
    <t>ASTERM</t>
  </si>
  <si>
    <t>DE206463</t>
  </si>
  <si>
    <t>FOURNITURE ET POSE D'UN AUTOMATE DISTECH ET SONDES POUR PILOTAGE A DISTANCE ET TELEMESURE VIA GTC. Prestation comprenant cablage, programmation et vue graphique</t>
  </si>
  <si>
    <t>L:\Services\SERVICE_DES_TRAVAUX\_NEW SERVEUR DPT\2000_PLAN TVX COURANT cl2-cl6\2025\130 Suivi plan de travaux 2025\Classe 6\501 E-MINGANT\HM_\ASTERM\0702</t>
  </si>
  <si>
    <t>438576060</t>
  </si>
  <si>
    <t>Extraction d'une clé cassée puis contrôles (essais de sécurité et de bon fonctionnement) pour remise en app 1940591</t>
  </si>
  <si>
    <t>L:\Services\SERVICE_DES_TRAVAUX\_NEW SERVEUR DPT\2000_PLAN TVX COURANT cl2-cl6\2025\130 Suivi plan de travaux 2025\Classe 6\501 E-MINGANT\CONT_220026_lot01_SCHINDLER\0703</t>
  </si>
  <si>
    <t>438642554</t>
  </si>
  <si>
    <t>Dépannage suite main courante arrachée app 1940637
(remise en état et  contrôles (essais de sécurité et de
bon fonctionnement),</t>
  </si>
  <si>
    <t>L:\Services\SERVICE_DES_TRAVAUX\_NEW SERVEUR DPT\2000_PLAN TVX COURANT cl2-cl6\2025\130 Suivi plan de travaux 2025\Classe 6\501 E-MINGANT\CONT_220026_lot01_SCHINDLER\0704</t>
  </si>
  <si>
    <t>DK250809280</t>
  </si>
  <si>
    <t>REMPLACEMENT DE LA TELECOMMANDE CIAT (thermostat mural V30)</t>
  </si>
  <si>
    <t>L:\Services\SERVICE_DES_TRAVAUX\_NEW SERVEUR DPT\2000_PLAN TVX COURANT cl2-cl6\2025\130 Suivi plan de travaux 2025\Classe 6\501 E-MINGANT\CONT_220022_lot03_UTB_Insta thermiques\0705</t>
  </si>
  <si>
    <t>C25132303-1</t>
  </si>
  <si>
    <t>DETARTRAGE CHAUDIERE VAPEUR 6 TONNES</t>
  </si>
  <si>
    <t>L:\Services\SERVICE_DES_TRAVAUX\_NEW SERVEUR DPT\2000_PLAN TVX COURANT cl2-cl6\2025\130 Suivi plan de travaux 2025\Classe 6\501 E-MINGANT\CONT_190023_lot00_DALKIA\0706</t>
  </si>
  <si>
    <t>à transformer en OS Fictif (Dalkia P3)
BDC envoyé</t>
  </si>
  <si>
    <t>C25133942-1</t>
  </si>
  <si>
    <t>REVISION POMPE GRUNDFOS ALIMENTATION CHAUDIERE VAPEUR 6 TONNES</t>
  </si>
  <si>
    <t>L:\Services\SERVICE_DES_TRAVAUX\_NEW SERVEUR DPT\2000_PLAN TVX COURANT cl2-cl6\2025\130 Suivi plan de travaux 2025\Classe 6\501 E-MINGANT\CONT_190023_lot00_DALKIA\0707</t>
  </si>
  <si>
    <t>Pour mémoire: Engagement P3 (EM)</t>
  </si>
  <si>
    <t>C25133949-1</t>
  </si>
  <si>
    <t>REVISION POMPE GRUNDFOS CHAUDIERE VAPEUR 10 TONNES</t>
  </si>
  <si>
    <t>L:\Services\SERVICE_DES_TRAVAUX\_NEW SERVEUR DPT\2000_PLAN TVX COURANT cl2-cl6\2025\130 Suivi plan de travaux 2025\Classe 6\501 E-MINGANT\CONT_190023_lot00_DALKIA\0708</t>
  </si>
  <si>
    <t>C25133959-1</t>
  </si>
  <si>
    <t>REVISION POMPE PRIMAIRE LOWARA SST MANIVELLES</t>
  </si>
  <si>
    <t>L:\Services\SERVICE_DES_TRAVAUX\_NEW SERVEUR DPT\2000_PLAN TVX COURANT cl2-cl6\2025\130 Suivi plan de travaux 2025\Classe 6\501 E-MINGANT\CONT_190023_lot00_DALKIA\0709</t>
  </si>
  <si>
    <t>C25133976-1</t>
  </si>
  <si>
    <t>REGUL REMPLACEMENT EN URGENCE DU SURPRESSEUR WYLO SST MANIVELLES</t>
  </si>
  <si>
    <t>L:\Services\SERVICE_DES_TRAVAUX\_NEW SERVEUR DPT\2000_PLAN TVX COURANT cl2-cl6\2025\130 Suivi plan de travaux 2025\Classe 6\501 E-MINGANT\CONT_190023_lot00_DALKIA\0710</t>
  </si>
  <si>
    <t>6824/25</t>
  </si>
  <si>
    <t>Régul bon DPT0014384 R+6 coté gauche en sortant de l’asc, Vérification VR. Remplacement de 2 verrous auto, remise en place du tablier désaccouplé, essai de fonctionnement</t>
  </si>
  <si>
    <t>L:\Services\SERVICE_DES_TRAVAUX\_NEW SERVEUR DPT\2000_PLAN TVX COURANT cl2-cl6\2025\130 Suivi plan de travaux 2025\Classe 6\503 P-EPIS\MBC_LOT08 ABPSI\0711</t>
  </si>
  <si>
    <t>6825/25</t>
  </si>
  <si>
    <t>Régul bon DPT0014365 – Bureau consultation rez-de-jardin au R-1 Vérification VR H.S. Dépose du coffre, remplacer le moteur, refixer axe tombé et tablier, remplacer moteur, réglage fins de course, essai</t>
  </si>
  <si>
    <t>L:\Services\SERVICE_DES_TRAVAUX\_NEW SERVEUR DPT\2000_PLAN TVX COURANT cl2-cl6\2025\130 Suivi plan de travaux 2025\Classe 6\503 P-EPIS\MBC_LOT08 ABPSI\0712</t>
  </si>
  <si>
    <t>GEOCONSULTANT</t>
  </si>
  <si>
    <t>Devis n° 25-1164 indice A</t>
  </si>
  <si>
    <t>MISSION G5 - DIAGNOSTIC HYDROGEOLOGIQUE« RECHERCHE DES NIVEAUX CARACTERISTIQUES DE LA NAPPE SUPERFICIELLE&amp; DES SOLUTIONS REPARATRICES DES EAUX DANS LE SOUS-SOL DES BATIMENTS A, B et C »</t>
  </si>
  <si>
    <t>L:\Services\SERVICE_DES_TRAVAUX\_NEW SERVEUR DPT\1000_OPE TVX STRAT\2020.11 MONTREUIL I03\REFERE EXPRTISE</t>
  </si>
  <si>
    <t>A prendre sur l operation Montreuil Boissiere  (a valider avec louisiane)</t>
  </si>
  <si>
    <t>DE019866</t>
  </si>
  <si>
    <t xml:space="preserve">peinture logement internat </t>
  </si>
  <si>
    <t>L:\Services\SERVICE_DES_TRAVAUX\_NEW SERVEUR DPT\2000_PLAN TVX COURANT cl2-cl6\2025\130 Suivi plan de travaux 2025\Classe 6\302 M-ALEVEQUE\LOT 03 - LES PEINTURES PARISIENNES\0714 INTERNAT</t>
  </si>
  <si>
    <t>DV225421</t>
  </si>
  <si>
    <t xml:space="preserve">Création poste de travail </t>
  </si>
  <si>
    <t>L:\Services\SERVICE_DES_TRAVAUX\_NEW SERVEUR DPT\2000_PLAN TVX COURANT cl2-cl6\2025\130 Suivi plan de travaux 2025\Classe 6\302 M-ALEVEQUE\LOT 04- TBES - ELECTRICITE CFO-CFA\0715 hirondelle</t>
  </si>
  <si>
    <t>25-0212</t>
  </si>
  <si>
    <t>Suite fuite et sondages dans les cloisons réfection placo et carrelage dans WC et douche vestiaire femmes</t>
  </si>
  <si>
    <t>L:\Services\SERVICE_DES_TRAVAUX\_NEW SERVEUR DPT\2000_PLAN TVX COURANT cl2-cl6\2025\130 Suivi plan de travaux 2025\Classe 6\303 R-MERONI\LOT 01 - SANICOTHERM - MACONNERIE\0716 MAS  douche-WC Vestiaire femmes</t>
  </si>
  <si>
    <t>compte 615220
BDC ENVOY</t>
  </si>
  <si>
    <t>25-0234</t>
  </si>
  <si>
    <t xml:space="preserve">Aménagement de la chambre de garde médicale:TS pour fx-plafond et coffre </t>
  </si>
  <si>
    <t>L:\Services\SERVICE_DES_TRAVAUX\_NEW SERVEUR DPT\2000_PLAN TVX COURANT cl2-cl6\2025\130 Suivi plan de travaux 2025\Classe 2\T2025016 Ch de Gardes\Montreuil Boissiere\0717 Sanicotherm ch Garde</t>
  </si>
  <si>
    <t>118739</t>
  </si>
  <si>
    <t>Pose de protection SPM ou décochocs sur 11 portes des circulations du batiment Activités -Administratioin</t>
  </si>
  <si>
    <t>L:\Services\SERVICE_DES_TRAVAUX\_NEW SERVEUR DPT\2000_PLAN TVX COURANT cl2-cl6\2025\130 Suivi plan de travaux 2025\Classe 6\303 R-MERONI\LOT 02 - ARTETLEBOIS -MENUISERIE\718 Mas SPM-Décochoc 11 portes circulation</t>
  </si>
  <si>
    <t>Tamaris-Tilleul</t>
  </si>
  <si>
    <t>124747</t>
  </si>
  <si>
    <t>Remplacement chassis fixe PVC blanc compris dépose existant</t>
  </si>
  <si>
    <t>L:\Services\SERVICE_DES_TRAVAUX\_NEW SERVEUR DPT\2000_PLAN TVX COURANT cl2-cl6\2025\130 Suivi plan de travaux 2025\Classe 6\502 A-CARPINTEIRO\MBC_LOT02 AELB\0719\0719</t>
  </si>
  <si>
    <t>124976</t>
  </si>
  <si>
    <t>F et P d'une cuisine complète salles ergothérapie rdc</t>
  </si>
  <si>
    <t>L:\Services\SERVICE_DES_TRAVAUX\_NEW SERVEUR DPT\2000_PLAN TVX COURANT cl2-cl6\2025\130 Suivi plan de travaux 2025\Classe 6\502 A-CARPINTEIRO\MBC_LOT02 AELB\0720</t>
  </si>
  <si>
    <t>TVA à 10%
bdc envoyé</t>
  </si>
  <si>
    <t>DE019907</t>
  </si>
  <si>
    <t xml:space="preserve">peinture et sols </t>
  </si>
  <si>
    <t>L:\Services\SERVICE_DES_TRAVAUX\_NEW SERVEUR DPT\2000_PLAN TVX COURANT cl2-cl6\2025\130 Suivi plan de travaux 2025\Classe 6\302 M-ALEVEQUE\LOT 03 - LES PEINTURES PARISIENNES\0721 drh sols et murs cage d 'escalier</t>
  </si>
  <si>
    <t xml:space="preserve">fin aout </t>
  </si>
  <si>
    <t>8601</t>
  </si>
  <si>
    <t>Auguste Poullain</t>
  </si>
  <si>
    <t>Simon Gluzman</t>
  </si>
  <si>
    <t>12000496</t>
  </si>
  <si>
    <t>Dépannage du portail 47-01</t>
  </si>
  <si>
    <t>L:\Services\SERVICE_DES_TRAVAUX\_NEW SERVEUR DPT\2000_PLAN TVX COURANT cl2-cl6\2025\130 Suivi plan de travaux 2025\Classe 6\503 P-EPIS\CONT_220024_lot08_VULCAIN Barriere-Porte Auto\0722</t>
  </si>
  <si>
    <t>TVA à 20% pour facture
BDC ENVOYE</t>
  </si>
  <si>
    <t>12000495</t>
  </si>
  <si>
    <t>Régul intervention de dépannage du 1er aout 2025</t>
  </si>
  <si>
    <t>L:\Services\SERVICE_DES_TRAVAUX\_NEW SERVEUR DPT\2000_PLAN TVX COURANT cl2-cl6\2025\130 Suivi plan de travaux 2025\Classe 6\503 P-EPIS\CONT_220024_lot08_VULCAIN Barriere-Porte Auto\0723</t>
  </si>
  <si>
    <t>TVA 20% pour facture
BDC ENVOYE</t>
  </si>
  <si>
    <t>08,2025 DE019938</t>
  </si>
  <si>
    <t>Suite demande expresse de l'intendante consécutif à des  problèmes de places et de dégradations véhicules :peinture de sol et de poteaux</t>
  </si>
  <si>
    <t>L:\Services\SERVICE_DES_TRAVAUX\_NEW SERVEUR DPT\2000_PLAN TVX COURANT cl2-cl6\2025\130 Suivi plan de travaux 2025\Classe 6\303 R-MERONI\LOT 03 - LES PEINTURES PARISIENNES\0724  Peinture Parking Bondy</t>
  </si>
  <si>
    <t>12000499</t>
  </si>
  <si>
    <t>AUBERVILLIERS CHD - PORTAIL 01-04 - DEPANNAGE</t>
  </si>
  <si>
    <t>L:\Services\SERVICE_DES_TRAVAUX\_NEW SERVEUR DPT\2000_PLAN TVX COURANT cl2-cl6\2025\130 Suivi plan de travaux 2025\Classe 6\503 P-EPIS\CONT_220024_lot08_VULCAIN Barriere-Porte Auto\0725</t>
  </si>
  <si>
    <t>TVA 10% pour facture
BDC ENVOYE</t>
  </si>
  <si>
    <t>12000533</t>
  </si>
  <si>
    <t>Dépannage - PORTAIL 46.02 - REMPLACEMENT LOGIQUE DE COMMANDE</t>
  </si>
  <si>
    <t>L:\Services\SERVICE_DES_TRAVAUX\_NEW SERVEUR DPT\2000_PLAN TVX COURANT cl2-cl6\2025\130 Suivi plan de travaux 2025\Classe 6\503 P-EPIS\CONT_220024_lot08_VULCAIN Barriere-Porte Auto\0726</t>
  </si>
  <si>
    <t>DEV-20250819-03828</t>
  </si>
  <si>
    <t>Prolongation 2 mois Ediflex bâtiment AMT</t>
  </si>
  <si>
    <t>L:\Services\SERVICE_DES_TRAVAUX\_NEW SERVEUR DPT\2000_PLAN TVX COURANT cl2-cl6\2025\130 Suivi plan de travaux 2025\Classe 6\101 C-DARRET\Ediflex AMT</t>
  </si>
  <si>
    <t>CAT 77.07
BDC ENVOYE</t>
  </si>
  <si>
    <t>Cherles Tillon</t>
  </si>
  <si>
    <t>Henri Duchene</t>
  </si>
  <si>
    <t>325080151</t>
  </si>
  <si>
    <t>Dérangement SSI</t>
  </si>
  <si>
    <t>L:\Services\SERVICE_DES_TRAVAUX\_NEW SERVEUR DPT\2000_PLAN TVX COURANT cl2-cl6\2025\130 Suivi plan de travaux 2025\Classe 6\403 S-GALOUL\728</t>
  </si>
  <si>
    <t>08.2025 DE019901</t>
  </si>
  <si>
    <t>Peinture Secrétariat Général</t>
  </si>
  <si>
    <t>L:\Services\SERVICE_DES_TRAVAUX\_NEW SERVEUR DPT\2000_PLAN TVX COURANT cl2-cl6\2025\130 Suivi plan de travaux 2025\Classe 6\303 R-MERONI\LOT 03 - LES PEINTURES PARISIENNES\0729  Amicale Secrétariat</t>
  </si>
  <si>
    <t>08.2025 DE019902</t>
  </si>
  <si>
    <t>Peinture salle d'Exposition et Réunion</t>
  </si>
  <si>
    <t>L:\Services\SERVICE_DES_TRAVAUX\_NEW SERVEUR DPT\2000_PLAN TVX COURANT cl2-cl6\2025\130 Suivi plan de travaux 2025\Classe 6\303 R-MERONI\LOT 03 - LES PEINTURES PARISIENNES\0730 Amicale Réunion</t>
  </si>
  <si>
    <t>voir avec cd 05-11</t>
  </si>
  <si>
    <t>08.2025 DE019903</t>
  </si>
  <si>
    <t>Peinture salle de Repos -Repas</t>
  </si>
  <si>
    <t>L:\Services\SERVICE_DES_TRAVAUX\_NEW SERVEUR DPT\2000_PLAN TVX COURANT cl2-cl6\2025\130 Suivi plan de travaux 2025\Classe 6\303 R-MERONI\LOT 03 - LES PEINTURES PARISIENNES\0731 Amicale Repas</t>
  </si>
  <si>
    <t>279</t>
  </si>
  <si>
    <t>Réfection plinthes après assainissement des insectes</t>
  </si>
  <si>
    <t>L:\Services\SERVICE_DES_TRAVAUX\_NEW SERVEUR DPT\2000_PLAN TVX COURANT cl2-cl6\2025\130 Suivi plan de travaux 2025\Classe 6\303 R-MERONI\LOT 02 - ARTETLEBOIS -MENUISERIE\0732  Amicale plinthes</t>
  </si>
  <si>
    <t>8621</t>
  </si>
  <si>
    <t>22165</t>
  </si>
  <si>
    <t xml:space="preserve">Reparation adoucisseur en chaufferie </t>
  </si>
  <si>
    <t>278</t>
  </si>
  <si>
    <t>amenagements degagement salle de reunion extension R+5</t>
  </si>
  <si>
    <t>L:\Services\SERVICE_DES_TRAVAUX\_NEW SERVEUR DPT\2000_PLAN TVX COURANT cl2-cl6\2025\130 Suivi plan de travaux 2025\Classe 6\301 P-DOMERCQ\LOT 02 - ARTETLEBOIS -MENUISERIE\0734</t>
  </si>
  <si>
    <t>25-0230</t>
  </si>
  <si>
    <t>reparation apres vandalisme ci</t>
  </si>
  <si>
    <t>L:\Services\SERVICE_DES_TRAVAUX\_NEW SERVEUR DPT\2000_PLAN TVX COURANT cl2-cl6\2025\130 Suivi plan de travaux 2025\Classe 6\301 P-DOMERCQ\LOT 01 - SANICOTHERM - MACONNERIE\0735</t>
  </si>
  <si>
    <t>DV-2254121</t>
  </si>
  <si>
    <t>Modification commande d'éclairage conforme à la réglementation incendie</t>
  </si>
  <si>
    <t>L:\Services\SERVICE_DES_TRAVAUX\_NEW SERVEUR DPT\2000_PLAN TVX COURANT cl2-cl6\2025\130 Suivi plan de travaux 2025\Classe 6\403 S-GALOUL\737</t>
  </si>
  <si>
    <t>DV-25-08-071</t>
  </si>
  <si>
    <t>Mise à jour dossier d'identité SSI</t>
  </si>
  <si>
    <t>6862/25</t>
  </si>
  <si>
    <t>Régul intervention de dépannage VR du 26/8/25. 
(Bon d’intervention n° DPT0014677)</t>
  </si>
  <si>
    <t>L:\Services\SERVICE_DES_TRAVAUX\_NEW SERVEUR DPT\2000_PLAN TVX COURANT cl2-cl6\2025\130 Suivi plan de travaux 2025\Classe 6\503 P-EPIS\MBC_LOT08 ABPSI\0738</t>
  </si>
  <si>
    <t>6863/25</t>
  </si>
  <si>
    <t>Régul intervention de dépannage VR du 26/8/25.
(Bon d’intervention n° DPT0014715)</t>
  </si>
  <si>
    <t>L:\Services\SERVICE_DES_TRAVAUX\_NEW SERVEUR DPT\2000_PLAN TVX COURANT cl2-cl6\2025\130 Suivi plan de travaux 2025\Classe 6\503 P-EPIS\MBC_LOT08 ABPSI\0739</t>
  </si>
  <si>
    <t>6864/25</t>
  </si>
  <si>
    <t>Store BSO H.S à remplacer (Bon d’intervention n° DPT0014676. 
Vérification de l'équipement réalisé le 26/8/25)</t>
  </si>
  <si>
    <t>L:\Services\SERVICE_DES_TRAVAUX\_NEW SERVEUR DPT\2000_PLAN TVX COURANT cl2-cl6\2025\130 Suivi plan de travaux 2025\Classe 6\503 P-EPIS\MBC_LOT08 ABPSI\0740</t>
  </si>
  <si>
    <t>2025/2988</t>
  </si>
  <si>
    <t>Remplacement des vitrages des 2 serres  cassés par la   chute de grêle de  Mai 2025 (prise en chge par Assureur)</t>
  </si>
  <si>
    <t>L:\Services\SERVICE_DES_TRAVAUX\_NEW SERVEUR DPT\2000_PLAN TVX COURANT cl2-cl6\2025\130 Suivi plan de travaux 2025\Classe 6\303 R-MERONI\LOT 10 - FDS CORPUS - METALLERIE\0741 Serres</t>
  </si>
  <si>
    <t>BDC ENVOYé</t>
  </si>
  <si>
    <t>T2025014 DAHL</t>
  </si>
  <si>
    <t>DV--2253161-0003</t>
  </si>
  <si>
    <t>TS pour PC et RJ supplémentaires RDC    +    aménagement       d'un bureau au 1 er (ex-réserve)</t>
  </si>
  <si>
    <t>DV-2254520</t>
  </si>
  <si>
    <t>remplacement intephone (Annulé)</t>
  </si>
  <si>
    <t>L:\Services\SERVICE_DES_TRAVAUX\_NEW SERVEUR DPT\2000_PLAN TVX COURANT cl2-cl6\2025\130 Suivi plan de travaux 2025\Classe 6\301 P-DOMERCQ\LOT 04- TBES - ELECTRICITE CFO-CFA\0743</t>
  </si>
  <si>
    <t>BDC ANNULE</t>
  </si>
  <si>
    <t xml:space="preserve">a annulé </t>
  </si>
  <si>
    <t>DV-6868/2025</t>
  </si>
  <si>
    <t>F et Pose de stores unité bleu</t>
  </si>
  <si>
    <t>L:\Services\SERVICE_DES_TRAVAUX\_NEW SERVEUR DPT\2000_PLAN TVX COURANT cl2-cl6\2025\130 Suivi plan de travaux 2025\Classe 6\502 A-CARPINTEIRO\MBC_LOT08 ABPSI\0744</t>
  </si>
  <si>
    <t>DV 277</t>
  </si>
  <si>
    <t>Entretien de 6 jardinières, brossage 2 couches de l.</t>
  </si>
  <si>
    <t>L:\Services\SERVICE_DES_TRAVAUX\_NEW SERVEUR DPT\2000_PLAN TVX COURANT cl2-cl6\2025\130 Suivi plan de travaux 2025\Classe 6\502 A-CARPINTEIRO\MBC_LOT02 AELB\0745</t>
  </si>
  <si>
    <t xml:space="preserve">tva 10 
BDC ENVOYE </t>
  </si>
  <si>
    <t>2025/3050</t>
  </si>
  <si>
    <t>remplacement chassis fixe par ouvrant</t>
  </si>
  <si>
    <t>L:\Services\SERVICE_DES_TRAVAUX\_NEW SERVEUR DPT\2000_PLAN TVX COURANT cl2-cl6\2025\130 Suivi plan de travaux 2025\Classe 6\301 P-DOMERCQ\LOT 10 - FDS CORPUS - METALLERIE\0746</t>
  </si>
  <si>
    <t>32509008</t>
  </si>
  <si>
    <t>Ajout d'un DAI + indicateur d'action</t>
  </si>
  <si>
    <t>L:\Services\SERVICE_DES_TRAVAUX\_NEW SERVEUR DPT\2000_PLAN TVX COURANT cl2-cl6\2025\130 Suivi plan de travaux 2025\Classe 6\403 S-GALOUL\747</t>
  </si>
  <si>
    <t>325085233</t>
  </si>
  <si>
    <t>Modification des libellés</t>
  </si>
  <si>
    <t>L:\Services\SERVICE_DES_TRAVAUX\_NEW SERVEUR DPT\2000_PLAN TVX COURANT cl2-cl6\2025\130 Suivi plan de travaux 2025\Classe 6\403 S-GALOUL\748</t>
  </si>
  <si>
    <t>325085245</t>
  </si>
  <si>
    <t>Remplacement d'un BAAS</t>
  </si>
  <si>
    <t>L:\Services\SERVICE_DES_TRAVAUX\_NEW SERVEUR DPT\2000_PLAN TVX COURANT cl2-cl6\2025\130 Suivi plan de travaux 2025\Classe 6\403 S-GALOUL\749</t>
  </si>
  <si>
    <t>2025/3107</t>
  </si>
  <si>
    <t>Dépose de vantaux fabrication et pose d'un chassis en alu</t>
  </si>
  <si>
    <t>L:\Services\SERVICE_DES_TRAVAUX\_NEW SERVEUR DPT\2000_PLAN TVX COURANT cl2-cl6\2025\130 Suivi plan de travaux 2025\Classe 6\502 A-CARPINTEIRO\MBC_LOT10 FDS CORPUS\0750</t>
  </si>
  <si>
    <t>BDC envoyé
TVA à 10%</t>
  </si>
  <si>
    <t>276</t>
  </si>
  <si>
    <t>remplacement doubles vitrages</t>
  </si>
  <si>
    <t>L:\Services\SERVICE_DES_TRAVAUX\_NEW SERVEUR DPT\2000_PLAN TVX COURANT cl2-cl6\2025\130 Suivi plan de travaux 2025\Classe 6\502 A-CARPINTEIRO\MBC_LOT02 AELB\0751</t>
  </si>
  <si>
    <t>BDC envoyé
TVA à 20%</t>
  </si>
  <si>
    <t>RATP</t>
  </si>
  <si>
    <t>11-caméra</t>
  </si>
  <si>
    <t>FR02269300935</t>
  </si>
  <si>
    <t xml:space="preserve">REMPLACEMENT CAMERAS </t>
  </si>
  <si>
    <t>DV-2254496</t>
  </si>
  <si>
    <t xml:space="preserve">reamanagement acacias electricite </t>
  </si>
  <si>
    <t>L:\Services\SERVICE_DES_TRAVAUX\_NEW SERVEUR DPT\2000_PLAN TVX COURANT cl2-cl6\2025\130 Suivi plan de travaux 2025\Classe 6\302 M-ALEVEQUE\LOT 04- TBES - ELECTRICITE CFO-CFA\0753 alize acacias</t>
  </si>
  <si>
    <t>DEVIS N° 8978</t>
  </si>
  <si>
    <t xml:space="preserve">reamenagement acacias </t>
  </si>
  <si>
    <t>L:\Services\SERVICE_DES_TRAVAUX\_NEW SERVEUR DPT\2000_PLAN TVX COURANT cl2-cl6\2025\130 Suivi plan de travaux 2025\Classe 6\302 M-ALEVEQUE\LOT 13 - AC2P - CLOISONS FAUX PLAF\0754 Alize Acacias</t>
  </si>
  <si>
    <t>D2509088/MA</t>
  </si>
  <si>
    <t xml:space="preserve">installations  sanitaires baignoires bat acacias </t>
  </si>
  <si>
    <t>L:\Services\SERVICE_DES_TRAVAUX\_NEW SERVEUR DPT\2000_PLAN TVX COURANT cl2-cl6\2025\130 Suivi plan de travaux 2025\Classe 6\302 M-ALEVEQUE\LOT 05 - BSMG - CVC\755 acacias</t>
  </si>
  <si>
    <t>DV-2254613</t>
  </si>
  <si>
    <t>remplacemant interphone par un visio  Castel</t>
  </si>
  <si>
    <t>L:\Services\SERVICE_DES_TRAVAUX\_NEW SERVEUR DPT\2000_PLAN TVX COURANT cl2-cl6\2025\130 Suivi plan de travaux 2025\Classe 6\301 P-DOMERCQ\LOT 04- TBES - ELECTRICITE CFO-CFA\0756</t>
  </si>
  <si>
    <t>T2025025</t>
  </si>
  <si>
    <t>DV-2254087</t>
  </si>
  <si>
    <t>creation barriere cloture et ctrl d'acces entree principal</t>
  </si>
  <si>
    <t>L:\Services\SERVICE_DES_TRAVAUX\_NEW SERVEUR DPT\2000_PLAN TVX COURANT cl2-cl6\2025\130 Suivi plan de travaux 2025\Classe 6\301 P-DOMERCQ\LOT 04- TBES - ELECTRICITE CFO-CFA\0757</t>
  </si>
  <si>
    <t>D2403848-001</t>
  </si>
  <si>
    <t xml:space="preserve">Degorgement conduite EU de l ecole </t>
  </si>
  <si>
    <t xml:space="preserve">regularisation </t>
  </si>
  <si>
    <t>25-0236</t>
  </si>
  <si>
    <t>SDB Ch Garde: Plus-Value pour carrelage Zellige marocain demandé par Mme Cohen -accordé par CD</t>
  </si>
  <si>
    <t>6866/25</t>
  </si>
  <si>
    <t>Tilleuls Espace Hypnorelax :Film discrétion dépoli salle massage + 3 stores vénitiens salle relaxation</t>
  </si>
  <si>
    <t>6865/25</t>
  </si>
  <si>
    <t>Bureaux sociaux sous La Chapelle: Pose films discrétion sur vitrages accueil en remplacement  voilages sales et inflammables + 2 stores vénitiens sur fenêtres extérieures</t>
  </si>
  <si>
    <t>L:\Services\SERVICE_DES_TRAVAUX\_NEW SERVEUR DPT\2000_PLAN TVX COURANT cl2-cl6\2025\130 Suivi plan de travaux 2025\Classe 6\303 R-MERONI\LOT 08 - ABPSI -STORES</t>
  </si>
  <si>
    <t>6876/25</t>
  </si>
  <si>
    <t>Suite création SDSoins pose films discrétion sur vitrages donnant sur la cour de récréation</t>
  </si>
  <si>
    <t>T2025017 INTERNAT BOXES DE STOCKAGE</t>
  </si>
  <si>
    <t>25-0239</t>
  </si>
  <si>
    <t>Doublage thermique placostyl intérieures avant pose portes et fenetres</t>
  </si>
  <si>
    <t>L:\Services\SERVICE_DES_TRAVAUX\_NEW SERVEUR DPT\2000_PLAN TVX COURANT cl2-cl6\2025\130 Suivi plan de travaux 2025\Classe 2\T2025017 Internat Stockage Dahl</t>
  </si>
  <si>
    <t>156002625</t>
  </si>
  <si>
    <r>
      <t xml:space="preserve">Remise à neuf du moteur de pompe hydraulique immergé 
</t>
    </r>
    <r>
      <rPr>
        <b/>
        <sz val="11"/>
        <color theme="1"/>
        <rFont val="Calibri"/>
        <family val="2"/>
        <scheme val="minor"/>
      </rPr>
      <t xml:space="preserve">Appareil 1940592 hors service. </t>
    </r>
  </si>
  <si>
    <t>L:\Services\SERVICE_DES_TRAVAUX\_NEW SERVEUR DPT\2000_PLAN TVX COURANT cl2-cl6\2025\130 Suivi plan de travaux 2025\Classe 6\501 E-MINGANT\CONT_220026_lot01_SCHINDLER\0764</t>
  </si>
  <si>
    <t xml:space="preserve">156133833 </t>
  </si>
  <si>
    <t>Installation d'une interface GSM afin d’assurer la liaison de la
téléalarme de l'ascenseur 1940592.
(Carte SIM fournie par EPSVE).</t>
  </si>
  <si>
    <t>L:\Services\SERVICE_DES_TRAVAUX\_NEW SERVEUR DPT\2000_PLAN TVX COURANT cl2-cl6\2025\130 Suivi plan de travaux 2025\Classe 6\501 E-MINGANT\CONT_220026_lot01_SCHINDLER\0765</t>
  </si>
  <si>
    <t>156133821</t>
  </si>
  <si>
    <t>Installation d'une interface GSM afin d’assurer la liaison de la
téléalarme de l'ascenseur 1940591.
(Carte SIM fournie par EPSVE).</t>
  </si>
  <si>
    <t>L:\Services\SERVICE_DES_TRAVAUX\_NEW SERVEUR DPT\2000_PLAN TVX COURANT cl2-cl6\2025\130 Suivi plan de travaux 2025\Classe 6\501 E-MINGANT\CONT_220026_lot01_SCHINDLER\0766</t>
  </si>
  <si>
    <t xml:space="preserve"> 156132781</t>
  </si>
  <si>
    <t xml:space="preserve"> de d’assurer la liaison de la
téléalarme de l'ascenseur 1940590.
(Carte SIM fournie par EPSVE).</t>
  </si>
  <si>
    <t>L:\Services\SERVICE_DES_TRAVAUX\_NEW SERVEUR DPT\2000_PLAN TVX COURANT cl2-cl6\2025\130 Suivi plan de travaux 2025\Classe 6\501 E-MINGANT\CONT_220026_lot01_SCHINDLER\0767</t>
  </si>
  <si>
    <t>D2246909</t>
  </si>
  <si>
    <t>Alimentation oculus portes CI</t>
  </si>
  <si>
    <t>L:\Services\SERVICE_DES_TRAVAUX\_NEW SERVEUR DPT\2000_PLAN TVX COURANT cl2-cl6\2025\130 Suivi plan de travaux 2025\Classe 6\301 P-DOMERCQ\LOT 04- TBES - ELECTRICITE CFO-CFA\0768</t>
  </si>
  <si>
    <t>DV-2250556</t>
  </si>
  <si>
    <t>création d'une prise reseau secretariat</t>
  </si>
  <si>
    <t>L:\Services\SERVICE_DES_TRAVAUX\_NEW SERVEUR DPT\2000_PLAN TVX COURANT cl2-cl6\2025\130 Suivi plan de travaux 2025\Classe 6\301 P-DOMERCQ\LOT 04- TBES - ELECTRICITE CFO-CFA\0769</t>
  </si>
  <si>
    <t>118739_266</t>
  </si>
  <si>
    <t>miroir , protection murals , serrure placard tt les chambre</t>
  </si>
  <si>
    <t>L:\Services\SERVICE_DES_TRAVAUX\_NEW SERVEUR DPT\2000_PLAN TVX COURANT cl2-cl6\2025\130 Suivi plan de travaux 2025\Classe 2\T2025025 remise en etat G06 ex 13</t>
  </si>
  <si>
    <t>DV-2253826</t>
  </si>
  <si>
    <t>bandeau ventouses salle de soins et infirmies + eclairage des chambres</t>
  </si>
  <si>
    <t>DE020023</t>
  </si>
  <si>
    <t>peinture et sol partiel G06 ex G13</t>
  </si>
  <si>
    <t>DE2506447</t>
  </si>
  <si>
    <t xml:space="preserve">travaux d'etancheite </t>
  </si>
  <si>
    <t>L:\Services\SERVICE_DES_TRAVAUX\_NEW SERVEUR DPT\2000_PLAN TVX COURANT cl2-cl6\2025\130 Suivi plan de travaux 2025\Classe 6\302 M-ALEVEQUE\LOT 06 - COBAT - ETANCHEITE\773 dauphine</t>
  </si>
  <si>
    <t>124971</t>
  </si>
  <si>
    <t xml:space="preserve">f et pose  portes de placards </t>
  </si>
  <si>
    <t>L:\Services\SERVICE_DES_TRAVAUX\_NEW SERVEUR DPT\2000_PLAN TVX COURANT cl2-cl6\2025\130 Suivi plan de travaux 2025\Classe 6\502 A-CARPINTEIRO\MBC_LOT02 AELB\0774</t>
  </si>
  <si>
    <t>DE020061</t>
  </si>
  <si>
    <t>signaletique complement</t>
  </si>
  <si>
    <t>L:\Services\SERVICE_DES_TRAVAUX\_NEW SERVEUR DPT\2000_PLAN TVX COURANT cl2-cl6\2025\130 Suivi plan de travaux 2025\Classe 6\301 P-DOMERCQ\LOT 03 - LES PEINTURES PARISIENNES\0775</t>
  </si>
  <si>
    <t>25-0274</t>
  </si>
  <si>
    <t>faience et fermacel</t>
  </si>
  <si>
    <t>L:\Services\SERVICE_DES_TRAVAUX\_NEW SERVEUR DPT\2000_PLAN TVX COURANT cl2-cl6\2025\130 Suivi plan de travaux 2025\Classe 6\301 P-DOMERCQ\LOT 01 - SANICOTHERM - MACONNERIE\0776</t>
  </si>
  <si>
    <t>25-0275</t>
  </si>
  <si>
    <t>reparation placo chambre 208</t>
  </si>
  <si>
    <t>L:\Services\SERVICE_DES_TRAVAUX\_NEW SERVEUR DPT\2000_PLAN TVX COURANT cl2-cl6\2025\130 Suivi plan de travaux 2025\Classe 6\301 P-DOMERCQ\LOT 01 - SANICOTHERM - MACONNERIE\0777</t>
  </si>
  <si>
    <t>8622</t>
  </si>
  <si>
    <t>Alliance</t>
  </si>
  <si>
    <t>DV-2254721</t>
  </si>
  <si>
    <t>RJ45 pour imprimante copieur</t>
  </si>
  <si>
    <t>L:\Services\SERVICE_DES_TRAVAUX\_NEW SERVEUR DPT\2000_PLAN TVX COURANT cl2-cl6\2025\130 Suivi plan de travaux 2025\Classe 6\301 P-DOMERCQ\LOT 04- TBES - ELECTRICITE CFO-CFA\0779</t>
  </si>
  <si>
    <t>8384</t>
  </si>
  <si>
    <t>République</t>
  </si>
  <si>
    <t>Colombière</t>
  </si>
  <si>
    <t>DV-2254719</t>
  </si>
  <si>
    <t>La Colombiere: Suite déménagement  et libération des espaces par IRIS création de 2 postes informatiques au  1er étage ((PC et RJ)</t>
  </si>
  <si>
    <t>L:\Services\SERVICE_DES_TRAVAUX\_NEW SERVEUR DPT\2000_PLAN TVX COURANT cl2-cl6\2025\130 Suivi plan de travaux 2025\Classe 6\303 R-MERONI\LOT 04- TBES - ELECTRICITE CFO-CFA</t>
  </si>
  <si>
    <t>il faut valider la récuperation des loacaux</t>
  </si>
  <si>
    <t>D2509052/MA</t>
  </si>
  <si>
    <t xml:space="preserve">remplacement toilette </t>
  </si>
  <si>
    <t>L:\Services\SERVICE_DES_TRAVAUX\_NEW SERVEUR DPT\2000_PLAN TVX COURANT cl2-cl6\2025\130 Suivi plan de travaux 2025\Classe 6\302 M-ALEVEQUE\LOT 05 - BSMG - CVC\cmp glacis</t>
  </si>
  <si>
    <t xml:space="preserve">ANNULE LIGNE </t>
  </si>
  <si>
    <t xml:space="preserve">faience et carrelage Salle de  Bain  LOGEMENT </t>
  </si>
  <si>
    <t>dv 2255854</t>
  </si>
  <si>
    <t xml:space="preserve">alimentaion cuve fuel </t>
  </si>
  <si>
    <t>L:\Services\SERVICE_DES_TRAVAUX\_NEW SERVEUR DPT\2000_PLAN TVX COURANT cl2-cl6\2025\130 Suivi plan de travaux 2025\Classe 6\302 M-ALEVEQUE\LOT 04- TBES - ELECTRICITE CFO-CFA\0782 cuve fuel</t>
  </si>
  <si>
    <t>D2509070/MA</t>
  </si>
  <si>
    <t>remplacement evier tisanerie</t>
  </si>
  <si>
    <t>L:\Services\SERVICE_DES_TRAVAUX\_NEW SERVEUR DPT\2000_PLAN TVX COURANT cl2-cl6\2025\130 Suivi plan de travaux 2025\Classe 6\301 P-DOMERCQ\LOT 05 - BSMG - CVC\0784</t>
  </si>
  <si>
    <t>TVA 10
BDC ENVOYE</t>
  </si>
  <si>
    <t>D2509092</t>
  </si>
  <si>
    <t>Remplacement caisson VMC</t>
  </si>
  <si>
    <t>selon planning</t>
  </si>
  <si>
    <t xml:space="preserve">20-Système de contrôle d’acces </t>
  </si>
  <si>
    <t>25075026</t>
  </si>
  <si>
    <t xml:space="preserve">badges bornes fréquence plus en stock </t>
  </si>
  <si>
    <t>VU LE 05-11 AVEC FB</t>
  </si>
  <si>
    <t>N°2025/3144</t>
  </si>
  <si>
    <t xml:space="preserve">Création local fuel </t>
  </si>
  <si>
    <t>8335</t>
  </si>
  <si>
    <t>P1</t>
  </si>
  <si>
    <t>DV-2254766</t>
  </si>
  <si>
    <t>Suite demande urgente de Mme Tabai:création 2 postes travail pour aménagement d'un bureau  dans ex-espace hydrothérapique.</t>
  </si>
  <si>
    <t>285</t>
  </si>
  <si>
    <t>Cuisine-Office patients :Réfection et réaménagement de meubles de rangement suite préconisation Hygiene</t>
  </si>
  <si>
    <t>L:\Services\SERVICE_DES_TRAVAUX\_NEW SERVEUR DPT\2000_PLAN TVX COURANT cl2-cl6\2025\130 Suivi plan de travaux 2025\Classe 6\303 R-MERONI\LOT 02 - ARTETLEBOIS -MENUISERIE</t>
  </si>
  <si>
    <t>286</t>
  </si>
  <si>
    <t>Réparation de vitres dans la cage escalier à plus de 4m</t>
  </si>
  <si>
    <t>8099</t>
  </si>
  <si>
    <t>Picardie</t>
  </si>
  <si>
    <t>DE020104</t>
  </si>
  <si>
    <t xml:space="preserve">peintures divers locaux </t>
  </si>
  <si>
    <t>L:\Services\SERVICE_DES_TRAVAUX\_NEW SERVEUR DPT\2000_PLAN TVX COURANT cl2-cl6\2025\130 Suivi plan de travaux 2025\Classe 6\302 M-ALEVEQUE\LOT 03 - LES PEINTURES PARISIENNES\0791 picardie</t>
  </si>
  <si>
    <t>25-0185</t>
  </si>
  <si>
    <t>Réfection totale SDB commune suite infiltrations et mise aux normes PMR</t>
  </si>
  <si>
    <t>L:\Services\SERVICE_DES_TRAVAUX\_NEW SERVEUR DPT\2000_PLAN TVX COURANT cl2-cl6\2025\130 Suivi plan de travaux 2025\Classe 2\T2025003 - Accessibilite\Bondy SDB G11</t>
  </si>
  <si>
    <t>D2411032/MA</t>
  </si>
  <si>
    <t>DV-2246476A</t>
  </si>
  <si>
    <t>289</t>
  </si>
  <si>
    <t>325090533</t>
  </si>
  <si>
    <t>Régularisation  dépannage</t>
  </si>
  <si>
    <t>L:\Services\SERVICE_DES_TRAVAUX\_NEW SERVEUR DPT\2000_PLAN TVX COURANT cl2-cl6\2025\130 Suivi plan de travaux 2025\Classe 6\403 S-GALOUL\796</t>
  </si>
  <si>
    <t>DCO25070032</t>
  </si>
  <si>
    <t>Remplacement de 2 Velux vétustes Bureau 9 et salle peinture</t>
  </si>
  <si>
    <t>L:\Services\SERVICE_DES_TRAVAUX\_NEW SERVEUR DPT\2000_PLAN TVX COURANT cl2-cl6\2025\130 Suivi plan de travaux 2025\Classe 6\303 R-MERONI\LOT 07 - SCHNEIDER - COUVERTURE</t>
  </si>
  <si>
    <t>118739_290</t>
  </si>
  <si>
    <t xml:space="preserve">travaux sur bat acacias </t>
  </si>
  <si>
    <t>L:\Services\SERVICE_DES_TRAVAUX\_NEW SERVEUR DPT\2000_PLAN TVX COURANT cl2-cl6\2025\130 Suivi plan de travaux 2025\Classe 2\T2023035 - ACACIAS\798 Acacias</t>
  </si>
  <si>
    <t>OPERATION T20230035
BDC ENVOYE</t>
  </si>
  <si>
    <t>T20240026</t>
  </si>
  <si>
    <t>D2410046/MA</t>
  </si>
  <si>
    <t xml:space="preserve"> regul rajout 2 eviers</t>
  </si>
  <si>
    <t>\\SRV-EPS-fai11.epsve.local\DPT\Services\SERVICE_DES_TRAVAUX\_NEW SERVEUR DPT\2000_PLAN TVX COURANT cl2-cl6\2024\00 plan 2024\010 Suivi Plan 2024\CLasse 2\T2024026 extension MAS sur touraine\0799</t>
  </si>
  <si>
    <t>TVA 20 %
bdc envoyé</t>
  </si>
  <si>
    <t>regul 2024</t>
  </si>
  <si>
    <t>D2411051</t>
  </si>
  <si>
    <t xml:space="preserve">remplacement canalisation fonte sur sanitaire RDC  </t>
  </si>
  <si>
    <t>tva 20
bdc envoyé</t>
  </si>
  <si>
    <t>Regul 2024</t>
  </si>
  <si>
    <t>1035550</t>
  </si>
  <si>
    <t>remplacement automatisme du G.E Maison de Santé</t>
  </si>
  <si>
    <t>D2502055/MA</t>
  </si>
  <si>
    <t>regul ventil chaudiere s/sol + depose evier CATTP</t>
  </si>
  <si>
    <t>L:\Services\SERVICE_DES_TRAVAUX\_NEW SERVEUR DPT\2000_PLAN TVX COURANT cl2-cl6\2025\130 Suivi plan de travaux 2025\Classe 6\301 P-DOMERCQ\LOT 05 - BSMG - CVC\0802</t>
  </si>
  <si>
    <t>regul 2025</t>
  </si>
  <si>
    <t>HSSA</t>
  </si>
  <si>
    <t>8205</t>
  </si>
  <si>
    <t>DEV-2025/09-0020</t>
  </si>
  <si>
    <t>Cloture grillagée</t>
  </si>
  <si>
    <t>L:\Services\SERVICE_DES_TRAVAUX\_NEW SERVEUR DPT\2000_PLAN TVX COURANT cl2-cl6\2025\130 Suivi plan de travaux 2025\Classe 6\302 M-ALEVEQUE\H MARCHES  HSSA</t>
  </si>
  <si>
    <t>325095226</t>
  </si>
  <si>
    <t>Remplacement socle + DAI</t>
  </si>
  <si>
    <t>L:\Services\SERVICE_DES_TRAVAUX\_NEW SERVEUR DPT\2000_PLAN TVX COURANT cl2-cl6\2025\130 Suivi plan de travaux 2025\Classe 6\403 S-GALOUL\804</t>
  </si>
  <si>
    <t>Neully sur Marne</t>
  </si>
  <si>
    <t>325095283</t>
  </si>
  <si>
    <t>Remplacement DM + Prog modifcation libellés</t>
  </si>
  <si>
    <t>L:\Services\SERVICE_DES_TRAVAUX\_NEW SERVEUR DPT\2000_PLAN TVX COURANT cl2-cl6\2025\130 Suivi plan de travaux 2025\Classe 6\403 S-GALOUL\805</t>
  </si>
  <si>
    <t>Devis_00507721_2025-09-18</t>
  </si>
  <si>
    <t>DAD_PLOMB_2 SERRES_202 JEAN JAURES_NEUILLY SUR MARNE</t>
  </si>
  <si>
    <t>L:\Services\SERVICE_DES_TRAVAUX\_NEW SERVEUR DPT\2000_PLAN TVX COURANT cl2-cl6\2025\130 Suivi plan de travaux 2025\Classe 6\102 JC-HONART\ac environnement</t>
  </si>
  <si>
    <t>DE-IPS.25.09.0767</t>
  </si>
  <si>
    <t>Commande extincteurs 2026</t>
  </si>
  <si>
    <t>L:\Services\SERVICE_DES_TRAVAUX\_NEW SERVEUR DPT\2000_PLAN TVX COURANT cl2-cl6\2025\130 Suivi plan de travaux 2025\Classe 6\403 S-GALOUL\807</t>
  </si>
  <si>
    <t>est ce dans le marché?
Vu avec P.Bras 07-10</t>
  </si>
  <si>
    <t>5024</t>
  </si>
  <si>
    <t>HDJ ado</t>
  </si>
  <si>
    <t>DV-2254856</t>
  </si>
  <si>
    <t>remplacement gache elec  par ventouse electromagnetique</t>
  </si>
  <si>
    <t>L:\Services\SERVICE_DES_TRAVAUX\_NEW SERVEUR DPT\2000_PLAN TVX COURANT cl2-cl6\2025\130 Suivi plan de travaux 2025\Classe 6\301 P-DOMERCQ\LOT 04- TBES - ELECTRICITE CFO-CFA\0808</t>
  </si>
  <si>
    <t>T2025026</t>
  </si>
  <si>
    <t>2025/3148</t>
  </si>
  <si>
    <t>creation abri fumeur terasse technique R+2 CB1</t>
  </si>
  <si>
    <t>L:\Services\SERVICE_DES_TRAVAUX\_NEW SERVEUR DPT\2000_PLAN TVX COURANT cl2-cl6\2025\130 Suivi plan de travaux 2025\Classe 2\T2025026 creation abri fumeur CB1\0809</t>
  </si>
  <si>
    <t>DE020101</t>
  </si>
  <si>
    <t>reparations  chambre 208</t>
  </si>
  <si>
    <t>L:\Services\SERVICE_DES_TRAVAUX\_NEW SERVEUR DPT\2000_PLAN TVX COURANT cl2-cl6\2025\130 Suivi plan de travaux 2025\Classe 6\301 P-DOMERCQ\LOT 03 - LES PEINTURES PARISIENNES\0810</t>
  </si>
  <si>
    <t>8585</t>
  </si>
  <si>
    <t>6943/25</t>
  </si>
  <si>
    <t>régule intervention du 12-09-2025 sur volet bureau N°08</t>
  </si>
  <si>
    <t>L:\Services\SERVICE_DES_TRAVAUX\_NEW SERVEUR DPT\2000_PLAN TVX COURANT cl2-cl6\2025\130 Suivi plan de travaux 2025\Classe 6\503 P-EPIS\MBC_LOT08 ABPSI\D-0811 BONDY verdun Volet Bur-8</t>
  </si>
  <si>
    <t>T2025014</t>
  </si>
  <si>
    <t>09,2025 DE020144</t>
  </si>
  <si>
    <t>DAHL(Ex-IFSI) Peinture du bureau Accueil (ex réserve) + Tisanerie-Réunion Documentation</t>
  </si>
  <si>
    <t>L:\Services\SERVICE_DES_TRAVAUX\_NEW SERVEUR DPT\2000_PLAN TVX COURANT cl2-cl6\2025\130 Suivi plan de travaux 2025\Classe 2\T2025014  Ex IFSI DAHL</t>
  </si>
  <si>
    <t>325090843</t>
  </si>
  <si>
    <t xml:space="preserve">Régularisation devis </t>
  </si>
  <si>
    <t>L:\Services\SERVICE_DES_TRAVAUX\_NEW SERVEUR DPT\2000_PLAN TVX COURANT cl2-cl6\2025\130 Suivi plan de travaux 2025\Classe 6\403 S-GALOUL\813</t>
  </si>
  <si>
    <t>325095328</t>
  </si>
  <si>
    <t>Remplacement Socle + DAI + VEM 24V</t>
  </si>
  <si>
    <t>L:\Services\SERVICE_DES_TRAVAUX\_NEW SERVEUR DPT\2000_PLAN TVX COURANT cl2-cl6\2025\130 Suivi plan de travaux 2025\Classe 6\403 S-GALOUL\814</t>
  </si>
  <si>
    <t>DC025090085</t>
  </si>
  <si>
    <t>TS pour sppression de 2 souches désaffectées +  enlèvement des encombrants dans les combles pour y poser la LV</t>
  </si>
  <si>
    <t xml:space="preserve">  Devis abaissé de 20 %
BDC ENVOYE</t>
  </si>
  <si>
    <t>DV-2254787</t>
  </si>
  <si>
    <t>Audit de vérification platine Castel HS</t>
  </si>
  <si>
    <t>SEMOFI</t>
  </si>
  <si>
    <t>2382312704 - PÔLE SANTÉ</t>
  </si>
  <si>
    <t>PROPOSITION N°P25-42143</t>
  </si>
  <si>
    <t xml:space="preserve">mission G4 :
&gt; G4 étude : étude de l’ensemble du projet / bâtiments
&gt; G4 suivie : uniquement la phase n°1, comprenant les bâtiments G12, 15, 16, 18, Auvergne, Béarn, Normandie, Alsace et HDJ Savoie. Nous sommes parties sur environ 8 visites de chantier. Si certaines peuvent être optimisées nous le ferons. 
Le prix de la visite comprenant : le déplacement d’un ingénieur expérimenté + la rédaction d’une fiche / avis après chaque visite + validation par notre direction technique. </t>
  </si>
  <si>
    <t>\\SRV-EPS-fai11.epsve.local\DPT\Services\SERVICE_DES_TRAVAUX\_NEW SERVEUR DPT\2000_PLAN TVX COURANT cl2-cl6\2025\130 Suivi plan de travaux 2025\Classe 2\opération POLE SANTE\SEMOFI</t>
  </si>
  <si>
    <t>refection  carrelage salle de bain</t>
  </si>
  <si>
    <t>325095338</t>
  </si>
  <si>
    <t>Remplacement 5 batteries</t>
  </si>
  <si>
    <t>L:\Services\SERVICE_DES_TRAVAUX\_NEW SERVEUR DPT\2000_PLAN TVX COURANT cl2-cl6\2025\130 Suivi plan de travaux 2025\Classe 6\403 S-GALOUL\819</t>
  </si>
  <si>
    <t>12000126</t>
  </si>
  <si>
    <t>Travaux sur barriére entrée et sortie suite travaux voirie chauffage urbain</t>
  </si>
  <si>
    <t>L:\Services\SERVICE_DES_TRAVAUX\_NEW SERVEUR DPT\2000_PLAN TVX COURANT cl2-cl6\2025\130 Suivi plan de travaux 2025\Classe 6\503 P-EPIS\CONT_220024_lot08_VULCAIN Barriere-Porte Auto\D-0820  NSM  barrieres sortie travaux voirie</t>
  </si>
  <si>
    <t>12000517</t>
  </si>
  <si>
    <t>Fourniture et pose grilles de ventillation sur coffret de commande du portail CB3</t>
  </si>
  <si>
    <t>1200520</t>
  </si>
  <si>
    <t>reprise et amélioration cablage du deuxiéme moteur pour fiabiliser la maintenance</t>
  </si>
  <si>
    <t>L:\Services\SERVICE_DES_TRAVAUX\_NEW SERVEUR DPT\2000_PLAN TVX COURANT cl2-cl6\2025\130 Suivi plan de travaux 2025\Classe 6\503 P-EPIS\CONT_220024_lot08_VULCAIN Barriere-Porte Auto\D-0822  AUBER  C.Tillon reprise cablage</t>
  </si>
  <si>
    <t>1200568</t>
  </si>
  <si>
    <t>remise en place des cables aciers sorties de leurs guides sur porte sectionnelle coté garderie</t>
  </si>
  <si>
    <t>L:\Services\SERVICE_DES_TRAVAUX\_NEW SERVEUR DPT\2000_PLAN TVX COURANT cl2-cl6\2025\130 Suivi plan de travaux 2025\Classe 6\503 P-EPIS\CONT_220024_lot08_VULCAIN Barriere-Porte Auto\D-0823  NSM Transport R en S porte sect.  atelier méca</t>
  </si>
  <si>
    <t>DV-2253800</t>
  </si>
  <si>
    <t>MISE EN SERVICE ET MIGRATION CAMERA ET CONTRÔLE D ACCE SALTO</t>
  </si>
  <si>
    <r>
      <t xml:space="preserve">pourquoi un devis en + </t>
    </r>
    <r>
      <rPr>
        <sz val="11"/>
        <color rgb="FFFF0000"/>
        <rFont val="Calibri"/>
        <family val="2"/>
        <scheme val="minor"/>
      </rPr>
      <t>TVA 20 %</t>
    </r>
    <r>
      <rPr>
        <sz val="11"/>
        <color theme="1"/>
        <rFont val="Calibri"/>
        <family val="2"/>
        <scheme val="minor"/>
      </rPr>
      <t>-BDC ENVOYE</t>
    </r>
  </si>
  <si>
    <t>Devis/IDF TERTIAIRE ET INDUSTRIEL/2025-09-24-
00508535</t>
  </si>
  <si>
    <t>diagnostic sur la conduite incendie passant sous l'ancien RING</t>
  </si>
  <si>
    <t>L:\Services\SERVICE_DES_TRAVAUX\_NEW SERVEUR DPT\2000_PLAN TVX COURANT cl2-cl6\2025\130 Suivi plan de travaux 2025\Classe 2\opération POLE SANTE\AC ENVIRONNEMENT</t>
  </si>
  <si>
    <t>D 25,V EV5,031</t>
  </si>
  <si>
    <t xml:space="preserve">Tranchees et passage foureaux pour fibre optique </t>
  </si>
  <si>
    <t>L:\Services\SERVICE_DES_TRAVAUX\_NEW SERVEUR DPT\2000_PLAN TVX COURANT cl2-cl6\2025\130 Suivi plan de travaux 2025\Classe 6\302 M-ALEVEQUE\LOT 09 - SNTPP - VRD\825 gestion commune</t>
  </si>
  <si>
    <t>DE2506609</t>
  </si>
  <si>
    <t>fuite terrasse rotonde R+5</t>
  </si>
  <si>
    <t>L:\Services\SERVICE_DES_TRAVAUX\_NEW SERVEUR DPT\2000_PLAN TVX COURANT cl2-cl6\2025\130 Suivi plan de travaux 2025\Classe 6\301 P-DOMERCQ\LOT 06 - COBAT - ETANCHEITE\0827</t>
  </si>
  <si>
    <t>9006</t>
  </si>
  <si>
    <t>installations de panneaux acoustiques</t>
  </si>
  <si>
    <t>L:\Services\SERVICE_DES_TRAVAUX\_NEW SERVEUR DPT\2000_PLAN TVX COURANT cl2-cl6\2025\130 Suivi plan de travaux 2025\Classe 6\302 M-ALEVEQUE\LOT 13 - AC2P - CLOISONS FAUX PLAF\0829 creche</t>
  </si>
  <si>
    <t>dv 25,Ve 5,030</t>
  </si>
  <si>
    <t>refection d'une partie  du parking entrrée</t>
  </si>
  <si>
    <t>L:\Services\SERVICE_DES_TRAVAUX\_NEW SERVEUR DPT\2000_PLAN TVX COURANT cl2-cl6\2025\130 Suivi plan de travaux 2025\Classe 6\302 M-ALEVEQUE\LOT 09 - SNTPP - VRD\0829 parking</t>
  </si>
  <si>
    <t>m en parler-bdc envoyé</t>
  </si>
  <si>
    <t>T20250014 DAHL EX-IFSI</t>
  </si>
  <si>
    <t>8966</t>
  </si>
  <si>
    <t>Dépose et enlèvement de la grosse cloison amovible suite création des bx Dahl</t>
  </si>
  <si>
    <t>L:\Services\SERVICE_DES_TRAVAUX\_NEW SERVEUR DPT\2000_PLAN TVX COURANT cl2-cl6\2025\130 Suivi plan de travaux 2025\Classe 2\T2025014  Ex IFSI DAHL\DEVIS\0830 Cloison mobile AC2P</t>
  </si>
  <si>
    <t>DV-2254794</t>
  </si>
  <si>
    <t>Création d'un poste de travail informatique pour les patients</t>
  </si>
  <si>
    <t>L:\Services\SERVICE_DES_TRAVAUX\_NEW SERVEUR DPT\2000_PLAN TVX COURANT cl2-cl6\2025\130 Suivi plan de travaux 2025\Classe 6\303 R-MERONI\LOT 04- TBES - ELECTRICITE CFO-CFA\0831 Bondy Dubreuil Poste informat</t>
  </si>
  <si>
    <t>325090946</t>
  </si>
  <si>
    <t>Régularisation dépannage et main d'oeuvre</t>
  </si>
  <si>
    <t>L:\Services\SERVICE_DES_TRAVAUX\_NEW SERVEUR DPT\2000_PLAN TVX COURANT cl2-cl6\2025\130 Suivi plan de travaux 2025\Classe 6\403 S-GALOUL\832</t>
  </si>
  <si>
    <t>296</t>
  </si>
  <si>
    <t xml:space="preserve"> regul pour remise en etat provisoire porte DAS</t>
  </si>
  <si>
    <t>L:\Services\SERVICE_DES_TRAVAUX\_NEW SERVEUR DPT\2000_PLAN TVX COURANT cl2-cl6\2025\130 Suivi plan de travaux 2025\Classe 6\301 P-DOMERCQ\LOT 02 - ARTETLEBOIS -MENUISERIE\0833</t>
  </si>
  <si>
    <t>297</t>
  </si>
  <si>
    <t>reparation porte Ci entre sdb et chambre</t>
  </si>
  <si>
    <t>L:\Services\SERVICE_DES_TRAVAUX\_NEW SERVEUR DPT\2000_PLAN TVX COURANT cl2-cl6\2025\130 Suivi plan de travaux 2025\Classe 6\301 P-DOMERCQ\LOT 02 - ARTETLEBOIS -MENUISERIE\0834</t>
  </si>
  <si>
    <t>25-0277</t>
  </si>
  <si>
    <t>Fourniture et pose de mobilier extérieur</t>
  </si>
  <si>
    <t>L:\Services\SERVICE_DES_TRAVAUX\_NEW SERVEUR DPT\2000_PLAN TVX COURANT cl2-cl6\2025\130 Suivi plan de travaux 2025\Classe 2\opération POLE FORMATION (compte 2382312703)</t>
  </si>
  <si>
    <t>suivi par michel
BDC ENVOYE</t>
  </si>
  <si>
    <t>325090986</t>
  </si>
  <si>
    <t>Asservissement des PCF sécurisées</t>
  </si>
  <si>
    <t>L:\Services\SERVICE_DES_TRAVAUX\_NEW SERVEUR DPT\2000_PLAN TVX COURANT cl2-cl6\2025\130 Suivi plan de travaux 2025\Classe 6\403 S-GALOUL\836</t>
  </si>
  <si>
    <t>vme ne parler,
vu avec PB 01-10</t>
  </si>
  <si>
    <t>6985/25</t>
  </si>
  <si>
    <t>film pour confidentialité</t>
  </si>
  <si>
    <t>L:\Services\SERVICE_DES_TRAVAUX\_NEW SERVEUR DPT\2000_PLAN TVX COURANT cl2-cl6\2025\130 Suivi plan de travaux 2025\Classe 6\301 P-DOMERCQ\LOT 08 - ABPSI -STORES\0837</t>
  </si>
  <si>
    <t>325090385</t>
  </si>
  <si>
    <t>Regularisation dépannage</t>
  </si>
  <si>
    <t>126.60</t>
  </si>
  <si>
    <t>L:\Services\SERVICE_DES_TRAVAUX\_NEW SERVEUR DPT\2000_PLAN TVX COURANT cl2-cl6\2025\130 Suivi plan de travaux 2025\Classe 6\403 S-GALOUL\838</t>
  </si>
  <si>
    <t>TGL CREATION</t>
  </si>
  <si>
    <t>DEV003094</t>
  </si>
  <si>
    <t>Truelle + gravure 1e pierre POLE SANTE</t>
  </si>
  <si>
    <t>L:\Services\SERVICE_DES_TRAVAUX\_NEW SERVEUR DPT\2000_PLAN TVX COURANT cl2-cl6\2025\130 Suivi plan de travaux 2025\Classe 6\101 C-DARRET\Truelle 1e pierre</t>
  </si>
  <si>
    <t>3885</t>
  </si>
  <si>
    <t>Trévet</t>
  </si>
  <si>
    <t>Ethnopsychiatrie</t>
  </si>
  <si>
    <t>DV2509187</t>
  </si>
  <si>
    <t>L:\Services\SERVICE_DES_TRAVAUX\_NEW SERVEUR DPT\2000_PLAN TVX COURANT cl2-cl6\2025\130 Suivi plan de travaux 2025\Classe 6\301 P-DOMERCQ\LOT 05 - BSMG - CVC\0840</t>
  </si>
  <si>
    <t>Compte 2382312703</t>
  </si>
  <si>
    <t>DE00028944</t>
  </si>
  <si>
    <t>Fourniture et pose de mobilier intérieur</t>
  </si>
  <si>
    <t>CEB</t>
  </si>
  <si>
    <t>DE4483</t>
  </si>
  <si>
    <t>2025/09_RB/006</t>
  </si>
  <si>
    <t>CTRL TECH /EXTENSION EN RDC D’UN ESPACE DE 50M² AVEC ACCES EXTERIEUR. TVA 20%</t>
  </si>
  <si>
    <t>L:\Services\SERVICE_DES_TRAVAUX\_NEW SERVEUR DPT\1000_OPE TVX STRAT\0005 marché socotec\0843 espace famille CB1</t>
  </si>
  <si>
    <t>2577022</t>
  </si>
  <si>
    <t>Protection PVC DECOCHOC circulation</t>
  </si>
  <si>
    <t>25-0291 R1</t>
  </si>
  <si>
    <t>reparation carrelage cuisine</t>
  </si>
  <si>
    <t>L:\Services\SERVICE_DES_TRAVAUX\_NEW SERVEUR DPT\2000_PLAN TVX COURANT cl2-cl6\2025\130 Suivi plan de travaux 2025\Classe 6\301 P-DOMERCQ\LOT 01 - SANICOTHERM - MACONNERIE\0845</t>
  </si>
  <si>
    <t>2025/3186</t>
  </si>
  <si>
    <t>portail rotonde hdj + porte fenetrre acces terrasse R+4 extension</t>
  </si>
  <si>
    <t>L:\Services\SERVICE_DES_TRAVAUX\_NEW SERVEUR DPT\2000_PLAN TVX COURANT cl2-cl6\2025\130 Suivi plan de travaux 2025\Classe 6\301 P-DOMERCQ\LOT 10 - FDS CORPUS - METALLERIE\0846</t>
  </si>
  <si>
    <t>304</t>
  </si>
  <si>
    <t xml:space="preserve">reparation des portes du site avant comission secu </t>
  </si>
  <si>
    <t>L:\Services\SERVICE_DES_TRAVAUX\_NEW SERVEUR DPT\2000_PLAN TVX COURANT cl2-cl6\2025\130 Suivi plan de travaux 2025\Classe 6\301 P-DOMERCQ\LOT 02 - ARTETLEBOIS -MENUISERIE\0847</t>
  </si>
  <si>
    <t>325100035</t>
  </si>
  <si>
    <t>Régularisation Remplacement détecteur incendie</t>
  </si>
  <si>
    <t>L:\Services\SERVICE_DES_TRAVAUX\_NEW SERVEUR DPT\2000_PLAN TVX COURANT cl2-cl6\2025\130 Suivi plan de travaux 2025\Classe 6\403 S-GALOUL\848</t>
  </si>
  <si>
    <t>8500</t>
  </si>
  <si>
    <t>325100077</t>
  </si>
  <si>
    <t>Régularisation Fourniture et remplacement de 2 batteries</t>
  </si>
  <si>
    <t>L:\Services\SERVICE_DES_TRAVAUX\_NEW SERVEUR DPT\2000_PLAN TVX COURANT cl2-cl6\2025\130 Suivi plan de travaux 2025\Classe 6\403 S-GALOUL\849</t>
  </si>
  <si>
    <t>25075026/1</t>
  </si>
  <si>
    <t>badge fréquence</t>
  </si>
  <si>
    <t>L:\Services\SERVICE_DES_TRAVAUX\_NEW SERVEUR DPT\2000_PLAN TVX COURANT cl2-cl6\2025\130 Suivi plan de travaux 2025\Classe 6\402 F-BRESSAN\0850 salto badges frequence</t>
  </si>
  <si>
    <t>PM ARCHITECTE</t>
  </si>
  <si>
    <t>Assistance de suivi Clos Couvert Réhabilitation</t>
  </si>
  <si>
    <t>L:\Services\SERVICE_DES_TRAVAUX\_NEW SERVEUR DPT\1000_OPE TVX STRAT\2025.02 BATIMENT COUR DES COMMUNS\03 SUIVI FNANCIER\038 MOE\P.MARCHAND 2025</t>
  </si>
  <si>
    <t>A prendre sur l' operation cours des communs
bdc envoyé</t>
  </si>
  <si>
    <t>2253806</t>
  </si>
  <si>
    <t xml:space="preserve">caméras accueil </t>
  </si>
  <si>
    <t>L:\Services\SERVICE_DES_TRAVAUX\_NEW SERVEUR DPT\2000_PLAN TVX COURANT cl2-cl6\2025\130 Suivi plan de travaux 2025\Classe 6\402 F-BRESSAN\852 Cameras entrée hôpital</t>
  </si>
  <si>
    <t>10.2025 DE020222</t>
  </si>
  <si>
    <t xml:space="preserve">Travaux   sol  ACACIAS </t>
  </si>
  <si>
    <t>L:\Services\SERVICE_DES_TRAVAUX\_NEW SERVEUR DPT\2000_PLAN TVX COURANT cl2-cl6\2025\130 Suivi plan de travaux 2025\Classe 2\T2023035 - ACACIAS\LPP2025</t>
  </si>
  <si>
    <t>10.2025 DE020223</t>
  </si>
  <si>
    <t xml:space="preserve">Travaux  SD BAIN  ACACIAS </t>
  </si>
  <si>
    <t>10.2025 DE020224</t>
  </si>
  <si>
    <t>Travaux peintures  ACACIAS</t>
  </si>
  <si>
    <t>DE-IPS.24.12.0704</t>
  </si>
  <si>
    <t>Fourniture et pose du plan d'intervention</t>
  </si>
  <si>
    <t>\\Srv-eps-fai11\dpt\Services\SERVICE_DES_TRAVAUX\_NEW SERVEUR DPT\2000_PLAN TVX COURANT cl2-cl6\2025\130 Suivi plan de travaux 2025\Classe 6\403 S-GALOUL\856</t>
  </si>
  <si>
    <t>Ph.Bras : Régularisation urgent suite CCSA 
BDC ENVOYE</t>
  </si>
  <si>
    <t>2025/3176</t>
  </si>
  <si>
    <t>Remplacement ouvrant alu dans circulation par modèle sécure et verrouillable</t>
  </si>
  <si>
    <t>L:\Services\SERVICE_DES_TRAVAUX\_NEW SERVEUR DPT\2000_PLAN TVX COURANT cl2-cl6\2025\130 Suivi plan de travaux 2025\Classe 6\303 R-MERONI\LOT 10 - FDS CORPUS - METALLERIE\0857 Dubreuil</t>
  </si>
  <si>
    <t>2025/3189</t>
  </si>
  <si>
    <t>02/10/2025</t>
  </si>
  <si>
    <t>Remplacement ouvrant alu dans chambre 8 par modèle sécure et verrouillable (Demande CD)</t>
  </si>
  <si>
    <t>L:\Services\SERVICE_DES_TRAVAUX\_NEW SERVEUR DPT\2000_PLAN TVX COURANT cl2-cl6\2025\130 Suivi plan de travaux 2025\Classe 6\303 R-MERONI\LOT 10 - FDS CORPUS - METALLERIE\0859  Adomontreuil Ch 8</t>
  </si>
  <si>
    <t>7002/25</t>
  </si>
  <si>
    <t>F&amp;P de films  discrétion sur tous les vitrages des bureaux du RDC</t>
  </si>
  <si>
    <t>L:\Services\SERVICE_DES_TRAVAUX\_NEW SERVEUR DPT\2000_PLAN TVX COURANT cl2-cl6\2025\130 Suivi plan de travaux 2025\Classe 2\T2025014  Ex IFSI DAHL\DEVIS\0859 ABPSI Films Discrétion Bx rdc</t>
  </si>
  <si>
    <t>6944/25</t>
  </si>
  <si>
    <t xml:space="preserve">CMP (R+2) F&amp;P de 5 grands stores toiles extérieur à projection  type banette  sur la façade rue à l'identique du R+ 3  </t>
  </si>
  <si>
    <t>L:\Services\SERVICE_DES_TRAVAUX\_NEW SERVEUR DPT\2000_PLAN TVX COURANT cl2-cl6\2025\130 Suivi plan de travaux 2025\Classe 6\303 R-MERONI\LOT 08 - ABPSI -STORES\0860 Bagnolet Hugo 4 gds Stores CMP</t>
  </si>
  <si>
    <t>25 V-EVRARD.5029</t>
  </si>
  <si>
    <t>Réparation du sol souple d'un jeux extérieur</t>
  </si>
  <si>
    <t>L:\Services\SERVICE_DES_TRAVAUX\_NEW SERVEUR DPT\2000_PLAN TVX COURANT cl2-cl6\2025\130 Suivi plan de travaux 2025\Classe 6\303 R-MERONI\LOT 09 - SNTPP - VRD\0861 Montreuil Boiss  reprise jeux caoutch</t>
  </si>
  <si>
    <t>25-09-373</t>
  </si>
  <si>
    <t>dépose conduite incendie amiantée phase 1 RING OUEST</t>
  </si>
  <si>
    <t>\\SRV-EPS-fai11.epsve.local\DPT\Services\SERVICE_DES_TRAVAUX\_NEW SERVEUR DPT\2000_PLAN TVX COURANT cl2-cl6\2025\130 Suivi plan de travaux 2025\Classe 2\opération POLE SANTE\AVENIR DECONSTRUCTION\20251008_phase1_RING</t>
  </si>
  <si>
    <t>325100232</t>
  </si>
  <si>
    <t>Régularisation dépannage remplacement DAI</t>
  </si>
  <si>
    <t>L:\Services\SERVICE_DES_TRAVAUX\_NEW SERVEUR DPT\2000_PLAN TVX COURANT cl2-cl6\2025\130 Suivi plan de travaux 2025\Classe 6\403 S-GALOUL\863</t>
  </si>
  <si>
    <t>325105092</t>
  </si>
  <si>
    <t>Correction cablage ECS-TRE</t>
  </si>
  <si>
    <t>L:\Services\SERVICE_DES_TRAVAUX\_NEW SERVEUR DPT\2000_PLAN TVX COURANT cl2-cl6\2025\130 Suivi plan de travaux 2025\Classe 6\403 S-GALOUL\864</t>
  </si>
  <si>
    <t>UCP -Self</t>
  </si>
  <si>
    <t>325105095</t>
  </si>
  <si>
    <t xml:space="preserve">Remplacement de 3 BAAS + 16 Batteries </t>
  </si>
  <si>
    <t>L:\Services\SERVICE_DES_TRAVAUX\_NEW SERVEUR DPT\2000_PLAN TVX COURANT cl2-cl6\2025\130 Suivi plan de travaux 2025\Classe 6\403 S-GALOUL\865</t>
  </si>
  <si>
    <t>312</t>
  </si>
  <si>
    <t xml:space="preserve">regul reparation porte </t>
  </si>
  <si>
    <t>L:\Services\SERVICE_DES_TRAVAUX\_NEW SERVEUR DPT\2000_PLAN TVX COURANT cl2-cl6\2025\130 Suivi plan de travaux 2025\Classe 6\301 P-DOMERCQ\LOT 02 - ARTETLEBOIS -MENUISERIE\0866</t>
  </si>
  <si>
    <t>12000451</t>
  </si>
  <si>
    <t>Régule intervention sur poratil 47-01
du 03-07-2025 et  du 24-07-2025</t>
  </si>
  <si>
    <t>L:\Services\SERVICE_DES_TRAVAUX\_NEW SERVEUR DPT\2000_PLAN TVX COURANT cl2-cl6\2025\130 Suivi plan de travaux 2025\Classe 6\503 P-EPIS\CONT_220024_lot08_VULCAIN Barriere-Porte Auto\D-0867  St Denis Gluzman</t>
  </si>
  <si>
    <t>12000570</t>
  </si>
  <si>
    <t xml:space="preserve">Régule inter du 22-08-2025 sur portail CB-3 </t>
  </si>
  <si>
    <t>L:\Services\SERVICE_DES_TRAVAUX\_NEW SERVEUR DPT\2000_PLAN TVX COURANT cl2-cl6\2025\130 Suivi plan de travaux 2025\Classe 6\503 P-EPIS\CONT_220024_lot08_VULCAIN Barriere-Porte Auto\D-0868  AUBER CB3</t>
  </si>
  <si>
    <t>12000658</t>
  </si>
  <si>
    <t>Régule sur fourniture et programmation de la logique du commande, remise en service du portail</t>
  </si>
  <si>
    <t>L:\Services\SERVICE_DES_TRAVAUX\_NEW SERVEUR DPT\2000_PLAN TVX COURANT cl2-cl6\2025\130 Suivi plan de travaux 2025\Classe 6\503 P-EPIS\CONT_220024_lot08_VULCAIN Barriere-Porte Auto\D-0869  ROSNY</t>
  </si>
  <si>
    <t>12000659</t>
  </si>
  <si>
    <t xml:space="preserve">demande pour la fourniture d'une clé de dévérouillage moteur </t>
  </si>
  <si>
    <t>L:\Services\SERVICE_DES_TRAVAUX\_NEW SERVEUR DPT\2000_PLAN TVX COURANT cl2-cl6\2025\130 Suivi plan de travaux 2025\Classe 6\503 P-EPIS\CONT_220024_lot08_VULCAIN Barriere-Porte Auto\D-0870  ROSNY</t>
  </si>
  <si>
    <t>12000569</t>
  </si>
  <si>
    <t>Régule inter du 22-08-25, appel d'astreinte sur portail CB3</t>
  </si>
  <si>
    <t>L:\Services\SERVICE_DES_TRAVAUX\_NEW SERVEUR DPT\2000_PLAN TVX COURANT cl2-cl6\2025\130 Suivi plan de travaux 2025\Classe 6\503 P-EPIS\CONT_220024_lot08_VULCAIN Barriere-Porte Auto\D-0871  AUBER CB3</t>
  </si>
  <si>
    <t>12000676</t>
  </si>
  <si>
    <t>régule inter du 22-09-25, pour deux tech afin de pouvoir remettre en place les cables aciers de maintient de la porte sectionnelle 73-01</t>
  </si>
  <si>
    <t>L:\Services\SERVICE_DES_TRAVAUX\_NEW SERVEUR DPT\2000_PLAN TVX COURANT cl2-cl6\2025\130 Suivi plan de travaux 2025\Classe 6\503 P-EPIS\CONT_220024_lot08_VULCAIN Barriere-Porte Auto\D-0872  NSM Transp</t>
  </si>
  <si>
    <t>12000677</t>
  </si>
  <si>
    <t xml:space="preserve">régule inter du 24-09-25 sur portail 01-05 entrée parking aérien </t>
  </si>
  <si>
    <t>L:\Services\SERVICE_DES_TRAVAUX\_NEW SERVEUR DPT\2000_PLAN TVX COURANT cl2-cl6\2025\130 Suivi plan de travaux 2025\Classe 6\503 P-EPIS\CONT_220024_lot08_VULCAIN Barriere-Porte Auto\D-0873 AUBER C.T</t>
  </si>
  <si>
    <t>12000686</t>
  </si>
  <si>
    <t>régule inter du 26-08-25 sur porail 01-04</t>
  </si>
  <si>
    <t>L:\Services\SERVICE_DES_TRAVAUX\_NEW SERVEUR DPT\2000_PLAN TVX COURANT cl2-cl6\2025\130 Suivi plan de travaux 2025\Classe 6\503 P-EPIS\CONT_220024_lot08_VULCAIN Barriere-Porte Auto\D-0874  St DENIS Gluzman</t>
  </si>
  <si>
    <t>12000696</t>
  </si>
  <si>
    <t>régule inter d'urgence du 11-09-25 sur porte sectionnelle 73-01, doit être deux tech pour pouvoir remettre en place les cables de maintient</t>
  </si>
  <si>
    <t>L:\Services\SERVICE_DES_TRAVAUX\_NEW SERVEUR DPT\2000_PLAN TVX COURANT cl2-cl6\2025\130 Suivi plan de travaux 2025\Classe 6\503 P-EPIS\CONT_220024_lot08_VULCAIN Barriere-Porte Auto\D-0875  NSM  Gar. Méca</t>
  </si>
  <si>
    <t>12000722</t>
  </si>
  <si>
    <t>Régule inter du 03-10-25, appel d'astreinte sur portail CB3</t>
  </si>
  <si>
    <t>L:\Services\SERVICE_DES_TRAVAUX\_NEW SERVEUR DPT\2000_PLAN TVX COURANT cl2-cl6\2025\130 Suivi plan de travaux 2025\Classe 6\503 P-EPIS\CONT_220024_lot08_VULCAIN Barriere-Porte Auto\D-0876  AUBER CB3</t>
  </si>
  <si>
    <t>8900</t>
  </si>
  <si>
    <t>10,2025 DE020225</t>
  </si>
  <si>
    <t>Travaux Peinture prévu au plan 2025 : 4 Bx + cage d'escalier</t>
  </si>
  <si>
    <t>L:\Services\SERVICE_DES_TRAVAUX\_NEW SERVEUR DPT\2000_PLAN TVX COURANT cl2-cl6\2025\130 Suivi plan de travaux 2025\Classe 6\303 R-MERONI\LOT 03 - LES PEINTURES PARISIENNES\0877 Montreuil Hugo  Peinture 4 Bx et cage</t>
  </si>
  <si>
    <t>325100385</t>
  </si>
  <si>
    <t>Régularisation remplacement DAI + cablage</t>
  </si>
  <si>
    <t>L:\Services\SERVICE_DES_TRAVAUX\_NEW SERVEUR DPT\2000_PLAN TVX COURANT cl2-cl6\2025\130 Suivi plan de travaux 2025\Classe 6\403 S-GALOUL\878</t>
  </si>
  <si>
    <t>325100387</t>
  </si>
  <si>
    <t>Régularisation Remplacement batterie DAC</t>
  </si>
  <si>
    <t>L:\Services\SERVICE_DES_TRAVAUX\_NEW SERVEUR DPT\2000_PLAN TVX COURANT cl2-cl6\2025\130 Suivi plan de travaux 2025\Classe 6\403 S-GALOUL\879</t>
  </si>
  <si>
    <t>Suite fuites toiture  depuis plusiers années: remplacement complet pour rénovation  des faux plafond de 7 pieces (sur 2 niveaux)</t>
  </si>
  <si>
    <t>L:\Services\SERVICE_DES_TRAVAUX\_NEW SERVEUR DPT\2000_PLAN TVX COURANT cl2-cl6\2025\130 Suivi plan de travaux 2025\Classe 6\303 R-MERONI\LOT 13 - AC2P - CLOISONS FAUX PLAF\0880 Montreuil Pasteur Fx Pld</t>
  </si>
  <si>
    <t>Remplacement des dalles de fx Pld vêtuste avant peinture secrétariat de  AMICALE</t>
  </si>
  <si>
    <t>L:\Services\SERVICE_DES_TRAVAUX\_NEW SERVEUR DPT\2000_PLAN TVX COURANT cl2-cl6\2025\130 Suivi plan de travaux 2025\Classe 6\303 R-MERONI\LOT 13 - AC2P - CLOISONS FAUX PLAF\0881 Amicale Fx Pld</t>
  </si>
  <si>
    <t>SAFETY FIRST</t>
  </si>
  <si>
    <t>16 442</t>
  </si>
  <si>
    <t xml:space="preserve">Neutralisation de l'extinction à gaz des cuisines </t>
  </si>
  <si>
    <t>L:\Services\SERVICE_DES_TRAVAUX\_NEW SERVEUR DPT\2000_PLAN TVX COURANT cl2-cl6\2025\130 Suivi plan de travaux 2025\Classe 6\403 S-GALOUL\882</t>
  </si>
  <si>
    <t>16 441</t>
  </si>
  <si>
    <t>Remise en service de l'extinction à gaz des cuisines</t>
  </si>
  <si>
    <t>L:\Services\SERVICE_DES_TRAVAUX\_NEW SERVEUR DPT\2000_PLAN TVX COURANT cl2-cl6\2025\130 Suivi plan de travaux 2025\Classe 6\403 S-GALOUL\883</t>
  </si>
  <si>
    <t>325100545</t>
  </si>
  <si>
    <t>Régularisation déplacement astreinte</t>
  </si>
  <si>
    <t>L:\Services\SERVICE_DES_TRAVAUX\_NEW SERVEUR DPT\2000_PLAN TVX COURANT cl2-cl6\2025\130 Suivi plan de travaux 2025\Classe 6\403 S-GALOUL\884</t>
  </si>
  <si>
    <t>325100547</t>
  </si>
  <si>
    <t>L:\Services\SERVICE_DES_TRAVAUX\_NEW SERVEUR DPT\2000_PLAN TVX COURANT cl2-cl6\2025\130 Suivi plan de travaux 2025\Classe 6\403 S-GALOUL\885</t>
  </si>
  <si>
    <t>8600</t>
  </si>
  <si>
    <t>Stalingrad</t>
  </si>
  <si>
    <t>Clos Saint léger</t>
  </si>
  <si>
    <t>2025/3197</t>
  </si>
  <si>
    <t>protection acces aux 2 escaliers</t>
  </si>
  <si>
    <t>L:\Services\SERVICE_DES_TRAVAUX\_NEW SERVEUR DPT\2000_PLAN TVX COURANT cl2-cl6\2025\130 Suivi plan de travaux 2025\Classe 6\301 P-DOMERCQ\LOT 10 - FDS CORPUS - METALLERIE\886</t>
  </si>
  <si>
    <t>D2510082/MA</t>
  </si>
  <si>
    <t>plomberie et ventilatiuon cuisine</t>
  </si>
  <si>
    <t>L:\Services\SERVICE_DES_TRAVAUX\_NEW SERVEUR DPT\2000_PLAN TVX COURANT cl2-cl6\2025\130 Suivi plan de travaux 2025\Classe 6\301 P-DOMERCQ\LOT 05 - BSMG - CVC\0887</t>
  </si>
  <si>
    <t>25.V-EVRARD.5.034</t>
  </si>
  <si>
    <r>
      <t>REMPLACEMENT PARTIEL  LAMES PASSERELLES + ENROB2E ET MARQUAGE AU SOL PMR/POMPIERS</t>
    </r>
    <r>
      <rPr>
        <b/>
        <sz val="11"/>
        <color rgb="FFFF0000"/>
        <rFont val="Calibri"/>
        <family val="2"/>
        <scheme val="minor"/>
      </rPr>
      <t xml:space="preserve"> TVA 20%</t>
    </r>
  </si>
  <si>
    <t>L:\Services\SERVICE_DES_TRAVAUX\_NEW SERVEUR DPT\2000_PLAN TVX COURANT cl2-cl6\2025\130 Suivi plan de travaux 2025\Classe 6\301 P-DOMERCQ\LOT 09 - SNTPP - VRD\0888</t>
  </si>
  <si>
    <t>325100611</t>
  </si>
  <si>
    <t>Rajout de 2 DAI + Modification Prog SSI</t>
  </si>
  <si>
    <t>L:\Services\SERVICE_DES_TRAVAUX\_NEW SERVEUR DPT\2000_PLAN TVX COURANT cl2-cl6\2025\130 Suivi plan de travaux 2025\Classe 6\403 S-GALOUL\889</t>
  </si>
  <si>
    <t>G16/G18</t>
  </si>
  <si>
    <t>Provence / Dauphine</t>
  </si>
  <si>
    <t>DV-2255412</t>
  </si>
  <si>
    <t>Création de 2 coupure énergie pour cuisine demande de la CCSA</t>
  </si>
  <si>
    <t>L:\Services\SERVICE_DES_TRAVAUX\_NEW SERVEUR DPT\2000_PLAN TVX COURANT cl2-cl6\2025\130 Suivi plan de travaux 2025\Classe 6\403 S-GALOUL\890</t>
  </si>
  <si>
    <t>D10056C 025</t>
  </si>
  <si>
    <t>Remplacement Velux  3 eme étage Direction Bureau DQRJ</t>
  </si>
  <si>
    <t>L:\Services\SERVICE_DES_TRAVAUX\_NEW SERVEUR DPT\2000_PLAN TVX COURANT cl2-cl6\2025\130 Suivi plan de travaux 2025\Classe 6\303 R-MERONI\LOT 07 - SCHNEIDER - COUVERTURE\891 Velux Direction Qualité</t>
  </si>
  <si>
    <t>D25110048/MA</t>
  </si>
  <si>
    <t xml:space="preserve">Laboratoire Mielerie: Installation EC-EF-vidange pour l'hygiene des  activités de mielerie </t>
  </si>
  <si>
    <t>L:\Services\SERVICE_DES_TRAVAUX\_NEW SERVEUR DPT\2000_PLAN TVX COURANT cl2-cl6\2025\130 Suivi plan de travaux 2025\Classe 6\303 R-MERONI\LOT 05 - BSMG - CVC\Mielerie</t>
  </si>
  <si>
    <t>305</t>
  </si>
  <si>
    <t>Laboratoire Mielerie:F&amp;P d'un plan de travail avec crédence PVC</t>
  </si>
  <si>
    <t>L:\Services\SERVICE_DES_TRAVAUX\_NEW SERVEUR DPT\2000_PLAN TVX COURANT cl2-cl6\2025\130 Suivi plan de travaux 2025\Classe 6\303 R-MERONI\LOT 02 - ARTETLEBOIS -MENUISERIE\0893 Mielerie</t>
  </si>
  <si>
    <t>8618</t>
  </si>
  <si>
    <t>DE2506792</t>
  </si>
  <si>
    <t xml:space="preserve"> fuite relevé sur terrasse bat Avenir</t>
  </si>
  <si>
    <t>L:\Services\SERVICE_DES_TRAVAUX\_NEW SERVEUR DPT\2000_PLAN TVX COURANT cl2-cl6\2025\130 Suivi plan de travaux 2025\Classe 6\301 P-DOMERCQ\LOT 06 - COBAT - ETANCHEITE\0894</t>
  </si>
  <si>
    <t>T2025028</t>
  </si>
  <si>
    <t>9031</t>
  </si>
  <si>
    <t>travaux sur cloisons, reprise Fplafond ,  et evacuations mobilier fixe</t>
  </si>
  <si>
    <t>L:\Services\SERVICE_DES_TRAVAUX\_NEW SERVEUR DPT\2000_PLAN TVX COURANT cl2-cl6\2025\130 Suivi plan de travaux 2025\Classe 2\T2025028 Travaux Magasin General\0895</t>
  </si>
  <si>
    <t>2255413</t>
  </si>
  <si>
    <t>remaniemant elec</t>
  </si>
  <si>
    <t>L:\Services\SERVICE_DES_TRAVAUX\_NEW SERVEUR DPT\2000_PLAN TVX COURANT cl2-cl6\2025\130 Suivi plan de travaux 2025\Classe 2\T2025028 Travaux Magasin General\0896</t>
  </si>
  <si>
    <t>25-0302</t>
  </si>
  <si>
    <t>reprise carrelage et faience salle d'eau suite infiltrations au dessous</t>
  </si>
  <si>
    <t>L:\Services\SERVICE_DES_TRAVAUX\_NEW SERVEUR DPT\2000_PLAN TVX COURANT cl2-cl6\2025\130 Suivi plan de travaux 2025\Classe 6\301 P-DOMERCQ\LOT 01 - SANICOTHERM - MACONNERIE\0897</t>
  </si>
  <si>
    <t>DE020327</t>
  </si>
  <si>
    <t>peintures bureaux</t>
  </si>
  <si>
    <t>L:\Services\SERVICE_DES_TRAVAUX\_NEW SERVEUR DPT\2000_PLAN TVX COURANT cl2-cl6\2025\130 Suivi plan de travaux 2025\Classe 2\T2025028 Travaux Magasin General\0898</t>
  </si>
  <si>
    <t>DE020326</t>
  </si>
  <si>
    <t>sol bureaux</t>
  </si>
  <si>
    <t>L:\Services\SERVICE_DES_TRAVAUX\_NEW SERVEUR DPT\2000_PLAN TVX COURANT cl2-cl6\2025\130 Suivi plan de travaux 2025\Classe 2\T2025028 Travaux Magasin General\0899</t>
  </si>
  <si>
    <t>316</t>
  </si>
  <si>
    <t>Suite création d'un bureau dans espace hydrothérapique,pose d'un plancher technique bois pour combler le bassin</t>
  </si>
  <si>
    <t>L:\Services\SERVICE_DES_TRAVAUX\_NEW SERVEUR DPT\2000_PLAN TVX COURANT cl2-cl6\2025\130 Suivi plan de travaux 2025\Classe 6\303 R-MERONI\LOT 02 - ARTETLEBOIS -MENUISERIE\0900 Archipel Plancher Bois</t>
  </si>
  <si>
    <t>DV-2255431</t>
  </si>
  <si>
    <t>Création d'un poste de travail pour personnel soignant dans bureau 610 (ex-salle d'attente)</t>
  </si>
  <si>
    <t>L:\Services\SERVICE_DES_TRAVAUX\_NEW SERVEUR DPT\2000_PLAN TVX COURANT cl2-cl6\2025\130 Suivi plan de travaux 2025\Classe 6\303 R-MERONI\LOT 04- TBES - ELECTRICITE CFO-CFA\0901 Bondy Gallieni 6eme  Ex salle attente</t>
  </si>
  <si>
    <t>3881</t>
  </si>
  <si>
    <t>Chapelle</t>
  </si>
  <si>
    <t>Comité SIDA</t>
  </si>
  <si>
    <t>303</t>
  </si>
  <si>
    <r>
      <t xml:space="preserve">Programme 2025 :Isolation phonique Bx d'entretien SIDA              </t>
    </r>
    <r>
      <rPr>
        <sz val="11"/>
        <color rgb="FFFF0000"/>
        <rFont val="Calibri"/>
        <family val="2"/>
        <scheme val="minor"/>
      </rPr>
      <t>En attente modification devis</t>
    </r>
  </si>
  <si>
    <t>voir 2026</t>
  </si>
  <si>
    <t>T2025029</t>
  </si>
  <si>
    <t xml:space="preserve">Aménagement d'un bureau médical supplémentaire pour examen d'hygiene patients + création petite salle attente </t>
  </si>
  <si>
    <t>L:\Services\SERVICE_DES_TRAVAUX\_NEW SERVEUR DPT\2000_PLAN TVX COURANT cl2-cl6\2025\130 Suivi plan de travaux 2025\Classe 2\T2025029 Création Bx Mal BAGNOLET\0903 AC2P</t>
  </si>
  <si>
    <t>DV-2255424</t>
  </si>
  <si>
    <t>L:\Services\SERVICE_DES_TRAVAUX\_NEW SERVEUR DPT\2000_PLAN TVX COURANT cl2-cl6\2025\130 Suivi plan de travaux 2025\Classe 2\T2025029 Création Bx Mal BAGNOLET\0904 TBES CFO</t>
  </si>
  <si>
    <t>DV-2255426</t>
  </si>
  <si>
    <t>L:\Services\SERVICE_DES_TRAVAUX\_NEW SERVEUR DPT\2000_PLAN TVX COURANT cl2-cl6\2025\130 Suivi plan de travaux 2025\Classe 2\T2025029 Création Bx Mal BAGNOLET\0905 TBES  Eclairage</t>
  </si>
  <si>
    <t>BD ENVOYE</t>
  </si>
  <si>
    <t>D2510080/MA</t>
  </si>
  <si>
    <t>L:\Services\SERVICE_DES_TRAVAUX\_NEW SERVEUR DPT\2000_PLAN TVX COURANT cl2-cl6\2025\130 Suivi plan de travaux 2025\Classe 2\T2025029 Création Bx Mal BAGNOLET\0906  BSMG</t>
  </si>
  <si>
    <t>10,2025 DE020324</t>
  </si>
  <si>
    <t>L:\Services\SERVICE_DES_TRAVAUX\_NEW SERVEUR DPT\2000_PLAN TVX COURANT cl2-cl6\2025\130 Suivi plan de travaux 2025\Classe 2\T2025029 Création Bx Mal BAGNOLET\0907 LPP Peinture</t>
  </si>
  <si>
    <t>10,2025 DE020325</t>
  </si>
  <si>
    <t>L:\Services\SERVICE_DES_TRAVAUX\_NEW SERVEUR DPT\2000_PLAN TVX COURANT cl2-cl6\2025\130 Suivi plan de travaux 2025\Classe 2\T2025029 Création Bx Mal BAGNOLET\0908 LPP Sol souple</t>
  </si>
  <si>
    <t>25,V-EVRARD,5,038</t>
  </si>
  <si>
    <t>mise en place d'un regard d'accès pour sonde piezométrique sous sol souple caoutchouc  jeux enfants extérieurs</t>
  </si>
  <si>
    <t>L:\Services\SERVICE_DES_TRAVAUX\_NEW SERVEUR DPT\2000_PLAN TVX COURANT cl2-cl6\2025\130 Suivi plan de travaux 2025\Classe 6\303 R-MERONI\LOT 09 - SNTPP - VRD\909 regard piezométrique</t>
  </si>
  <si>
    <t>Devis/IDF TERTIAIRE ET INDUSTRIEL/2025-09-15-</t>
  </si>
  <si>
    <t>Diagnostic Amiante 2 eme étage SERHEP en vue des travaux d'aménagement</t>
  </si>
  <si>
    <t>L:\Services\SERVICE_DES_TRAVAUX\_NEW SERVEUR DPT\2000_PLAN TVX COURANT cl2-cl6\2025\130 Suivi plan de travaux 2025\Classe 2\T2025013 Musée  Serhep\Devis\0910  AC2P Diag Amiante</t>
  </si>
  <si>
    <t xml:space="preserve">pose d'une cloison plus porte cuisine teherapeutique </t>
  </si>
  <si>
    <t>L:\Services\SERVICE_DES_TRAVAUX\_NEW SERVEUR DPT\2000_PLAN TVX COURANT cl2-cl6\2025\130 Suivi plan de travaux 2025\Classe 6\302 M-ALEVEQUE\LOT 13 - AC2P - CLOISONS FAUX PLAF\0911 hirondelles</t>
  </si>
  <si>
    <t>DE 2336</t>
  </si>
  <si>
    <t>Intervention sur installation aspiration atelier menuiserie et remise aux normes sécurité</t>
  </si>
  <si>
    <t>L:\Services\SERVICE_DES_TRAVAUX\_NEW SERVEUR DPT\2000_PLAN TVX COURANT cl2-cl6\2025\130 Suivi plan de travaux 2025</t>
  </si>
  <si>
    <t xml:space="preserve">mise en conformité
je souhate faire le point sur ce sujet 24-10 </t>
  </si>
  <si>
    <t>12000755</t>
  </si>
  <si>
    <t>replacement de la carte logique suite court-circuit avec la bave de limace sur la carte électronique</t>
  </si>
  <si>
    <t>325100801</t>
  </si>
  <si>
    <t>Remplacement DAI suite pulvérisation prdouit frelon</t>
  </si>
  <si>
    <t>L:\Services\SERVICE_DES_TRAVAUX\_NEW SERVEUR DPT\2000_PLAN TVX COURANT cl2-cl6\2025\130 Suivi plan de travaux 2025\Classe 6\403 S-GALOUL\914</t>
  </si>
  <si>
    <t>DV-22521190A</t>
  </si>
  <si>
    <t xml:space="preserve">remplacement centrale intrusion et contrôle d acces hirondelle </t>
  </si>
  <si>
    <t>\\SRV-EPS-fai11.epsve.local\DPT\Services\SERVICE_DES_TRAVAUX\_NEW SERVEUR DPT\2000_PLAN TVX COURANT cl2-cl6\2025\130 Suivi plan de travaux 2025\Classe 6\402 F-BRESSAN\0915</t>
  </si>
  <si>
    <t>3880</t>
  </si>
  <si>
    <t>325100876</t>
  </si>
  <si>
    <t>Fourniture de manivelles</t>
  </si>
  <si>
    <t>L:\Services\SERVICE_DES_TRAVAUX\_NEW SERVEUR DPT\2000_PLAN TVX COURANT cl2-cl6\2025\130 Suivi plan de travaux 2025\Classe 6\403 S-GALOUL\916</t>
  </si>
  <si>
    <t>D2506052/MA</t>
  </si>
  <si>
    <t>plomberie et ventilation cretaion cuisine</t>
  </si>
  <si>
    <t>L:\Services\SERVICE_DES_TRAVAUX\_NEW SERVEUR DPT\2000_PLAN TVX COURANT cl2-cl6\2025\130 Suivi plan de travaux 2025\Classe 6\301 P-DOMERCQ\LOT 05 - BSMG - CVC\0917</t>
  </si>
  <si>
    <t>DV-2255517</t>
  </si>
  <si>
    <t>installation d'un visiophone</t>
  </si>
  <si>
    <t>L:\Services\SERVICE_DES_TRAVAUX\_NEW SERVEUR DPT\2000_PLAN TVX COURANT cl2-cl6\2025\130 Suivi plan de travaux 2025\Classe 6\302 M-ALEVEQUE\LOT 04- TBES - ELECTRICITE CFO-CFA\0917 montfermeil leclerc</t>
  </si>
  <si>
    <t>Ex IFSI</t>
  </si>
  <si>
    <t>325100926</t>
  </si>
  <si>
    <t xml:space="preserve">Mise à jour des textes clairs et des informations obligatoires </t>
  </si>
  <si>
    <t>616.50</t>
  </si>
  <si>
    <t>739.80</t>
  </si>
  <si>
    <t>L:\Services\SERVICE_DES_TRAVAUX\_NEW SERVEUR DPT\2000_PLAN TVX COURANT cl2-cl6\2025\130 Suivi plan de travaux 2025\Classe 6\403 S-GALOUL\919</t>
  </si>
  <si>
    <t>D2510142/MA</t>
  </si>
  <si>
    <t xml:space="preserve">reprise plomberie salle de repos </t>
  </si>
  <si>
    <t>L:\Services\SERVICE_DES_TRAVAUX\_NEW SERVEUR DPT\2000_PLAN TVX COURANT cl2-cl6\2025\130 Suivi plan de travaux 2025\Classe 2\T2025028 Travaux Magasin General\0920</t>
  </si>
  <si>
    <t>25-0307</t>
  </si>
  <si>
    <t>renovation sol sdb etancheité</t>
  </si>
  <si>
    <t>L:\Services\SERVICE_DES_TRAVAUX\_NEW SERVEUR DPT\2000_PLAN TVX COURANT cl2-cl6\2025\130 Suivi plan de travaux 2025\Classe 6\301 P-DOMERCQ\LOT 01 - SANICOTHERM - MACONNERIE\0921</t>
  </si>
  <si>
    <t>m en parler-BDC ENVOYE</t>
  </si>
  <si>
    <t>D2510150/MA</t>
  </si>
  <si>
    <t>reprise evacuations des douches ci remplacement par caniveaux</t>
  </si>
  <si>
    <t>L:\Services\SERVICE_DES_TRAVAUX\_NEW SERVEUR DPT\2000_PLAN TVX COURANT cl2-cl6\2025\130 Suivi plan de travaux 2025\Classe 6\301 P-DOMERCQ\LOT 05 - BSMG - CVC\0922</t>
  </si>
  <si>
    <t>D2509179/MA</t>
  </si>
  <si>
    <t xml:space="preserve">remplacement vanne réseau incendie allée des Maronniers - départ vers la zone pérenne 
pour consigner la zone pole santé </t>
  </si>
  <si>
    <t>L:\Services\SERVICE_DES_TRAVAUX\_NEW SERVEUR DPT\2000_PLAN TVX COURANT cl2-cl6\2025\130 Suivi plan de travaux 2025\Classe 2\opération POLE SANTE\BSMG</t>
  </si>
  <si>
    <t>DE-2513-94-A1</t>
  </si>
  <si>
    <t>Travaux de nettoyage des réseaux aérauliques de la structure "Bagnolet Victor Hugo"</t>
  </si>
  <si>
    <t>L:\Services\SERVICE_DES_TRAVAUX\_NEW SERVEUR DPT\2000_PLAN TVX COURANT cl2-cl6\2025\130 Suivi plan de travaux 2025\Classe 6\504 D-PAQUIN\CONT_220023_lot04_CLIMATER clim\00924</t>
  </si>
  <si>
    <t>438908686</t>
  </si>
  <si>
    <t>Dépannage hors forfait de l'appareil 
"DEGAGEMENT ESCALIER RR ASC, 5 Rue du Docteur Delafontaine, 93200 Saint-Denis 1940591"</t>
  </si>
  <si>
    <t>L:\Services\SERVICE_DES_TRAVAUX\_NEW SERVEUR DPT\2000_PLAN TVX COURANT cl2-cl6\2025\130 Suivi plan de travaux 2025\Classe 6\501 E-MINGANT\CONT_220026_lot01_SCHINDLER\0925</t>
  </si>
  <si>
    <t>438908716</t>
  </si>
  <si>
    <t>Dépannage hors forfait de l'appareil 
"Cuisine 1000kgs (CB1) 219741, 15 Rue du Clos Bénard, 93300 Aubervilliers 1940606"</t>
  </si>
  <si>
    <t>L:\Services\SERVICE_DES_TRAVAUX\_NEW SERVEUR DPT\2000_PLAN TVX COURANT cl2-cl6\2025\130 Suivi plan de travaux 2025\Classe 6\501 E-MINGANT\CONT_220026_lot01_SCHINDLER\0926</t>
  </si>
  <si>
    <t>DE251000997</t>
  </si>
  <si>
    <t>Suite incident enfants: Vidage, nettoyage, rinçage et remise en eau du bassin balnéo</t>
  </si>
  <si>
    <t>L:\Services\SERVICE_DES_TRAVAUX\_NEW SERVEUR DPT\2000_PLAN TVX COURANT cl2-cl6\2025\130 Suivi plan de travaux 2025\Classe 6\501 E-MINGANT\Cont_Jean_Mace_Eau+\0927</t>
  </si>
  <si>
    <t>10,2025 DE020227</t>
  </si>
  <si>
    <t xml:space="preserve">Remplacement Sol Souple de 6 espaces de travail +un palier </t>
  </si>
  <si>
    <t>L:\Services\SERVICE_DES_TRAVAUX\_NEW SERVEUR DPT\2000_PLAN TVX COURANT cl2-cl6\2025\130 Suivi plan de travaux 2025\Classe 6\303 R-MERONI\LOT 03 - LES PEINTURES PARISIENNES\0928  Devis SOL Montreuil Pasteur</t>
  </si>
  <si>
    <t>10,2025 DE020226</t>
  </si>
  <si>
    <r>
      <rPr>
        <sz val="11"/>
        <color rgb="FFFF0000"/>
        <rFont val="Calibri"/>
        <family val="2"/>
        <scheme val="minor"/>
      </rPr>
      <t xml:space="preserve"> </t>
    </r>
    <r>
      <rPr>
        <sz val="11"/>
        <color theme="1"/>
        <rFont val="Calibri"/>
        <family val="2"/>
        <scheme val="minor"/>
      </rPr>
      <t xml:space="preserve"> peinture  Suite  Inondations récurrentes des 2 eme et 1 etr étage :peinture </t>
    </r>
  </si>
  <si>
    <t>L:\Services\SERVICE_DES_TRAVAUX\_NEW SERVEUR DPT\2000_PLAN TVX COURANT cl2-cl6\2025\130 Suivi plan de travaux 2025\Classe 6\303 R-MERONI\LOT 03 - LES PEINTURES PARISIENNES\0929 Devis PEINTURE Montreuil Pasteur</t>
  </si>
  <si>
    <t>9045</t>
  </si>
  <si>
    <t>Création d'un bureau médical d'hygiene patients :F&amp;P de la porte   statifiée équipée ,isophonique</t>
  </si>
  <si>
    <t>L:\Services\SERVICE_DES_TRAVAUX\_NEW SERVEUR DPT\2000_PLAN TVX COURANT cl2-cl6\2025\130 Suivi plan de travaux 2025\Classe 2\T2025029 Création Bx Mal BAGNOLET\0930  AC2P Porte</t>
  </si>
  <si>
    <t>11-caméras</t>
  </si>
  <si>
    <t>325100419</t>
  </si>
  <si>
    <t xml:space="preserve">création et rajout caméras </t>
  </si>
  <si>
    <t>L:\Services\SERVICE_DES_TRAVAUX\_NEW SERVEUR DPT\2000_PLAN TVX COURANT cl2-cl6\2025\130 Suivi plan de travaux 2025\Classe 6\402 F-BRESSAN\0931 clos benard eris cameras</t>
  </si>
  <si>
    <t>attention a ne pas prendre sur le marché de maintenance</t>
  </si>
  <si>
    <t>fait sur 2026</t>
  </si>
  <si>
    <t>DEVIS N° : 10.2025 DE020404</t>
  </si>
  <si>
    <t xml:space="preserve">peinture bureaux </t>
  </si>
  <si>
    <t>L:\Services\SERVICE_DES_TRAVAUX\_NEW SERVEUR DPT\2000_PLAN TVX COURANT cl2-cl6\2025\130 Suivi plan de travaux 2025\Classe 6\302 M-ALEVEQUE\LOT 03 - LES PEINTURES PARISIENNES\0932 verdun</t>
  </si>
  <si>
    <t>8591</t>
  </si>
  <si>
    <t>Villemomble</t>
  </si>
  <si>
    <t>St Louis</t>
  </si>
  <si>
    <t>10.2025 DE020407</t>
  </si>
  <si>
    <t>L:\Services\SERVICE_DES_TRAVAUX\_NEW SERVEUR DPT\2000_PLAN TVX COURANT cl2-cl6\2025\130 Suivi plan de travaux 2025\Classe 6\302 M-ALEVEQUE\LOT 03 - LES PEINTURES PARISIENNES\0933 villemomble</t>
  </si>
  <si>
    <t>Aregulariser urgent-BDC ENVOYE</t>
  </si>
  <si>
    <t>10.2025 DE020409</t>
  </si>
  <si>
    <t xml:space="preserve">peinture divers locaux </t>
  </si>
  <si>
    <t>L:\Services\SERVICE_DES_TRAVAUX\_NEW SERVEUR DPT\2000_PLAN TVX COURANT cl2-cl6\2025\130 Suivi plan de travaux 2025\Classe 6\302 M-ALEVEQUE\LOT 03 - LES PEINTURES PARISIENNES\0934 champagne</t>
  </si>
  <si>
    <t>a regulariser-BDC ENVOYE</t>
  </si>
  <si>
    <t>3033839.1</t>
  </si>
  <si>
    <t>Contrôle reglementaire annuel Gaz "ERP GZ 30"</t>
  </si>
  <si>
    <t>L:\Services\SERVICE_DES_TRAVAUX\_NEW SERVEUR DPT\2000_PLAN TVX COURANT cl2-cl6\2025\130 Suivi plan de travaux 2025\Classe 6\501 E-MINGANT\RESHA_APAVE\0935</t>
  </si>
  <si>
    <t>10.2025 DE020429</t>
  </si>
  <si>
    <t>regul peinture</t>
  </si>
  <si>
    <t>L:\Services\SERVICE_DES_TRAVAUX\_NEW SERVEUR DPT\2000_PLAN TVX COURANT cl2-cl6\2025\130 Suivi plan de travaux 2025\Classe 6\301 P-DOMERCQ\LOT 03 - LES PEINTURES PARISIENNES\0936</t>
  </si>
  <si>
    <t>319</t>
  </si>
  <si>
    <t>reparation porte local linge propre</t>
  </si>
  <si>
    <t>L:\Services\SERVICE_DES_TRAVAUX\_NEW SERVEUR DPT\2000_PLAN TVX COURANT cl2-cl6\2025\130 Suivi plan de travaux 2025\Classe 6\301 P-DOMERCQ\LOT 02 - ARTETLEBOIS -MENUISERIE\0937</t>
  </si>
  <si>
    <t>318</t>
  </si>
  <si>
    <t>protections murals S/SOL et divers reparations</t>
  </si>
  <si>
    <t>L:\Services\SERVICE_DES_TRAVAUX\_NEW SERVEUR DPT\2000_PLAN TVX COURANT cl2-cl6\2025\130 Suivi plan de travaux 2025\Classe 6\301 P-DOMERCQ\LOT 02 - ARTETLEBOIS -MENUISERIE\0938</t>
  </si>
  <si>
    <t>Voir 2026</t>
  </si>
  <si>
    <t>10.2025 DE020414</t>
  </si>
  <si>
    <t>peinture cuisine therapeutique/office</t>
  </si>
  <si>
    <t>L:\Services\SERVICE_DES_TRAVAUX\_NEW SERVEUR DPT\2000_PLAN TVX COURANT cl2-cl6\2025\130 Suivi plan de travaux 2025\Classe 6\301 P-DOMERCQ\LOT 03 - LES PEINTURES PARISIENNES\0939</t>
  </si>
  <si>
    <t>25 - 0324</t>
  </si>
  <si>
    <t>depose cloison devant fenetre</t>
  </si>
  <si>
    <t>L:\Services\SERVICE_DES_TRAVAUX\_NEW SERVEUR DPT\2000_PLAN TVX COURANT cl2-cl6\2025\130 Suivi plan de travaux 2025\Classe 6\302 M-ALEVEQUE\LOT 01 - SANICOTHERM - MACONNERIE\0940 picardie</t>
  </si>
  <si>
    <t>vu le 05-11
BDC ENVOYE</t>
  </si>
  <si>
    <t>D 2509003/MA</t>
  </si>
  <si>
    <t>Suite rapport hygiene pour amélioration de l'ergonomie de la cuisine satellite:déplacement du système d'extraction</t>
  </si>
  <si>
    <t>L:\Services\SERVICE_DES_TRAVAUX\_NEW SERVEUR DPT\2000_PLAN TVX COURANT cl2-cl6\2025\130 Suivi plan de travaux 2025\Classe 6\303 R-MERONI\LOT 05 - BSMG - CVC\G10\0941  Tamaris Extracteur</t>
  </si>
  <si>
    <t>7050/25</t>
  </si>
  <si>
    <t>intervention du 21-10-2025 + remplacemnt de deux tabliers sur volet Ch211 1ET G11 + Ch3 RDJ G14</t>
  </si>
  <si>
    <t>118739-324</t>
  </si>
  <si>
    <t xml:space="preserve">creation d'une  porte paliere et une porte coulissante </t>
  </si>
  <si>
    <t>L:\Services\SERVICE_DES_TRAVAUX\_NEW SERVEUR DPT\2000_PLAN TVX COURANT cl2-cl6\2025\130 Suivi plan de travaux 2025\Classe 6\302 M-ALEVEQUE\LOT 02 - ARTETLEBOIS -MENUISERIE\943 Rosny</t>
  </si>
  <si>
    <t>decembre</t>
  </si>
  <si>
    <t>95D250334</t>
  </si>
  <si>
    <t xml:space="preserve">abattage et protection des arbres tranche 2 </t>
  </si>
  <si>
    <t>L:\Services\SERVICE_DES_TRAVAUX\_NEW SERVEUR DPT\2000_PLAN TVX COURANT cl2-cl6\2025\130 Suivi plan de travaux 2025\Classe 2\opération POLE SANTE\BELBEOCH\TR2</t>
  </si>
  <si>
    <t>marché 240024
BDC ENVOYE</t>
  </si>
  <si>
    <t>DE-2513-05</t>
  </si>
  <si>
    <t>Installation climatisation dans la salle de soins</t>
  </si>
  <si>
    <t>ce sujet est il vu avec remi (oui)</t>
  </si>
  <si>
    <t>DK251011865</t>
  </si>
  <si>
    <t>25-09-383</t>
  </si>
  <si>
    <t>retrait conduites amiantées phase 2 : conudite incendie RING EST + autres conduites en ring ouest + IDF</t>
  </si>
  <si>
    <t>L:\Services\SERVICE_DES_TRAVAUX\_NEW SERVEUR DPT\2000_PLAN TVX COURANT cl2-cl6\2025\130 Suivi plan de travaux 2025\Classe 2\opération POLE SANTE\AVENIR DECONSTRUCTION\phase2</t>
  </si>
  <si>
    <t>marché 210013
BDC ENVOYE</t>
  </si>
  <si>
    <t>25 0327</t>
  </si>
  <si>
    <t xml:space="preserve">creation porte  porte  et refection murs sous sol </t>
  </si>
  <si>
    <t>L:\Services\SERVICE_DES_TRAVAUX\_NEW SERVEUR DPT\2000_PLAN TVX COURANT cl2-cl6\2025\130 Suivi plan de travaux 2025\Classe 6\302 M-ALEVEQUE\LOT 01 - SANICOTHERM - MACONNERIE\0947 ROSNY</t>
  </si>
  <si>
    <t>12000850</t>
  </si>
  <si>
    <t>Commande de 8 BIP d'ouverture automatisme portail et autre.
Pour agent de maintenance BONDY</t>
  </si>
  <si>
    <t>DV-2255692</t>
  </si>
  <si>
    <t>creation ligne RJ45</t>
  </si>
  <si>
    <t>L:\Services\SERVICE_DES_TRAVAUX\_NEW SERVEUR DPT\2000_PLAN TVX COURANT cl2-cl6\2025\130 Suivi plan de travaux 2025\Classe 6\302 M-ALEVEQUE\LOT 04- TBES - ELECTRICITE CFO-CFA\0949 albatros</t>
  </si>
  <si>
    <t>T2025016</t>
  </si>
  <si>
    <t>Dv-2255679</t>
  </si>
  <si>
    <t>Complément d'aménagement chambre de garde:PC et RJ45 supplémentaires  + 2 liseuses</t>
  </si>
  <si>
    <t>L:\Services\SERVICE_DES_TRAVAUX\_NEW SERVEUR DPT\2000_PLAN TVX COURANT cl2-cl6\2025\130 Suivi plan de travaux 2025\Classe 2\T2025016 Ch de Gardes\Montreuil Boissiere\0951 TBES  RJ et PC</t>
  </si>
  <si>
    <t>DEV-20251104-03956</t>
  </si>
  <si>
    <t>DV-2253800-0003</t>
  </si>
  <si>
    <t>F&amp;P de 3 bandeaux -ventouses sur portes neuves  pour contrôle d'accès des Box de stockage</t>
  </si>
  <si>
    <t>L:\Services\SERVICE_DES_TRAVAUX\_NEW SERVEUR DPT\2000_PLAN TVX COURANT cl2-cl6\2025\130 Suivi plan de travaux 2025\Classe 2\T2025017 Internat Stockage Dahl\0953  TBES Bandeaux Ventouses Internat</t>
  </si>
  <si>
    <t>DV-2255708</t>
  </si>
  <si>
    <t>delacement Rj et contacts feuillures portes</t>
  </si>
  <si>
    <t>L:\Services\SERVICE_DES_TRAVAUX\_NEW SERVEUR DPT\2000_PLAN TVX COURANT cl2-cl6\2025\130 Suivi plan de travaux 2025\Classe 6\301 P-DOMERCQ\LOT 04- TBES - ELECTRICITE CFO-CFA\0954</t>
  </si>
  <si>
    <t>09,2025 DE020154</t>
  </si>
  <si>
    <t>Peinture du dernier couloir et dégagement entrée  Bureaux Administratifs</t>
  </si>
  <si>
    <t>L:\Services\SERVICE_DES_TRAVAUX\_NEW SERVEUR DPT\2000_PLAN TVX COURANT cl2-cl6\2025\130 Suivi plan de travaux 2025\Classe 6\303 R-MERONI\LOT 03 - LES PEINTURES PARISIENNES\0955   MAS couloir adm</t>
  </si>
  <si>
    <t>AAGROUP</t>
  </si>
  <si>
    <t>75_2103</t>
  </si>
  <si>
    <t>Modificatipn film USIP pour UMD</t>
  </si>
  <si>
    <t>L:\Services\SERVICE_DES_TRAVAUX\_NEW SERVEUR DPT\2000_PLAN TVX COURANT cl2-cl6\2025\130 Suivi plan de travaux 2025\Classe 6\101 C-DARRET\Film UMD</t>
  </si>
  <si>
    <t>CAT HOMOGENE = 72.08 BDC ENVOYE</t>
  </si>
  <si>
    <t>Devis avenant 2 webinaires</t>
  </si>
  <si>
    <t>Attention marché UNIHA comme Bilan Carbone
catégor 7004</t>
  </si>
  <si>
    <t>21354010 - IGAAC agencement (bât. Sociaux et Médico-sociaux)</t>
  </si>
  <si>
    <t>N°9047</t>
  </si>
  <si>
    <t>Pose d'un ilots 1200x2400mm en remplacement d'un ilots  suite à la dépose de la tête de cloison dans le burau consultation Handicap-CR 006
600x2400mm</t>
  </si>
  <si>
    <t>\\SRV-EPS-fai11.epsve.local\DPT\Services\SERVICE_DES_TRAVAUX\_NEW SERVEUR DPT\2000_PLAN TVX COURANT cl2-cl6\2025\130 Suivi plan de travaux 2025\Classe 2\opération AMT\AC2P\958</t>
  </si>
  <si>
    <t>325110137</t>
  </si>
  <si>
    <t>Régularisation dépannage</t>
  </si>
  <si>
    <t>L:\Services\SERVICE_DES_TRAVAUX\_NEW SERVEUR DPT\2000_PLAN TVX COURANT cl2-cl6\2025\130 Suivi plan de travaux 2025\Classe 6\403 S-GALOUL\959</t>
  </si>
  <si>
    <t>325110138</t>
  </si>
  <si>
    <t>L:\Services\SERVICE_DES_TRAVAUX\_NEW SERVEUR DPT\2000_PLAN TVX COURANT cl2-cl6\2025\130 Suivi plan de travaux 2025\Classe 6\403 S-GALOUL\960</t>
  </si>
  <si>
    <t>326</t>
  </si>
  <si>
    <t>cuisine salle de repos magasin</t>
  </si>
  <si>
    <t>L:\Services\SERVICE_DES_TRAVAUX\_NEW SERVEUR DPT\2000_PLAN TVX COURANT cl2-cl6\2025\130 Suivi plan de travaux 2025\Classe 2\T2025028 Travaux Magasin General\0961</t>
  </si>
  <si>
    <t>T2025018 - APP COURS DES COMMUNS</t>
  </si>
  <si>
    <t>118739_325</t>
  </si>
  <si>
    <t>reprise parquet suite a depose cloison</t>
  </si>
  <si>
    <t>T2025014 - EX IFSI</t>
  </si>
  <si>
    <t>DV-2255744</t>
  </si>
  <si>
    <t xml:space="preserve">Sécurisation  nouvelle entée DAHL :F&amp;P d'un digicode </t>
  </si>
  <si>
    <t>L:\Services\SERVICE_DES_TRAVAUX\_NEW SERVEUR DPT\2000_PLAN TVX COURANT cl2-cl6\2025\130 Suivi plan de travaux 2025\Classe 2\T2025014  Ex IFSI DAHL\DEVIS\0963  Digicode</t>
  </si>
  <si>
    <t>DV-2253567-0002</t>
  </si>
  <si>
    <t>poteau entrée véhicule digicode et lecteur</t>
  </si>
  <si>
    <t>L:\Services\SERVICE_DES_TRAVAUX\_NEW SERVEUR DPT\2000_PLAN TVX COURANT cl2-cl6\2025\130 Suivi plan de travaux 2025\Classe 6\402 F-BRESSAN\0963-tbes entrée NSM poteau</t>
  </si>
  <si>
    <t>dv 2511045</t>
  </si>
  <si>
    <t xml:space="preserve">creation reseau chaUffage pour alimentaion reseau 1 Etge et RDC </t>
  </si>
  <si>
    <t>DE2506970</t>
  </si>
  <si>
    <t xml:space="preserve">Reparation fuite toiture terrasse </t>
  </si>
  <si>
    <t>L:\Services\SERVICE_DES_TRAVAUX\_NEW SERVEUR DPT\2000_PLAN TVX COURANT cl2-cl6\2025\130 Suivi plan de travaux 2025\Classe 6\504 D-PAQUIN\MBC_LOT06 COBAT</t>
  </si>
  <si>
    <t>DV-2255502</t>
  </si>
  <si>
    <t>creation borne a frequence voiture</t>
  </si>
  <si>
    <t>L:\Services\SERVICE_DES_TRAVAUX\_NEW SERVEUR DPT\2000_PLAN TVX COURANT cl2-cl6\2025\130 Suivi plan de travaux 2025\Classe 6\402 F-BRESSAN\966 borne fréquence saint denis</t>
  </si>
  <si>
    <t>mettre TVA 0,2
m'en parler stp
attention il faut se caler avec Philippe</t>
  </si>
  <si>
    <t>156327356</t>
  </si>
  <si>
    <t xml:space="preserve">Ascenseur 1940590 CUISINE RR, mise en conformité de l'appareil comprenant remplacement de la télésurveillance HS. </t>
  </si>
  <si>
    <t>L:\Services\SERVICE_DES_TRAVAUX\_NEW SERVEUR DPT\2000_PLAN TVX COURANT cl2-cl6\2025\130 Suivi plan de travaux 2025\Classe 6\501 E-MINGANT\CONT_220026_lot01_SCHINDLER\0968</t>
  </si>
  <si>
    <t>156327510</t>
  </si>
  <si>
    <t xml:space="preserve">Ascenseur 1940591 "DEGAGEMENT ESCALIER", mise en conformité de l'appareil comprenant remplacement de la télésurveillance HS. </t>
  </si>
  <si>
    <t>L:\Services\SERVICE_DES_TRAVAUX\_NEW SERVEUR DPT\2000_PLAN TVX COURANT cl2-cl6\2025\130 Suivi plan de travaux 2025\Classe 6\501 E-MINGANT\CONT_220026_lot01_SCHINDLER\0969</t>
  </si>
  <si>
    <t xml:space="preserve"> 156327520</t>
  </si>
  <si>
    <t xml:space="preserve">Ascenseur 1940592 "HALL CENTRAL", mise en conformité de l'appareil comprenant remplacement de la télésurveillance HS. </t>
  </si>
  <si>
    <t>L:\Services\SERVICE_DES_TRAVAUX\_NEW SERVEUR DPT\2000_PLAN TVX COURANT cl2-cl6\2025\130 Suivi plan de travaux 2025\Classe 6\501 E-MINGANT\CONT_220026_lot01_SCHINDLER\0970</t>
  </si>
  <si>
    <t>C25184049-1</t>
  </si>
  <si>
    <t>REPARATION FUITE VAPEUR SUR PURGE CONDENSAT EN SST SERRES</t>
  </si>
  <si>
    <t>L:\Services\SERVICE_DES_TRAVAUX\_NEW SERVEUR DPT\2000_PLAN TVX COURANT cl2-cl6\2025\130 Suivi plan de travaux 2025\Classe 6\501 E-MINGANT\CONT_190023_lot00_DALKIA\0971</t>
  </si>
  <si>
    <t>C25184072-1</t>
  </si>
  <si>
    <t>REMPLACEMENT VANNE EN GALERIE TOURAINE</t>
  </si>
  <si>
    <t>L:\Services\SERVICE_DES_TRAVAUX\_NEW SERVEUR DPT\2000_PLAN TVX COURANT cl2-cl6\2025\130 Suivi plan de travaux 2025\Classe 6\501 E-MINGANT\CONT_190023_lot00_DALKIA\0972</t>
  </si>
  <si>
    <t>C25193483-1</t>
  </si>
  <si>
    <t>DEPLACEMENT DES POMPES R CONDENSAT AFIN D AVOIR UN REFOULEMENT A LA BACHE CHAUFFERIE SST MANIVELLE5</t>
  </si>
  <si>
    <t>L:\Services\SERVICE_DES_TRAVAUX\_NEW SERVEUR DPT\2000_PLAN TVX COURANT cl2-cl6\2025\130 Suivi plan de travaux 2025\Classe 6\501 E-MINGANT\CONT_190023_lot00_DALKIA\0973</t>
  </si>
  <si>
    <t>C25197289-1</t>
  </si>
  <si>
    <t xml:space="preserve"> REMPLACER EN URGENCE POT DE REFROIDISSEMENT AVEC MODIFICATION  SUR CH VAPEUR 10T</t>
  </si>
  <si>
    <t>L:\Services\SERVICE_DES_TRAVAUX\_NEW SERVEUR DPT\2000_PLAN TVX COURANT cl2-cl6\2025\130 Suivi plan de travaux 2025\Classe 6\501 E-MINGANT\CONT_190023_lot00_DALKIA\0974</t>
  </si>
  <si>
    <t>C25167002-1</t>
  </si>
  <si>
    <t>REMPLACEMENT EN URGENCE DU JOINT DE PLAQUE SUR ECHANGEUR VAPEURN°2 EN SST ANCIENNE CUISINE - 29-09-2025</t>
  </si>
  <si>
    <t>L:\Services\SERVICE_DES_TRAVAUX\_NEW SERVEUR DPT\2000_PLAN TVX COURANT cl2-cl6\2025\130 Suivi plan de travaux 2025\Classe 6\501 E-MINGANT\CONT_190023_lot00_DALKIA\0975</t>
  </si>
  <si>
    <t>7106/25</t>
  </si>
  <si>
    <t>Equiper de stores à enroulement  type Optima3 bureaux (Accord  CD)</t>
  </si>
  <si>
    <t>L:\Services\SERVICE_DES_TRAVAUX\_NEW SERVEUR DPT\2000_PLAN TVX COURANT cl2-cl6\2025\130 Suivi plan de travaux 2025\Classe 6\303 R-MERONI\LOT 08 - ABPSI -STORES\0976   Formation Permanente</t>
  </si>
  <si>
    <t>C25199238-1</t>
  </si>
  <si>
    <t>DETARTRAGE EN URGENCE DES ECHANGEURS VAPEUR EN SOUS STATION ANCIENNE CUSINE - 14-11-2025 (002)</t>
  </si>
  <si>
    <t>L:\Services\SERVICE_DES_TRAVAUX\_NEW SERVEUR DPT\2000_PLAN TVX COURANT cl2-cl6\2025\130 Suivi plan de travaux 2025\Classe 6\501 E-MINGANT\CONT_190023_lot00_DALKIA\0977</t>
  </si>
  <si>
    <t>C25199214-1</t>
  </si>
  <si>
    <t>REMPLACEMENT EN URGENCE DE LA REGULATION PRIMAIRE ET SECONDAIRE EN SST ANCIENNE CUISINE - 14-11-2025</t>
  </si>
  <si>
    <t>L:\Services\SERVICE_DES_TRAVAUX\_NEW SERVEUR DPT\2000_PLAN TVX COURANT cl2-cl6\2025\130 Suivi plan de travaux 2025\Classe 6\501 E-MINGANT\CONT_190023_lot00_DALKIA\0978</t>
  </si>
  <si>
    <t>D2511037/MA</t>
  </si>
  <si>
    <t xml:space="preserve">rafraichissement salle de soins </t>
  </si>
  <si>
    <t>L:\Services\SERVICE_DES_TRAVAUX\_NEW SERVEUR DPT\2000_PLAN TVX COURANT cl2-cl6\2025\130 Suivi plan de travaux 2025\Classe 6\301 P-DOMERCQ\LOT 05 - BSMG - CVC\0979</t>
  </si>
  <si>
    <t>8044</t>
  </si>
  <si>
    <t>2, Delafontaine</t>
  </si>
  <si>
    <t>Hopital Delafontaine</t>
  </si>
  <si>
    <t>CRUP-ACCUEIL  URGENCE</t>
  </si>
  <si>
    <t>D2511070/MA</t>
  </si>
  <si>
    <t xml:space="preserve"> regul reparation ci crup avec remplacement lavabo</t>
  </si>
  <si>
    <t>L:\Services\SERVICE_DES_TRAVAUX\_NEW SERVEUR DPT\2000_PLAN TVX COURANT cl2-cl6\2025\130 Suivi plan de travaux 2025\Classe 6\301 P-DOMERCQ\LOT 05 - BSMG - CVC\0980</t>
  </si>
  <si>
    <t>D2510170/MA</t>
  </si>
  <si>
    <t>reparation fuite douche qui engendre degat dans la ci  a l'etage inf</t>
  </si>
  <si>
    <t>L:\Services\SERVICE_DES_TRAVAUX\_NEW SERVEUR DPT\2000_PLAN TVX COURANT cl2-cl6\2025\130 Suivi plan de travaux 2025\Classe 6\301 P-DOMERCQ\LOT 05 - BSMG - CVC\0981</t>
  </si>
  <si>
    <t>DV-2255886</t>
  </si>
  <si>
    <t>modification elec cuisine</t>
  </si>
  <si>
    <t>\\SRV-EPS-fai11.epsve.local\DPT\Services\SERVICE_DES_TRAVAUX\_NEW SERVEUR DPT\2000_PLAN TVX COURANT cl2-cl6\2025\130 Suivi plan de travaux 2025\Classe 6\301 P-DOMERCQ\LOT 04- TBES - ELECTRICITE CFO-CFA\0982</t>
  </si>
  <si>
    <t>330</t>
  </si>
  <si>
    <t>L:\Services\SERVICE_DES_TRAVAUX\_NEW SERVEUR DPT\2000_PLAN TVX COURANT cl2-cl6\2025\130 Suivi plan de travaux 2025\Classe 6\301 P-DOMERCQ\LOT 02 - ARTETLEBOIS -MENUISERIE\0983</t>
  </si>
  <si>
    <t>11,225 DE020577</t>
  </si>
  <si>
    <t xml:space="preserve">Ragréage  P4 pour stockagedu sol brut pour surface lisse prête à peindre </t>
  </si>
  <si>
    <t>L:\Services\SERVICE_DES_TRAVAUX\_NEW SERVEUR DPT\2000_PLAN TVX COURANT cl2-cl6\2025\130 Suivi plan de travaux 2025\Classe 2\T2025017 Internat Stockage Dahl\0984  Devis Ragréage 3 box</t>
  </si>
  <si>
    <t>DV-2255941</t>
  </si>
  <si>
    <t>Suite rapport HAS pour Certification Ch 011 :Modification électrique pour déplacer les interrupteurs à l'intérieur et remplacement 3 luminaires</t>
  </si>
  <si>
    <t>L:\Services\SERVICE_DES_TRAVAUX\_NEW SERVEUR DPT\2000_PLAN TVX COURANT cl2-cl6\2025\130 Suivi plan de travaux 2025\Classe 6\303 R-MERONI\LOT 04- TBES - ELECTRICITE CFO-CFA\0985  Devis Bondy Chapelain Ch 11</t>
  </si>
  <si>
    <t>12000780</t>
  </si>
  <si>
    <t>reprise des marquages au sol  porte 70-07  Recep. Epice suite visite 486  (peinture noir/jaune)</t>
  </si>
  <si>
    <t>Z:\2025\130 Suivi plan de travaux 2025\Classe 6\503 P-EPIS\CONT_220024_lot08_VULCAIN Barriere-Porte Auto</t>
  </si>
  <si>
    <t>appelles mois pour m expliquer</t>
  </si>
  <si>
    <t>12000785</t>
  </si>
  <si>
    <t>reprise des marquages au sol porte parking 42-01  suite visite 523 (peinture jaune /noir)</t>
  </si>
  <si>
    <t>12000786</t>
  </si>
  <si>
    <t>reprise des marquages au sol porte portail logistique G + D (peinture jaune /noir)
 suite visite 546</t>
  </si>
  <si>
    <t>12000787</t>
  </si>
  <si>
    <t>dépose et remplacement du BBGV + fourniture et remplacement sandow sur porte 42,3 porte verre principale,
suite visite 525</t>
  </si>
  <si>
    <t>12000789</t>
  </si>
  <si>
    <t>Fourniture et remplacement éclairage de zone +  Marquage signalitique (peinture jaune/vert) au sol porte verre 52-02
suite visite 547</t>
  </si>
  <si>
    <t>12000790</t>
  </si>
  <si>
    <t>dépose et remplacement du BBGV + fourniture et remplacement sandow sur porte 70-01 porte verre principale,
suite visite 492</t>
  </si>
  <si>
    <t>12000791</t>
  </si>
  <si>
    <t>Remplacement feu clignotant porte logistique  02-07,
suite visite 465</t>
  </si>
  <si>
    <t>8891</t>
  </si>
  <si>
    <t>12000805</t>
  </si>
  <si>
    <t>Fourniture et remplacement éclairage de zone +  Marquage signalitique (peinture jaune/vert) au sol portail 46-02 V.Hugo
suite visite 527</t>
  </si>
  <si>
    <t>12000806</t>
  </si>
  <si>
    <t>Fourniture et remplacement éclairage de zone +  Marquage signalitique (peinture jaune/vert) au sol portail 46-01 J.Jaurés
suite visite 526</t>
  </si>
  <si>
    <t>12000807</t>
  </si>
  <si>
    <t>Marquage signalitique au sol (peinture jaune/noir) rideau 73B-01
suite visite 499</t>
  </si>
  <si>
    <t>12000808</t>
  </si>
  <si>
    <t>Marquage signalitique au sol (peinture jaune/noir) porte 70-06
suite visite 485</t>
  </si>
  <si>
    <t>12000809</t>
  </si>
  <si>
    <t>Marquage signalitique au sol (peinture jaune/noir) porte 73-01 (coté garderie)
suite visite 489</t>
  </si>
  <si>
    <t>12000810</t>
  </si>
  <si>
    <t>Marquage signalitique au sol (peinture jaune/noir) porte 73-02 (coté P.Tec)
 suite visite 490</t>
  </si>
  <si>
    <t>12000824</t>
  </si>
  <si>
    <t>Remplacement jeu de cellule +  Marquage signalisation au sol (peinture jaune/noi) P.Basc. Parking 50-01
suite visite 544</t>
  </si>
  <si>
    <t>appelles mois pour m expliquer
BDC ENVOYE</t>
  </si>
  <si>
    <t>12000866</t>
  </si>
  <si>
    <t>Marquage au sol (peinture jaune/noi) portail 08-02
suite visite 426</t>
  </si>
  <si>
    <t>12000869</t>
  </si>
  <si>
    <t>Mise en place échaffaudage et fourniture et remplacement de 6 lames rideau acier rideau hangard 71-01
suite visite 497</t>
  </si>
  <si>
    <t>12000870</t>
  </si>
  <si>
    <r>
      <rPr>
        <sz val="11"/>
        <color rgb="FFFF0000"/>
        <rFont val="Calibri"/>
        <family val="2"/>
        <scheme val="minor"/>
      </rPr>
      <t>régule inter du 03-11-25</t>
    </r>
    <r>
      <rPr>
        <sz val="11"/>
        <color theme="1"/>
        <rFont val="Calibri"/>
        <family val="2"/>
        <scheme val="minor"/>
      </rPr>
      <t xml:space="preserve"> sur portail entrée 50-04 (Mis àl'arrêt par mesure de sécurité)</t>
    </r>
  </si>
  <si>
    <t>12000871</t>
  </si>
  <si>
    <t>fourniture et remplacement de 2 batteries porte verre ascenceur 70-02
suite visite 493</t>
  </si>
  <si>
    <t>12000876</t>
  </si>
  <si>
    <t>Suite intervention657-002 du 03-11-2025. Fourniture et pose par soudage des 4 pivots/ Désacouplement et repose  verrins/Réglage applomb + course/paramétrage/ essais et test 
sur portails logistique 50-04</t>
  </si>
  <si>
    <t>12000914</t>
  </si>
  <si>
    <r>
      <rPr>
        <sz val="11"/>
        <color rgb="FFFF0000"/>
        <rFont val="Calibri"/>
        <family val="2"/>
        <scheme val="minor"/>
      </rPr>
      <t>Régule intervention d'astreinte</t>
    </r>
    <r>
      <rPr>
        <sz val="11"/>
        <color theme="1"/>
        <rFont val="Calibri"/>
        <family val="2"/>
        <scheme val="minor"/>
      </rPr>
      <t xml:space="preserve"> du 12-11-2025 sur portail entré 50-02</t>
    </r>
  </si>
  <si>
    <t>331</t>
  </si>
  <si>
    <t>regul de remplacement coffrage ci</t>
  </si>
  <si>
    <t>L:\Services\SERVICE_DES_TRAVAUX\_NEW SERVEUR DPT\2000_PLAN TVX COURANT cl2-cl6\2025\130 Suivi plan de travaux 2025\Classe 6\301 P-DOMERCQ\LOT 02 - ARTETLEBOIS -MENUISERIE\1006</t>
  </si>
  <si>
    <t>DK251114014</t>
  </si>
  <si>
    <t xml:space="preserve">Remplacement kit d allumage chaudiere  </t>
  </si>
  <si>
    <t>DK251114017</t>
  </si>
  <si>
    <t>Remplacement boitier de commande chaudiere CB</t>
  </si>
  <si>
    <t>Rue LEPINE</t>
  </si>
  <si>
    <t>Lepine</t>
  </si>
  <si>
    <t>325105466</t>
  </si>
  <si>
    <t>Remplacement d'un DM et de 26 batteries</t>
  </si>
  <si>
    <t>L:\Services\SERVICE_DES_TRAVAUX\_NEW SERVEUR DPT\2000_PLAN TVX COURANT cl2-cl6\2025\130 Suivi plan de travaux 2025\Classe 6\403 S-GALOUL\1009</t>
  </si>
  <si>
    <t>Archives Transport</t>
  </si>
  <si>
    <t>325110416</t>
  </si>
  <si>
    <t>Regularisation remplacement des batteries du SSI</t>
  </si>
  <si>
    <t>L:\Services\SERVICE_DES_TRAVAUX\_NEW SERVEUR DPT\2000_PLAN TVX COURANT cl2-cl6\2025\130 Suivi plan de travaux 2025\Classe 6\403 S-GALOUL\1010</t>
  </si>
  <si>
    <t>Boissiére</t>
  </si>
  <si>
    <t>325110485</t>
  </si>
  <si>
    <t>L:\Services\SERVICE_DES_TRAVAUX\_NEW SERVEUR DPT\2000_PLAN TVX COURANT cl2-cl6\2025\130 Suivi plan de travaux 2025\Classe 6\403 S-GALOUL\1011</t>
  </si>
  <si>
    <t>25,V-EVRARD,5,039</t>
  </si>
  <si>
    <t>poteau et Massifs beton pour barrieres d'entree</t>
  </si>
  <si>
    <t>L:\Services\SERVICE_DES_TRAVAUX\_NEW SERVEUR DPT\2000_PLAN TVX COURANT cl2-cl6\2025\130 Suivi plan de travaux 2025\Classe 2\T2025024 barrieres Clos Benard\1012</t>
  </si>
  <si>
    <t>12000918</t>
  </si>
  <si>
    <t xml:space="preserve">remplaceement des deux roulette basses (sous dimemsionnées) et HS du portail entrée 50-02 </t>
  </si>
  <si>
    <t>L:\Services\SERVICE_DES_TRAVAUX\_NEW SERVEUR DPT\2000_PLAN TVX COURANT cl2-cl6\2025\130 Suivi plan de travaux 2025\Classe 6\503 P-EPIS</t>
  </si>
  <si>
    <t>D2506113/MA</t>
  </si>
  <si>
    <t xml:space="preserve"> regul chauffage bureau addicto</t>
  </si>
  <si>
    <t>L:\Services\SERVICE_DES_TRAVAUX\_NEW SERVEUR DPT\2000_PLAN TVX COURANT cl2-cl6\2025\130 Suivi plan de travaux 2025\Classe 6\301 P-DOMERCQ\LOT 05 - BSMG - CVC\1014</t>
  </si>
  <si>
    <t>D2506099/MA</t>
  </si>
  <si>
    <t xml:space="preserve"> regul recherche de fuites - TVA 20% SUR DEVIS</t>
  </si>
  <si>
    <t>L:\Services\SERVICE_DES_TRAVAUX\_NEW SERVEUR DPT\2000_PLAN TVX COURANT cl2-cl6\2025\130 Suivi plan de travaux 2025\Classe 6\301 P-DOMERCQ\LOT 05 - BSMG - CVC\1015</t>
  </si>
  <si>
    <t>2025-11-14-00528014</t>
  </si>
  <si>
    <t>diag plomb DAT - tva 20%</t>
  </si>
  <si>
    <t>L:\Services\SERVICE_DES_TRAVAUX\_NEW SERVEUR DPT\2000_PLAN TVX COURANT cl2-cl6\2025\130 Suivi plan de travaux 2025\Classe 6\302 M-ALEVEQUE\AC environnement\1016 champagne</t>
  </si>
  <si>
    <t>code 71.032
BDC ENVOYE</t>
  </si>
  <si>
    <t>DV-2255988</t>
  </si>
  <si>
    <t>refection elec de salle tv, bureau cadre, cuisine et salle de soins</t>
  </si>
  <si>
    <t>L:\Services\SERVICE_DES_TRAVAUX\_NEW SERVEUR DPT\2000_PLAN TVX COURANT cl2-cl6\2025\130 Suivi plan de travaux 2025\Classe 6\301 P-DOMERCQ\LOT 04- TBES - ELECTRICITE CFO-CFA\1017</t>
  </si>
  <si>
    <t>OS-D2403932-001</t>
  </si>
  <si>
    <t>regul passage camera pluviale</t>
  </si>
  <si>
    <t>L:\Services\SERVICE_DES_TRAVAUX\_NEW SERVEUR DPT\2000_PLAN TVX COURANT cl2-cl6\2025\130 Suivi plan de travaux 2025\Classe 6\301 P-DOMERCQ\LOT 11 - SEA - CURAGE RESEAUX\1018</t>
  </si>
  <si>
    <t>tva20
BDC ENVOYE</t>
  </si>
  <si>
    <t>9073</t>
  </si>
  <si>
    <t xml:space="preserve"> regul repositionnempent des tetes de lits</t>
  </si>
  <si>
    <t>L:\Services\SERVICE_DES_TRAVAUX\_NEW SERVEUR DPT\2000_PLAN TVX COURANT cl2-cl6\2025\130 Suivi plan de travaux 2025\Classe 6\301 P-DOMERCQ\LOT 13 - AC2P - CLOISONS FAUX PLAF\1019</t>
  </si>
  <si>
    <t>tva 10
BDC ENVOYE</t>
  </si>
  <si>
    <t>9074</t>
  </si>
  <si>
    <t xml:space="preserve"> regul travaux sup , rmise en place d'un chassis vitré + raegreage partiel+ plinthes pvc a gorge</t>
  </si>
  <si>
    <t>L:\Services\SERVICE_DES_TRAVAUX\_NEW SERVEUR DPT\2000_PLAN TVX COURANT cl2-cl6\2025\130 Suivi plan de travaux 2025\Classe 6\301 P-DOMERCQ\LOT 13 - AC2P - CLOISONS FAUX PLAF\1020</t>
  </si>
  <si>
    <t>D 2511100/MA</t>
  </si>
  <si>
    <t>SDB chambre 217  :Reprise douche fuyarde sous les bureaux AS.A faire avant la fermeture de la SDB commune</t>
  </si>
  <si>
    <t>L:\Services\SERVICE_DES_TRAVAUX\_NEW SERVEUR DPT\2000_PLAN TVX COURANT cl2-cl6\2025\130 Suivi plan de travaux 2025\Classe 6\303 R-MERONI\LOT 05 - BSMG - CVC\BONDY Chapelain\1021 Bondy Ch 217</t>
  </si>
  <si>
    <t>333</t>
  </si>
  <si>
    <t>Aménagement chambre de garde:Divers rangements et meubles adaptés à la singularité de l'espace</t>
  </si>
  <si>
    <t>L:\Services\SERVICE_DES_TRAVAUX\_NEW SERVEUR DPT\2000_PLAN TVX COURANT cl2-cl6\2025\130 Suivi plan de travaux 2025\Classe 2\T2025016 Ch de Gardes\Montreuil Boissiere\1022  Mobiliers sur mesures</t>
  </si>
  <si>
    <t>c’est couteux
bdc envoyé</t>
  </si>
  <si>
    <t>334</t>
  </si>
  <si>
    <t>Fabrication et pose de 2 rangements muraux décoratifs et conceptuels</t>
  </si>
  <si>
    <t>L:\Services\SERVICE_DES_TRAVAUX\_NEW SERVEUR DPT\2000_PLAN TVX COURANT cl2-cl6\2025\130 Suivi plan de travaux 2025\Classe 2\T2025016 Ch de Gardes\Montreuil Boissiere\1023  2 étagères décorative</t>
  </si>
  <si>
    <t>25-11-125</t>
  </si>
  <si>
    <t xml:space="preserve">retrait conduites amiantées phase 2 complémentaire  : découvertes anciens réseaux ring Est </t>
  </si>
  <si>
    <t>L:\Services\SERVICE_DES_TRAVAUX\_NEW SERVEUR DPT\2000_PLAN TVX COURANT cl2-cl6\2025\130 Suivi plan de travaux 2025\Classe 2\opération POLE SANTE\AVENIR DECONSTRUCTION\202511_decouvertes_ring_est</t>
  </si>
  <si>
    <t>25031</t>
  </si>
  <si>
    <t xml:space="preserve">creation faience sur baignoire  regularisation </t>
  </si>
  <si>
    <t>L:\Services\SERVICE_DES_TRAVAUX\_NEW SERVEUR DPT\2000_PLAN TVX COURANT cl2-cl6\2025\130 Suivi plan de travaux 2025\Classe 6\302 M-ALEVEQUE\LOT 01 - SANICOTHERM - MACONNERIE\1025 orion</t>
  </si>
  <si>
    <t xml:space="preserve">sept </t>
  </si>
  <si>
    <t>25000</t>
  </si>
  <si>
    <t xml:space="preserve"> faience chambre capitonnée  regularisation</t>
  </si>
  <si>
    <t>25-0347</t>
  </si>
  <si>
    <t>Suite fermeture CSI à cause de faiences tranchantes: Reprise placo et faience  sur la paroi concernée.</t>
  </si>
  <si>
    <t>L:\Services\SERVICE_DES_TRAVAUX\_NEW SERVEUR DPT\2000_PLAN TVX COURANT cl2-cl6\2025\130 Suivi plan de travaux 2025\Classe 6\303 R-MERONI\LOT 01 - SANICOTHERM - MACONNERIE\1027   Bondy  SDB  CSI 10  G14</t>
  </si>
  <si>
    <t>25-0112</t>
  </si>
  <si>
    <t>Régul suite aménagement placard dépose d'une douche inutilisée avec démolition et raccords carrelage</t>
  </si>
  <si>
    <t>L:\Services\SERVICE_DES_TRAVAUX\_NEW SERVEUR DPT\2000_PLAN TVX COURANT cl2-cl6\2025\130 Suivi plan de travaux 2025\Classe 6\303 R-MERONI\LOT 01 - SANICOTHERM - MACONNERIE\1026  Noisy Le sec Raccords douche</t>
  </si>
  <si>
    <t>bdc envoye</t>
  </si>
  <si>
    <t>DK</t>
  </si>
  <si>
    <t xml:space="preserve">Regu l Remplacement sonde temperture circuit chauffage </t>
  </si>
  <si>
    <t>12000942</t>
  </si>
  <si>
    <r>
      <rPr>
        <sz val="11"/>
        <color rgb="FFFF0000"/>
        <rFont val="Calibri"/>
        <family val="2"/>
        <scheme val="minor"/>
      </rPr>
      <t xml:space="preserve">régule </t>
    </r>
    <r>
      <rPr>
        <sz val="11"/>
        <color theme="1"/>
        <rFont val="Calibri"/>
        <family val="2"/>
        <scheme val="minor"/>
      </rPr>
      <t>intervention d'astreinte  sur portail CB1 du 21/11/2025  BA107708</t>
    </r>
  </si>
  <si>
    <t>Antenne soins</t>
  </si>
  <si>
    <t>DV-2255676</t>
  </si>
  <si>
    <r>
      <t xml:space="preserve">Suite intervention TBES pour dépannage, remplacement de l'alarme très  vétuste qui dysfonctionne
</t>
    </r>
    <r>
      <rPr>
        <sz val="11"/>
        <color rgb="FFFF0000"/>
        <rFont val="Calibri"/>
        <family val="2"/>
        <scheme val="minor"/>
      </rPr>
      <t>A VOIR avec F.BRESSAN  pour la suite des travaux</t>
    </r>
  </si>
  <si>
    <t>a voir avec farnck</t>
  </si>
  <si>
    <t>DV62255740</t>
  </si>
  <si>
    <r>
      <t xml:space="preserve">Suite intervention TBES pour dépannage, remplacement de la centrale intrusion vétuste qui dysfonctionne + transmetteur multi protocole+batterie +siréne extérieure auto-alimentée
</t>
    </r>
    <r>
      <rPr>
        <sz val="11"/>
        <color rgb="FFFF0000"/>
        <rFont val="Calibri"/>
        <family val="2"/>
        <scheme val="minor"/>
      </rPr>
      <t>A VOIR avec F.BRESSAN  pour la suite des travaux</t>
    </r>
  </si>
  <si>
    <t>A valider avec franck car on souhaite uniformiser</t>
  </si>
  <si>
    <t>DV-2255983</t>
  </si>
  <si>
    <t>remplacer platine de rue interphone CASTEL avec lecteur Salto intégré,  dégradée par un patient 
(prestation de mise en service CASTEL intégrée au devis)</t>
  </si>
  <si>
    <t>25 - 0348</t>
  </si>
  <si>
    <t>suite fuite reprise coffrage</t>
  </si>
  <si>
    <t>L:\Services\SERVICE_DES_TRAVAUX\_NEW SERVEUR DPT\2000_PLAN TVX COURANT cl2-cl6\2025\130 Suivi plan de travaux 2025\Classe 6\301 P-DOMERCQ\LOT 01 - SANICOTHERM - MACONNERIE\1034</t>
  </si>
  <si>
    <t>25 - 0111 R1</t>
  </si>
  <si>
    <t>regul carrelage plonge</t>
  </si>
  <si>
    <t>L:\Services\SERVICE_DES_TRAVAUX\_NEW SERVEUR DPT\2000_PLAN TVX COURANT cl2-cl6\2025\130 Suivi plan de travaux 2025\Classe 6\301 P-DOMERCQ\LOT 01 - SANICOTHERM - MACONNERIE\1035</t>
  </si>
  <si>
    <t>325110697</t>
  </si>
  <si>
    <t>Remplacement 30 batteries</t>
  </si>
  <si>
    <t>L:\Services\SERVICE_DES_TRAVAUX\_NEW SERVEUR DPT\2000_PLAN TVX COURANT cl2-cl6\2025\130 Suivi plan de travaux 2025\Classe 6\403 S-GALOUL\1036</t>
  </si>
  <si>
    <t>Urgent SSI défaut batterie
bdc envoyé</t>
  </si>
  <si>
    <t>124484</t>
  </si>
  <si>
    <t xml:space="preserve">regul renov chambre </t>
  </si>
  <si>
    <t>\\SRV-EPS-fai11.epsve.local\DPT\Services\SERVICE_DES_TRAVAUX\_NEW SERVEUR DPT\2000_PLAN TVX COURANT cl2-cl6\2024\00 plan 2024\010 Suivi Plan 2024\CLasse 2\T2024012 Romain Roland - Saint Denis</t>
  </si>
  <si>
    <t xml:space="preserve">325110710 </t>
  </si>
  <si>
    <t>Deplacement du SSI</t>
  </si>
  <si>
    <t>L:\Services\SERVICE_DES_TRAVAUX\_NEW SERVEUR DPT\2000_PLAN TVX COURANT cl2-cl6\2025\130 Suivi plan de travaux 2025\Classe 6\403 S-GALOUL\1038</t>
  </si>
  <si>
    <t>75-2103</t>
  </si>
  <si>
    <t>Complément film UMD</t>
  </si>
  <si>
    <t>INGETERMIE</t>
  </si>
  <si>
    <t>N° D202500153</t>
  </si>
  <si>
    <t>Accompagnement Audit Technique CVC -Hôpital Delafontaine</t>
  </si>
  <si>
    <t>merci de venir me voir - probleme tableau</t>
  </si>
  <si>
    <t>DV-2254775</t>
  </si>
  <si>
    <t xml:space="preserve">Travaux d'aménagement de la salle des colons pour une cafétéria provisoired </t>
  </si>
  <si>
    <t>L:\Services\SERVICE_DES_TRAVAUX\_NEW SERVEUR DPT\2000_PLAN TVX COURANT cl2-cl6\2025\130 Suivi plan de travaux 2025\Classe 2\T2025023 NSM cafétéria\DEVIS CAFETE  PROVISOIRE\1041  TBES</t>
  </si>
  <si>
    <t>D2509083/MA</t>
  </si>
  <si>
    <t>L:\Services\SERVICE_DES_TRAVAUX\_NEW SERVEUR DPT\2000_PLAN TVX COURANT cl2-cl6\2025\130 Suivi plan de travaux 2025\Classe 2\T2025023 NSM cafétéria\DEVIS CAFETE  PROVISOIRE\1042  BSMG</t>
  </si>
  <si>
    <t>288</t>
  </si>
  <si>
    <t>L:\Services\SERVICE_DES_TRAVAUX\_NEW SERVEUR DPT\2000_PLAN TVX COURANT cl2-cl6\2025\130 Suivi plan de travaux 2025\Classe 2\T2025023 NSM cafétéria\DEVIS CAFETE  PROVISOIRE\1043  AEB</t>
  </si>
  <si>
    <t>338</t>
  </si>
  <si>
    <t xml:space="preserve">reparration plancher salla a manger </t>
  </si>
  <si>
    <t>12000951</t>
  </si>
  <si>
    <t>Fourniture et pose de 4 pivots avec location léve matériaux pour opération;  (remplacement préventif et par sécurité au vu de la réparation effectué sur le premiers protail 50-04)</t>
  </si>
  <si>
    <t>DK251114528</t>
  </si>
  <si>
    <t>Remplacement caisson de VMC</t>
  </si>
  <si>
    <t>TVA 10% -PAS LE BON DEVIS
BDC ENVOYE</t>
  </si>
  <si>
    <t>DK250202811</t>
  </si>
  <si>
    <t>REMPLACEMENT DE CAISSON ANNEXES CUISINE</t>
  </si>
  <si>
    <t>L:\Services\SERVICE_DES_TRAVAUX\_NEW SERVEUR DPT\2000_PLAN TVX COURANT cl2-cl6\2025\130 Suivi plan de travaux 2025\Classe 6\504 D-PAQUIN\CONT_220022_lot03_UTB_Insta thermiques\1047</t>
  </si>
  <si>
    <t>DE251101121</t>
  </si>
  <si>
    <t>Remmettre en service bassin balnéo suite incident enfant</t>
  </si>
  <si>
    <t>L:\Services\SERVICE_DES_TRAVAUX\_NEW SERVEUR DPT\2000_PLAN TVX COURANT cl2-cl6\2025\130 Suivi plan de travaux 2025\Classe 6\501 E-MINGANT\CONT_202500006_JM_EAU-PLUS\1048</t>
  </si>
  <si>
    <t>C25201377-1</t>
  </si>
  <si>
    <t>REGUL REPARATION FUITE CHAUFFAGE RESEAU TREFLES EN GALERIE ANCIENNE CUISINE - 18-11-2025 (002)</t>
  </si>
  <si>
    <t>L:\Services\SERVICE_DES_TRAVAUX\_NEW SERVEUR DPT\2000_PLAN TVX COURANT cl2-cl6\2025\130 Suivi plan de travaux 2025\Classe 6\501 E-MINGANT\CONT_190023_lot00_DALKIA\1049</t>
  </si>
  <si>
    <t>C25206720-1</t>
  </si>
  <si>
    <t>REMPLACEMENT EN URGENCE REGULATION HS SUR BACHE ALIMENTATION EAU CH 6 ET 10 T  EN CHAUFFERIE</t>
  </si>
  <si>
    <t>L:\Services\SERVICE_DES_TRAVAUX\_NEW SERVEUR DPT\2000_PLAN TVX COURANT cl2-cl6\2025\130 Suivi plan de travaux 2025\Classe 6\501 E-MINGANT\CONT_190023_lot00_DALKIA\1050</t>
  </si>
  <si>
    <t>sur p3?</t>
  </si>
  <si>
    <t>C2520840-1</t>
  </si>
  <si>
    <t>ACCOMPAGNEMENT SOCIETE LTDF POUR REALISATION TRAVAUX SUR RESEAU  CHATEAU,FERME,COURS DES COMMUNS</t>
  </si>
  <si>
    <t>L:\Services\SERVICE_DES_TRAVAUX\_NEW SERVEUR DPT\2000_PLAN TVX COURANT cl2-cl6\2025\130 Suivi plan de travaux 2025\Classe 6\501 E-MINGANT\CONT_190023_lot00_DALKIA\1051</t>
  </si>
  <si>
    <t>D2511175/MA</t>
  </si>
  <si>
    <t>Laboratoire Mielerie: TS pour Ballon électrique 30litres + caniveau sol pour lavage sol</t>
  </si>
  <si>
    <t>L:\Services\SERVICE_DES_TRAVAUX\_NEW SERVEUR DPT\2000_PLAN TVX COURANT cl2-cl6\2025\130 Suivi plan de travaux 2025\Classe 2\T2025027  MIELERIE\1052   BSMG Ballon et caniveau TS   BSMG</t>
  </si>
  <si>
    <t>METZ INGÉNIERIE</t>
  </si>
  <si>
    <t>1412</t>
  </si>
  <si>
    <t>Sports ASVE</t>
  </si>
  <si>
    <t>Etude structurel des désordres du  plancher ancien de la Salle de Sports</t>
  </si>
  <si>
    <t>L:\Services\SERVICE_DES_TRAVAUX\_NEW SERVEUR DPT\2000_PLAN TVX COURANT cl2-cl6\2025\130 Suivi plan de travaux 2025\Classe 6\1053 Etude Structure Plancher Salle  Sports</t>
  </si>
  <si>
    <t>12000950</t>
  </si>
  <si>
    <t>remplacer recepteur pour commande par BIP du portail livraison 48-04 (suite intervention d'astreinte, recepteur HS, plien d'urine)</t>
  </si>
  <si>
    <t>0213</t>
  </si>
  <si>
    <t>DQRJU</t>
  </si>
  <si>
    <t>00533017</t>
  </si>
  <si>
    <t>Audience Foraine Diag Amiante et plomb pour travaux de création d'un bureau supplémentaire à la place de l'ancienne cuisine du "Château"</t>
  </si>
  <si>
    <t>L:\Services\SERVICE_DES_TRAVAUX\_NEW SERVEUR DPT\2000_PLAN TVX COURANT cl2-cl6\2025\130 Suivi plan de travaux 2025\Classe 6\303 R-MERONI\AC ENVIRONNEMENT\1055  Audiences Foraine Bureau Supplémentaire Château</t>
  </si>
  <si>
    <t>10,2025 DE020364</t>
  </si>
  <si>
    <t>Régul: Effacement d'e Tags sur façade et portail</t>
  </si>
  <si>
    <t>L:\Services\SERVICE_DES_TRAVAUX\_NEW SERVEUR DPT\2000_PLAN TVX COURANT cl2-cl6\2025\130 Suivi plan de travaux 2025\Classe 6\303 R-MERONI\LOT 03 - LES PEINTURES PARISIENNES\1056  Tag Perinatalité Noisy Sec</t>
  </si>
  <si>
    <t>352</t>
  </si>
  <si>
    <t>remplacement porte Acces G02 CB1</t>
  </si>
  <si>
    <t>L:\Services\SERVICE_DES_TRAVAUX\_NEW SERVEUR DPT\2000_PLAN TVX COURANT cl2-cl6\2025\130 Suivi plan de travaux 2025\Classe 6\301 P-DOMERCQ\LOT 02 - ARTETLEBOIS -MENUISERIE\1057</t>
  </si>
  <si>
    <t>DE020651</t>
  </si>
  <si>
    <t>rfection sol et mur bureau avec SSI CHD</t>
  </si>
  <si>
    <t>L:\Services\SERVICE_DES_TRAVAUX\_NEW SERVEUR DPT\2000_PLAN TVX COURANT cl2-cl6\2025\130 Suivi plan de travaux 2025\Classe 6\301 P-DOMERCQ\LOT 03 - LES PEINTURES PARISIENNES\1058</t>
  </si>
  <si>
    <t>DEV-20251024-03946</t>
  </si>
  <si>
    <t>Mise en place module FM / OS</t>
  </si>
  <si>
    <t>L:\Services\SERVICE_DES_TRAVAUX\_NEW SERVEUR DPT\2000_PLAN TVX COURANT cl2-cl6\2025\130 Suivi plan de travaux 2025\Classe 2\opération POLE SANTE\EDIFLEX FM_OS</t>
  </si>
  <si>
    <t>DEV-20251126-04042</t>
  </si>
  <si>
    <t>Mise en production Edidoc</t>
  </si>
  <si>
    <t>L:\Services\SERVICE_DES_TRAVAUX\_NEW SERVEUR DPT\2000_PLAN TVX COURANT cl2-cl6\2025\130 Suivi plan de travaux 2025\Classe 2\opération POLE SANTE\EDIFLEX EDIDOC</t>
  </si>
  <si>
    <t>12000965</t>
  </si>
  <si>
    <t>remplacement du recepteur radio pour commande porte parking 48-01</t>
  </si>
  <si>
    <t>12000968</t>
  </si>
  <si>
    <t>remplacement du rail bas creux et écrasé pour permettre de péréniser le dépannage du remplacement des roulettes basse HS, sur portail entrée principale 50-02</t>
  </si>
  <si>
    <t>NTSI</t>
  </si>
  <si>
    <t>D-2025759</t>
  </si>
  <si>
    <t>remplacemet sonorisation Chapelle</t>
  </si>
  <si>
    <t>L:\Services\SERVICE_DES_TRAVAUX\_NEW SERVEUR DPT\2000_PLAN TVX COURANT cl2-cl6\2025\130 Suivi plan de travaux 2025\Classe 2\Sonorisation Chapelle</t>
  </si>
  <si>
    <t>Aucun</t>
  </si>
  <si>
    <t>25-03-177</t>
  </si>
  <si>
    <t>Retrait des plaques fibrociment de deux serres - Curage et démolition des deux serres</t>
  </si>
  <si>
    <t>L:\Services\SERVICE_DES_TRAVAUX\_NEW SERVEUR DPT\2000_PLAN TVX COURANT cl2-cl6\2025\130 Suivi plan de travaux 2025\Classe 6\102 JC-HONART\avenir deconstruction</t>
  </si>
  <si>
    <t>bc pour janvier 2026</t>
  </si>
  <si>
    <t>25,V-EVRARD,5,041</t>
  </si>
  <si>
    <t xml:space="preserve">Ouverture voirie et caniveau devant SIRIUS recherche de fuite </t>
  </si>
  <si>
    <t>25,V-EVARD,5,042</t>
  </si>
  <si>
    <t xml:space="preserve">Recherche de fuite devant la ferme suite affaissement chausée </t>
  </si>
  <si>
    <r>
      <rPr>
        <sz val="11"/>
        <color rgb="FFFF0000"/>
        <rFont val="Calibri"/>
        <family val="2"/>
        <scheme val="minor"/>
      </rPr>
      <t>régule</t>
    </r>
    <r>
      <rPr>
        <sz val="11"/>
        <color theme="1"/>
        <rFont val="Calibri"/>
        <family val="2"/>
        <scheme val="minor"/>
      </rPr>
      <t>, intervention du 20-11-2025-BA107608 sur porte sectionnel70-04  ,cables aciers sortis de leur guides</t>
    </r>
  </si>
  <si>
    <t>12000945</t>
  </si>
  <si>
    <r>
      <rPr>
        <sz val="11"/>
        <color rgb="FFFF0000"/>
        <rFont val="Calibri"/>
        <family val="2"/>
        <scheme val="minor"/>
      </rPr>
      <t>Régule</t>
    </r>
    <r>
      <rPr>
        <sz val="11"/>
        <color theme="1"/>
        <rFont val="Calibri"/>
        <family val="2"/>
        <scheme val="minor"/>
      </rPr>
      <t>, inter d'astreinte du 24-11-2025 BA-107713 sur portail quai livraison 48-04</t>
    </r>
  </si>
  <si>
    <t>8576</t>
  </si>
  <si>
    <t>Le Bourget</t>
  </si>
  <si>
    <t>Division Leclerc</t>
  </si>
  <si>
    <t>D2511176/MA</t>
  </si>
  <si>
    <t>isolation du reseau de chauffage</t>
  </si>
  <si>
    <t>L:\Services\SERVICE_DES_TRAVAUX\_NEW SERVEUR DPT\2000_PLAN TVX COURANT cl2-cl6\2025\130 Suivi plan de travaux 2025\Classe 6\301 P-DOMERCQ\LOT 05 - BSMG - CVC\1069</t>
  </si>
  <si>
    <t>CSINGENIERIE</t>
  </si>
  <si>
    <t>DEVIS NDV25100004- CRUP BAT. CHARCOT</t>
  </si>
  <si>
    <t>SSI - CRUP BAT. CHARCOT</t>
  </si>
  <si>
    <t>L:\Services\SERVICE_DES_TRAVAUX\_NEW SERVEUR DPT\1000_OPE TVX STRAT\2025.02 CRUP AVICENNE\03 SUIVI FNANCIER\034 CSSI</t>
  </si>
  <si>
    <t>affectation operation crup avicenne
BDC ENVOYE</t>
  </si>
  <si>
    <t>2025/3256</t>
  </si>
  <si>
    <t>remplacement chassis de fenetre alu</t>
  </si>
  <si>
    <t>L:\Services\SERVICE_DES_TRAVAUX\_NEW SERVEUR DPT\2000_PLAN TVX COURANT cl2-cl6\2025\130 Suivi plan de travaux 2025\Classe 6\301 P-DOMERCQ\LOT 10 - FDS CORPUS - METALLERIE\1071</t>
  </si>
  <si>
    <t>8192</t>
  </si>
  <si>
    <t>Rosny sous Bois</t>
  </si>
  <si>
    <t>325120286</t>
  </si>
  <si>
    <t>Déplacement système de désenfumage</t>
  </si>
  <si>
    <t>996.40</t>
  </si>
  <si>
    <t>1195.68</t>
  </si>
  <si>
    <t>L:\Services\SERVICE_DES_TRAVAUX\_NEW SERVEUR DPT\2000_PLAN TVX COURANT cl2-cl6\2025\130 Suivi plan de travaux 2025\Classe 6\403 S-GALOUL\1072</t>
  </si>
  <si>
    <t>25-12-096</t>
  </si>
  <si>
    <t>retrait conduite incendie amiantée Phase 3 - voirie au droit d'alsace</t>
  </si>
  <si>
    <t>L:\Services\SERVICE_DES_TRAVAUX\_NEW SERVEUR DPT\2000_PLAN TVX COURANT cl2-cl6\2025\130 Suivi plan de travaux 2025\Classe 2\opération POLE SANTE\AVENIR DECONSTRUCTION\Phase3</t>
  </si>
  <si>
    <t>DV-2256358</t>
  </si>
  <si>
    <t>poussoir de sortie  acces livraison</t>
  </si>
  <si>
    <t>L:\Services\SERVICE_DES_TRAVAUX\_NEW SERVEUR DPT\2000_PLAN TVX COURANT cl2-cl6\2025\130 Suivi plan de travaux 2025\Classe 6\301 P-DOMERCQ\LOT 04- TBES - ELECTRICITE CFO-CFA\1076</t>
  </si>
  <si>
    <t>C25211887-1</t>
  </si>
  <si>
    <t>REGULARISATION REPARATION FUITE SUR VANNE ET UNION EN SST NACELLE</t>
  </si>
  <si>
    <t>L:\Services\SERVICE_DES_TRAVAUX\_NEW SERVEUR DPT\2000_PLAN TVX COURANT cl2-cl6\2025\130 Suivi plan de travaux 2025\Classe 6\501 E-MINGANT\CONT_190023_lot00_DALKIA\1077</t>
  </si>
  <si>
    <t>C25211910-1</t>
  </si>
  <si>
    <t>REGULARISATION REPARATION FUITE CHAUFFAGE EN SST MANIVELLE</t>
  </si>
  <si>
    <t>L:\Services\SERVICE_DES_TRAVAUX\_NEW SERVEUR DPT\2000_PLAN TVX COURANT cl2-cl6\2025\130 Suivi plan de travaux 2025\Classe 6\501 E-MINGANT\CONT_190023_lot00_DALKIA\1078</t>
  </si>
  <si>
    <t>C25211844-1</t>
  </si>
  <si>
    <t>REGULARISATION REPARATION FUITE CHAUFFAGE EN URGENCE SUR RESEAU PHARMACIE LABORATOIRE</t>
  </si>
  <si>
    <t>L:\Services\SERVICE_DES_TRAVAUX\_NEW SERVEUR DPT\2000_PLAN TVX COURANT cl2-cl6\2025\130 Suivi plan de travaux 2025\Classe 6\501 E-MINGANT\CONT_190023_lot00_DALKIA\1079</t>
  </si>
  <si>
    <t>C25211868-1</t>
  </si>
  <si>
    <t>REGULARISATION REPARATION FUITE CHAUFFAGE RESEAU INFORMATIQUE EN URGENCE</t>
  </si>
  <si>
    <t>L:\Services\SERVICE_DES_TRAVAUX\_NEW SERVEUR DPT\2000_PLAN TVX COURANT cl2-cl6\2025\130 Suivi plan de travaux 2025\Classe 6\501 E-MINGANT\CONT_190023_lot00_DALKIA\1080</t>
  </si>
  <si>
    <t>25.V-EVRARD.5 040</t>
  </si>
  <si>
    <t>Terrassements pour recherche de fuites: Neuilly Sur Marne - Pinel - Fuites de Chauffage</t>
  </si>
  <si>
    <t>L:\Services\SERVICE_DES_TRAVAUX\_NEW SERVEUR DPT\2000_PLAN TVX COURANT cl2-cl6\2025\130 Suivi plan de travaux 2025\Classe 6\501 E-MINGANT\MBC_LOT09 SNTPP\1081</t>
  </si>
  <si>
    <t>25.V-EVRARD.5 043</t>
  </si>
  <si>
    <t>Réparation de chaussées "Nids de poules, affaissement Neuilly - Divers Voiries - Purges</t>
  </si>
  <si>
    <t>L:\Services\SERVICE_DES_TRAVAUX\_NEW SERVEUR DPT\2000_PLAN TVX COURANT cl2-cl6\2025\130 Suivi plan de travaux 2025\Classe 6\502 A-CARPINTEIRO\MBC_LOT09 SNTPP\1082</t>
  </si>
  <si>
    <t>DV-2255676A</t>
  </si>
  <si>
    <t xml:space="preserve">remplacement centrale intrusion et contrôle d acces DRANCY </t>
  </si>
  <si>
    <t>L:\Services\SERVICE_DES_TRAVAUX\_NEW SERVEUR DPT\2000_PLAN TVX COURANT cl2-cl6\2025\130 Suivi plan de travaux 2025\Classe 6\402 F-BRESSAN\1083-CENTRALE INTRUSION DRANCY</t>
  </si>
  <si>
    <t>m'en parler
17-12</t>
  </si>
  <si>
    <t>DV-2255740A</t>
  </si>
  <si>
    <t>L:\Services\SERVICE_DES_TRAVAUX\_NEW SERVEUR DPT\2000_PLAN TVX COURANT cl2-cl6\2025\130 Suivi plan de travaux 2025\Classe 6\402 F-BRESSAN\1083-CENTRALE INTRUSION 136 nsm</t>
  </si>
  <si>
    <t>DE2507237</t>
  </si>
  <si>
    <t xml:space="preserve"> Infiltration dans la salle en provenance de la toiture terrasse Auto Protégées
Reprise partielle du complexe d'étanchéité ainsi que des relevées
Prise de mesure conservatoire</t>
  </si>
  <si>
    <t>L:\Services\SERVICE_DES_TRAVAUX\_NEW SERVEUR DPT\2000_PLAN TVX COURANT cl2-cl6\2025\130 Suivi plan de travaux 2025\Classe 6\301 P-DOMERCQ\LOT 06 - COBAT - ETANCHEITE\1085</t>
  </si>
  <si>
    <t>325125177</t>
  </si>
  <si>
    <t>Remplacement vérin désenfumage</t>
  </si>
  <si>
    <t>L:\Services\SERVICE_DES_TRAVAUX\_NEW SERVEUR DPT\2000_PLAN TVX COURANT cl2-cl6\2025\130 Suivi plan de travaux 2025\Classe 6\403 S-GALOUL\1086</t>
  </si>
  <si>
    <t>DV-2256402</t>
  </si>
  <si>
    <t>regul alim four</t>
  </si>
  <si>
    <t>L:\Services\SERVICE_DES_TRAVAUX\_NEW SERVEUR DPT\2000_PLAN TVX COURANT cl2-cl6\2025\130 Suivi plan de travaux 2025\Classe 2\T2023035 - ACACIAS</t>
  </si>
  <si>
    <t>325120427</t>
  </si>
  <si>
    <t>régularisation dépannage</t>
  </si>
  <si>
    <t>L:\Services\SERVICE_DES_TRAVAUX\_NEW SERVEUR DPT\2000_PLAN TVX COURANT cl2-cl6\2025\130 Suivi plan de travaux 2025\Classe 6\403 S-GALOUL\1088</t>
  </si>
  <si>
    <t>Tréfles</t>
  </si>
  <si>
    <t>325120450</t>
  </si>
  <si>
    <t>L:\Services\SERVICE_DES_TRAVAUX\_NEW SERVEUR DPT\2000_PLAN TVX COURANT cl2-cl6\2025\130 Suivi plan de travaux 2025\Classe 6\403 S-GALOUL\1089</t>
  </si>
  <si>
    <t>DK251215371</t>
  </si>
  <si>
    <t xml:space="preserve">Remplacement servo moteur reseau chauffage </t>
  </si>
  <si>
    <t>TVA 10%
bdc envoyé</t>
  </si>
  <si>
    <t>12000089</t>
  </si>
  <si>
    <t>Régule intervention du 13-05-2025 sur porte 70-04
Cables aciers sortis de leurs guides</t>
  </si>
  <si>
    <t xml:space="preserve"> 12000437</t>
  </si>
  <si>
    <t>Régule, inter du 26-09-25  porte 70-04
remplacement de la façade de commande porte 70-04</t>
  </si>
  <si>
    <t>12000441</t>
  </si>
  <si>
    <t>Régule, inter du 24-07-2025, portail 01-04
remplacement logique de commande et câble moteur</t>
  </si>
  <si>
    <t>12000583</t>
  </si>
  <si>
    <t xml:space="preserve">régule, inter du 08-09-2025, portail 74-01
Remplacement de cable FAAC sortie moteur </t>
  </si>
  <si>
    <t>12000721</t>
  </si>
  <si>
    <t>régule inter du 02-10-2025 portail, 47-01
intervention portail vandalsé qui ne ferme plus complétement</t>
  </si>
  <si>
    <t>12000733</t>
  </si>
  <si>
    <t>régule inter du 02-09-2025 portail sortie 73-02
Remise en place barrriére, suite fin de travaux asphalte chantier chauffage urbain</t>
  </si>
  <si>
    <t>12000754</t>
  </si>
  <si>
    <t>régule inter du 13-10-2025 portail (Victor Hugo) 46-02portail 74-01
carte commande HS</t>
  </si>
  <si>
    <t>120000779</t>
  </si>
  <si>
    <t>mise en place du marquage signalitique au sol P.Parking CB2 02-06</t>
  </si>
  <si>
    <t>12000794</t>
  </si>
  <si>
    <t>régule inter du 23-10-2025  P.Parking 48-01</t>
  </si>
  <si>
    <t>12000812</t>
  </si>
  <si>
    <t>suite maintenance préventive 464, remplacement butée portillon CB1 02-04</t>
  </si>
  <si>
    <t>12000949</t>
  </si>
  <si>
    <t xml:space="preserve">Régule inter du 04-11-2025,porte sectionnelle 70-04
remettre en place cables aciers sortis de leurs guides </t>
  </si>
  <si>
    <t>12000996</t>
  </si>
  <si>
    <t>05-12-205</t>
  </si>
  <si>
    <t>Régule inter du 27-11-2025, P.Parking CB1 02-02</t>
  </si>
  <si>
    <t>12000998</t>
  </si>
  <si>
    <t>régule inter d'astreinte du 29-11-2025, portail entrée principale 50-02</t>
  </si>
  <si>
    <t>95D250438</t>
  </si>
  <si>
    <t>Fourniture et plantation d'un Platanus Acerifolia</t>
  </si>
  <si>
    <t>L:\Services\SERVICE_DES_TRAVAUX\_NEW SERVEUR DPT\2000_PLAN TVX COURANT cl2-cl6\2025\130 Suivi plan de travaux 2025\Classe 6\102 JC-HONART\Belbeoch</t>
  </si>
  <si>
    <t>DV-2256445</t>
  </si>
  <si>
    <t>Remplacer alime  chargeur portiers castel, des deux entés princpales accueil RDC</t>
  </si>
  <si>
    <t>C25220614-1</t>
  </si>
  <si>
    <t>REGUL REPARER FUITE CHAUFFAGE EN UGT RESEAU PINEL SST ANCIENNE CUISINE</t>
  </si>
  <si>
    <t>L:\Services\SERVICE_DES_TRAVAUX\_NEW SERVEUR DPT\2000_PLAN TVX COURANT cl2-cl6\2025\130 Suivi plan de travaux 2025\Classe 6\501 E-MINGANT\CONT_190023_lot00_DALKIA\1106</t>
  </si>
  <si>
    <t>C25220631-1</t>
  </si>
  <si>
    <t>REMPLACEMENT POMPE RETOUR CONDENSAT N°1 EN UGT SST ANCIENNE CUISINE</t>
  </si>
  <si>
    <t>L:\Services\SERVICE_DES_TRAVAUX\_NEW SERVEUR DPT\2000_PLAN TVX COURANT cl2-cl6\2025\130 Suivi plan de travaux 2025\Classe 6\501 E-MINGANT\CONT_190023_lot00_DALKIA\1107</t>
  </si>
  <si>
    <t>325110576</t>
  </si>
  <si>
    <t>Protection grille désenfumage</t>
  </si>
  <si>
    <t>L:\Services\SERVICE_DES_TRAVAUX\_NEW SERVEUR DPT\2000_PLAN TVX COURANT cl2-cl6\2025\130 Suivi plan de travaux 2025\Classe 6\403 S-GALOUL\1108</t>
  </si>
  <si>
    <t>Rue du Clos Benard</t>
  </si>
  <si>
    <t>325110572</t>
  </si>
  <si>
    <t>L:\Services\SERVICE_DES_TRAVAUX\_NEW SERVEUR DPT\2000_PLAN TVX COURANT cl2-cl6\2025\130 Suivi plan de travaux 2025\Classe 6\403 S-GALOUL\1109</t>
  </si>
  <si>
    <t>Leger Felicite</t>
  </si>
  <si>
    <t>325110575</t>
  </si>
  <si>
    <t>L:\Services\SERVICE_DES_TRAVAUX\_NEW SERVEUR DPT\2000_PLAN TVX COURANT cl2-cl6\2025\130 Suivi plan de travaux 2025\Classe 6\403 S-GALOUL\1110</t>
  </si>
  <si>
    <t>DV-2255580</t>
  </si>
  <si>
    <t>regul, prise sup DRH</t>
  </si>
  <si>
    <t>L:\Services\SERVICE_DES_TRAVAUX\_NEW SERVEUR DPT\2000_PLAN TVX COURANT cl2-cl6\2025\130 Suivi plan de travaux 2025\Classe 6\102 JC-HONART\1111  regul drh prise tbes</t>
  </si>
  <si>
    <t>7162/25</t>
  </si>
  <si>
    <t>régule inter du 10-12-2025 + remplacement du volet ROLTEC  HS,  par volet de rénovation (tjs avec le même modèle de révovation que les précédants)
volet UHTP G01   Ch 106</t>
  </si>
  <si>
    <t>7163/25</t>
  </si>
  <si>
    <t>régule inter du 09-12-2025
volet UHTP G14  Ch-1 + Ch-4</t>
  </si>
  <si>
    <t>7164/25</t>
  </si>
  <si>
    <t>régule inter du 11-12-2025
volet UHTP G055  Ch-123</t>
  </si>
  <si>
    <t>7165/25</t>
  </si>
  <si>
    <t xml:space="preserve">Régule inter du 11-12-2025
Volet sécrétariat  +  porte accés jardin </t>
  </si>
  <si>
    <t>C202500007</t>
  </si>
  <si>
    <t>L:\Services\SERVICE_DES_TRAVAUX\_NEW SERVEUR DPT\2000_PLAN TVX COURANT cl2-cl6\2025\130 Suivi plan de travaux 2025\Classe 6\501 E-MINGANT\Cont_Jean_Mace_Eau+\1117</t>
  </si>
  <si>
    <t>306137</t>
  </si>
  <si>
    <r>
      <t xml:space="preserve">régule inter du 03-09-2025 GE M.Santé
probléme, automate de commande HS
</t>
    </r>
    <r>
      <rPr>
        <sz val="11"/>
        <color rgb="FFFF0000"/>
        <rFont val="Calibri"/>
        <family val="2"/>
        <scheme val="minor"/>
      </rPr>
      <t>ATTENTION   TVA à 10%   sur le devis en piéce jointe</t>
    </r>
  </si>
  <si>
    <t>DCO25120069</t>
  </si>
  <si>
    <t>regul reparation fuite bureau cadre provenant de la couverture ZINC</t>
  </si>
  <si>
    <t>L:\Services\SERVICE_DES_TRAVAUX\_NEW SERVEUR DPT\2000_PLAN TVX COURANT cl2-cl6\2025\130 Suivi plan de travaux 2025\Classe 6\301 P-DOMERCQ\LOT 07 - SCHNEIDER - COUVERTURE\1119 depannage schneider  st ouen</t>
  </si>
  <si>
    <t>D2512139/MA</t>
  </si>
  <si>
    <t>remplacement de l'ensemble des premix + mitigeur lavabo ch 10</t>
  </si>
  <si>
    <t>L:\Services\SERVICE_DES_TRAVAUX\_NEW SERVEUR DPT\2000_PLAN TVX COURANT cl2-cl6\2025\130 Suivi plan de travaux 2025\Classe 6\301 P-DOMERCQ\LOT 05 - BSMG - CVC\1120</t>
  </si>
  <si>
    <t>156519047</t>
  </si>
  <si>
    <t xml:space="preserve">Remplacement du système de fermeture de porte HS sur appareil 1940647 (Pharmacie MCA) </t>
  </si>
  <si>
    <t>L:\Services\SERVICE_DES_TRAVAUX\_NEW SERVEUR DPT\2000_PLAN TVX COURANT cl2-cl6\2025\130 Suivi plan de travaux 2025\Classe 6\501 E-MINGANT\CONT_220026_lot01_SCHINDLER\1121</t>
  </si>
  <si>
    <t>EM: TVA erroné mettre à 20% demande signifiée à schindler</t>
  </si>
  <si>
    <t>156506711</t>
  </si>
  <si>
    <t>Réparation de l'appareil 2097828 comprenant remplacement d'un encodeur (11 Rue Roger Salengro, 93700 Drancy )</t>
  </si>
  <si>
    <t>L:\Services\SERVICE_DES_TRAVAUX\_NEW SERVEUR DPT\2000_PLAN TVX COURANT cl2-cl6\2025\130 Suivi plan de travaux 2025\Classe 6\501 E-MINGANT\CONT_220026_lot01_SCHINDLER\1122</t>
  </si>
  <si>
    <t>7191/25</t>
  </si>
  <si>
    <t>Régule inter du 19-12-2025 sur dépannage volet porte d'entrée HJ</t>
  </si>
  <si>
    <t>124894</t>
  </si>
  <si>
    <t xml:space="preserve"> 05/05/25</t>
  </si>
  <si>
    <t>Fourniture et pose d'étagères et penderie dans les 3 logements à gagny</t>
  </si>
  <si>
    <t>L:\Services\SERVICE_DES_TRAVAUX\_NEW SERVEUR DPT\2000_PLAN TVX COURANT cl2-cl6\2024\00 plan 2024\010 Suivi Plan 2024\CLasse 2\T2024034 Rénovation appartements GAGNY\LOT 02 - ART ET LE BOIS -MENUISERIE\538</t>
  </si>
  <si>
    <t>124788</t>
  </si>
  <si>
    <t>Aménagement d'un appartement prototype pour  travail d'autonomisation des patients et familles:  Cuisine intégrée</t>
  </si>
  <si>
    <t>L:\Services\SERVICE_DES_TRAVAUX\_NEW SERVEUR DPT\2000_PLAN TVX COURANT cl2-cl6\2025\130 Suivi plan de travaux 2025\Classe 2\T2025005 Appartement  Unirre-Care\335 AEB cuisine intégrée</t>
  </si>
  <si>
    <t xml:space="preserve"> </t>
  </si>
  <si>
    <t>Ville</t>
  </si>
  <si>
    <t>Site</t>
  </si>
  <si>
    <t>8177</t>
  </si>
  <si>
    <t>8574</t>
  </si>
  <si>
    <t>8922</t>
  </si>
  <si>
    <t>8034</t>
  </si>
  <si>
    <t>Avicennes</t>
  </si>
  <si>
    <t>Samu Psy 93</t>
  </si>
  <si>
    <t>8486</t>
  </si>
  <si>
    <t>Paul Vaillant Couturier</t>
  </si>
  <si>
    <t>Européen</t>
  </si>
  <si>
    <t>8496</t>
  </si>
  <si>
    <t>8826</t>
  </si>
  <si>
    <t>Psy urgences</t>
  </si>
  <si>
    <t>8923</t>
  </si>
  <si>
    <t>8683</t>
  </si>
  <si>
    <t>HAD</t>
  </si>
  <si>
    <t>8856</t>
  </si>
  <si>
    <t>Av du 14 Juillet</t>
  </si>
  <si>
    <t>Jean Verdier</t>
  </si>
  <si>
    <t>UNIDEP</t>
  </si>
  <si>
    <t>8857</t>
  </si>
  <si>
    <t>UFITAA</t>
  </si>
  <si>
    <t>8954</t>
  </si>
  <si>
    <t>EMGP</t>
  </si>
  <si>
    <t>8915</t>
  </si>
  <si>
    <t>Clichy sous bois</t>
  </si>
  <si>
    <t>Appartement thérapeutique n° 9</t>
  </si>
  <si>
    <t>8581</t>
  </si>
  <si>
    <t>8615</t>
  </si>
  <si>
    <t>8955</t>
  </si>
  <si>
    <t>8572</t>
  </si>
  <si>
    <t>Dugny</t>
  </si>
  <si>
    <t>Bernard</t>
  </si>
  <si>
    <t>8925</t>
  </si>
  <si>
    <t>Gagny</t>
  </si>
  <si>
    <t>Dalhias</t>
  </si>
  <si>
    <t>Appartement thérapeutique</t>
  </si>
  <si>
    <t>8873</t>
  </si>
  <si>
    <t>St Just</t>
  </si>
  <si>
    <t>Maison 9</t>
  </si>
  <si>
    <t>8337</t>
  </si>
  <si>
    <t>Les Lilas</t>
  </si>
  <si>
    <t>49, Romain Rolland</t>
  </si>
  <si>
    <t>UEEA</t>
  </si>
  <si>
    <t>8355</t>
  </si>
  <si>
    <t>8825</t>
  </si>
  <si>
    <t>10, Général Leclerc</t>
  </si>
  <si>
    <t>CHI Raincy-Montfermeil</t>
  </si>
  <si>
    <t>Accueil d'urgence</t>
  </si>
  <si>
    <t>8905</t>
  </si>
  <si>
    <t>9999</t>
  </si>
  <si>
    <t>Jann Mermoz</t>
  </si>
  <si>
    <t>Ormes</t>
  </si>
  <si>
    <t>HESTIA</t>
  </si>
  <si>
    <t>5611</t>
  </si>
  <si>
    <t>50, Boissière</t>
  </si>
  <si>
    <t>CHI - André Grégoire</t>
  </si>
  <si>
    <t>CAUP</t>
  </si>
  <si>
    <t>8479</t>
  </si>
  <si>
    <t>8490</t>
  </si>
  <si>
    <t>UHTP ADO</t>
  </si>
  <si>
    <t>8810</t>
  </si>
  <si>
    <t>LIAISON PSY</t>
  </si>
  <si>
    <t>8910</t>
  </si>
  <si>
    <t>8336</t>
  </si>
  <si>
    <t>SESSAD</t>
  </si>
  <si>
    <t>8369</t>
  </si>
  <si>
    <t>AMBU HJ</t>
  </si>
  <si>
    <t>8595</t>
  </si>
  <si>
    <t>Neuilly Plaisance</t>
  </si>
  <si>
    <t>Paul cezanne</t>
  </si>
  <si>
    <t>Cezanne</t>
  </si>
  <si>
    <t>8599</t>
  </si>
  <si>
    <t>1407</t>
  </si>
  <si>
    <t>Documentation</t>
  </si>
  <si>
    <t>3155</t>
  </si>
  <si>
    <t>Pharmacie</t>
  </si>
  <si>
    <t>DS</t>
  </si>
  <si>
    <t>8611</t>
  </si>
  <si>
    <t>CRIAVS</t>
  </si>
  <si>
    <t>0204</t>
  </si>
  <si>
    <t>DAF</t>
  </si>
  <si>
    <t>0209</t>
  </si>
  <si>
    <t>RHM</t>
  </si>
  <si>
    <t>0216</t>
  </si>
  <si>
    <t>Action social</t>
  </si>
  <si>
    <t>0221</t>
  </si>
  <si>
    <t>Qualité Vie Condition Travail Relaxation</t>
  </si>
  <si>
    <t>QVCTR</t>
  </si>
  <si>
    <t>Amical du personnel</t>
  </si>
  <si>
    <t>0303</t>
  </si>
  <si>
    <t>Cultes</t>
  </si>
  <si>
    <t>Bât 29</t>
  </si>
  <si>
    <t>1406</t>
  </si>
  <si>
    <t>Bibliothèque</t>
  </si>
  <si>
    <t>1408</t>
  </si>
  <si>
    <t>Vaguemestre</t>
  </si>
  <si>
    <t>8333</t>
  </si>
  <si>
    <t>Temps Partiel</t>
  </si>
  <si>
    <t>8934</t>
  </si>
  <si>
    <t>8958</t>
  </si>
  <si>
    <t>8501</t>
  </si>
  <si>
    <t>8901</t>
  </si>
  <si>
    <t>8911</t>
  </si>
  <si>
    <t>8933</t>
  </si>
  <si>
    <t>8832</t>
  </si>
  <si>
    <t>Plateforme jeunesse</t>
  </si>
  <si>
    <t>8573</t>
  </si>
  <si>
    <t>LoginWindows</t>
  </si>
  <si>
    <t>ReferentNom</t>
  </si>
  <si>
    <t>a.carpinteiro</t>
  </si>
  <si>
    <t>c.darret</t>
  </si>
  <si>
    <t>d.paquin</t>
  </si>
  <si>
    <t>e.mingant</t>
  </si>
  <si>
    <t>f.tabia</t>
  </si>
  <si>
    <t>Fabrice TABIA</t>
  </si>
  <si>
    <t>f.bressan</t>
  </si>
  <si>
    <t>j.honart</t>
  </si>
  <si>
    <t>ma.chevalier</t>
  </si>
  <si>
    <t>m.aleveque</t>
  </si>
  <si>
    <t>o.belhaj</t>
  </si>
  <si>
    <t>p.epis</t>
  </si>
  <si>
    <t>p.bras</t>
  </si>
  <si>
    <t>p.domercq</t>
  </si>
  <si>
    <t>r.meroni</t>
  </si>
  <si>
    <t>s.galoul</t>
  </si>
  <si>
    <t>004 - FMIS précarité</t>
  </si>
  <si>
    <t>014 - FMIS 2023</t>
  </si>
  <si>
    <t>Referents</t>
  </si>
  <si>
    <t>Entreprises</t>
  </si>
  <si>
    <t>GRAU</t>
  </si>
  <si>
    <t>Jean Macé</t>
  </si>
  <si>
    <t>P2</t>
  </si>
  <si>
    <t>0000</t>
  </si>
  <si>
    <t>Classes</t>
  </si>
  <si>
    <t>Classe</t>
  </si>
  <si>
    <t>21351500 -  IGAAC : Monte charges et ascenseurs</t>
  </si>
  <si>
    <t>238231531 - Mise en conformité chambre Isolement</t>
  </si>
  <si>
    <t xml:space="preserve">238231531 - Mise en conformité chambre Isolement </t>
  </si>
  <si>
    <t>6026311 - Classe 6 Fournitures securité incendie</t>
  </si>
  <si>
    <t>67182 - Classe 6 Autres charges exceptionnelle opérations 2</t>
  </si>
  <si>
    <t>Imputation Programme</t>
  </si>
  <si>
    <t>28 - Amiante</t>
  </si>
  <si>
    <t>Categorie</t>
  </si>
  <si>
    <t>Actif</t>
  </si>
  <si>
    <t>T2024003 - Portail sortie Clos Benard</t>
  </si>
  <si>
    <t>NON</t>
  </si>
  <si>
    <t>OUI</t>
  </si>
  <si>
    <t>T2024010 - Ex-Bibliothèque</t>
  </si>
  <si>
    <t>T2024018 - DRH et RHM</t>
  </si>
  <si>
    <t>T2024023 - Aménagement IFSI</t>
  </si>
  <si>
    <t>T2024028 - 103 Montreuil Désenfumage EXT</t>
  </si>
  <si>
    <t>T2024036 - Barrière auto Pôle Formation</t>
  </si>
  <si>
    <t>T2025027</t>
  </si>
  <si>
    <t>238231531 - Mise en conformité chambre Isolement - compte classe 2</t>
  </si>
  <si>
    <t>T2025028 TRAVAUX MAGASIN GENERAL</t>
  </si>
  <si>
    <t>T20250025</t>
  </si>
  <si>
    <t>T2025012</t>
  </si>
  <si>
    <t>CUISINE SURESNES</t>
  </si>
  <si>
    <t>T2025009 CUICINE THERAPEUTIQUE</t>
  </si>
  <si>
    <t>T2024014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</si>
</sst>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0.00\ &quot;€&quot;;[Red]\-#,##0.00\ &quot;€&quot;"/>
    <numFmt numFmtId="164" formatCode="0;[Red]0"/>
    <numFmt numFmtId="165" formatCode="0000"/>
  </numFmts>
  <fonts count="37" x14ac:knownFonts="1">
    <font>
      <sz val="11"/>
      <color theme="1"/>
      <name val="Calibri"/>
      <family val="2"/>
      <scheme val="minor"/>
    </font>
    <font>
      <sz val="11"/>
      <color rgb="FFFF0000"/>
      <name val="Calibri"/>
      <family val="2"/>
      <scheme val="minor"/>
    </font>
    <font>
      <sz val="12"/>
      <color theme="1"/>
      <name val="Calibri"/>
      <family val="2"/>
      <scheme val="minor"/>
    </font>
    <font>
      <sz val="10"/>
      <color theme="1"/>
      <name val="Arial"/>
      <family val="2"/>
    </font>
    <font>
      <sz val="11"/>
      <name val="Calibri"/>
      <family val="2"/>
      <scheme val="minor"/>
    </font>
    <font>
      <sz val="11"/>
      <color rgb="FF242424"/>
      <name val="Aptos Narrow"/>
      <family val="2"/>
    </font>
    <font>
      <sz val="11"/>
      <color rgb="FF242424"/>
      <name val="Calibri"/>
      <family val="2"/>
      <scheme val="minor"/>
    </font>
    <font>
      <u/>
      <sz val="11"/>
      <color theme="10"/>
      <name val="Calibri"/>
      <family val="2"/>
      <scheme val="minor"/>
    </font>
    <font>
      <b/>
      <sz val="11"/>
      <color rgb="FFFFFFFF"/>
      <name val="Calibri"/>
      <family val="2"/>
    </font>
    <font>
      <b/>
      <sz val="11"/>
      <color theme="1"/>
      <name val="Calibri"/>
      <family val="2"/>
      <scheme val="minor"/>
    </font>
    <font>
      <sz val="10"/>
      <color theme="1"/>
      <name val="Times New Roman"/>
      <family val="1"/>
    </font>
    <font>
      <b/>
      <i/>
      <sz val="11"/>
      <color rgb="FFED0000"/>
      <name val="Calibri"/>
      <family val="2"/>
      <scheme val="minor"/>
    </font>
    <font>
      <sz val="11"/>
      <color rgb="FFED0000"/>
      <name val="Calibri"/>
      <family val="2"/>
      <scheme val="minor"/>
    </font>
    <font>
      <b/>
      <sz val="11"/>
      <name val="Calibri"/>
      <family val="2"/>
      <scheme val="minor"/>
    </font>
    <font>
      <i/>
      <sz val="14"/>
      <color rgb="FFFF0000"/>
      <name val="Calibri"/>
      <family val="2"/>
      <scheme val="minor"/>
    </font>
    <font>
      <strike/>
      <sz val="11"/>
      <color theme="1"/>
      <name val="Calibri"/>
      <family val="2"/>
      <scheme val="minor"/>
    </font>
    <font>
      <sz val="8"/>
      <name val="Calibri"/>
      <family val="2"/>
      <scheme val="minor"/>
    </font>
    <font>
      <sz val="9"/>
      <color indexed="81"/>
      <name val="Tahoma"/>
      <family val="2"/>
    </font>
    <font>
      <b/>
      <sz val="9"/>
      <color indexed="81"/>
      <name val="Tahoma"/>
      <family val="2"/>
    </font>
    <font>
      <i/>
      <sz val="11"/>
      <color theme="1"/>
      <name val="Calibri"/>
      <family val="2"/>
      <scheme val="minor"/>
    </font>
    <font>
      <sz val="8"/>
      <color theme="1"/>
      <name val="Calibri"/>
      <family val="2"/>
      <scheme val="minor"/>
    </font>
    <font>
      <sz val="8"/>
      <color rgb="FFFF0000"/>
      <name val="Calibri"/>
      <family val="2"/>
      <scheme val="minor"/>
    </font>
    <font>
      <b/>
      <sz val="11"/>
      <color rgb="FFFF0000"/>
      <name val="Calibri"/>
      <family val="2"/>
      <scheme val="minor"/>
    </font>
    <font>
      <sz val="11"/>
      <color rgb="FFC00000"/>
      <name val="Calibri"/>
      <family val="2"/>
      <scheme val="minor"/>
    </font>
    <font>
      <b/>
      <sz val="8"/>
      <color rgb="FFFF0000"/>
      <name val="Calibri"/>
      <family val="2"/>
      <scheme val="minor"/>
    </font>
    <font>
      <sz val="11"/>
      <color rgb="FF000000"/>
      <name val="Calibri"/>
      <family val="2"/>
    </font>
    <font>
      <b/>
      <sz val="10"/>
      <color rgb="FFFF0000"/>
      <name val="Calibri"/>
      <family val="2"/>
      <scheme val="minor"/>
    </font>
    <font>
      <sz val="9"/>
      <color theme="1"/>
      <name val="Calibri"/>
      <family val="2"/>
      <scheme val="minor"/>
    </font>
    <font>
      <sz val="10"/>
      <name val="Calibri"/>
      <family val="2"/>
      <scheme val="minor"/>
    </font>
    <font>
      <b/>
      <sz val="9"/>
      <color rgb="FF1F497D"/>
      <name val="Calibri"/>
      <family val="2"/>
    </font>
    <font>
      <sz val="9"/>
      <color rgb="FF1F497D"/>
      <name val="Calibri"/>
      <family val="2"/>
    </font>
    <font>
      <sz val="10"/>
      <color theme="1"/>
      <name val="Calibri"/>
      <family val="2"/>
      <scheme val="minor"/>
    </font>
    <font>
      <b/>
      <sz val="9"/>
      <color rgb="FF7030A0"/>
      <name val="Calibri"/>
      <family val="2"/>
      <scheme val="minor"/>
    </font>
    <font>
      <b/>
      <sz val="9"/>
      <color rgb="FFFF0000"/>
      <name val="Calibri"/>
      <family val="2"/>
      <scheme val="minor"/>
    </font>
    <font>
      <sz val="9"/>
      <color rgb="FFFF0000"/>
      <name val="Calibri"/>
      <family val="2"/>
      <scheme val="minor"/>
    </font>
    <font>
      <sz val="14"/>
      <color rgb="FFFF0000"/>
      <name val="Calibri"/>
      <family val="2"/>
      <scheme val="minor"/>
    </font>
    <font>
      <sz val="11"/>
      <color theme="1"/>
      <name val="Aptos"/>
      <family val="2"/>
    </font>
  </fonts>
  <fills count="16">
    <fill>
      <patternFill patternType="none"/>
    </fill>
    <fill>
      <patternFill patternType="gray125"/>
    </fill>
    <fill>
      <patternFill patternType="solid">
        <fgColor rgb="FF004684"/>
        <bgColor indexed="64"/>
      </patternFill>
    </fill>
    <fill>
      <patternFill patternType="solid">
        <fgColor rgb="FF004684"/>
        <bgColor rgb="FF99CCFF"/>
      </patternFill>
    </fill>
    <fill>
      <patternFill patternType="solid">
        <fgColor rgb="FFFFFFFF"/>
        <bgColor indexed="64"/>
      </patternFill>
    </fill>
    <fill>
      <patternFill patternType="solid">
        <fgColor rgb="FFF2F2F2"/>
        <bgColor indexed="64"/>
      </patternFill>
    </fill>
    <fill>
      <patternFill patternType="solid">
        <fgColor rgb="FFD9EAD3"/>
        <bgColor indexed="64"/>
      </patternFill>
    </fill>
    <fill>
      <patternFill patternType="solid">
        <fgColor theme="8" tint="0.59999389629810485"/>
        <bgColor indexed="64"/>
      </patternFill>
    </fill>
    <fill>
      <patternFill patternType="solid">
        <fgColor theme="0" tint="-4.9989318521683403E-2"/>
        <bgColor indexed="64"/>
      </patternFill>
    </fill>
    <fill>
      <patternFill patternType="solid">
        <fgColor rgb="FFC6EFCE"/>
        <bgColor indexed="64"/>
      </patternFill>
    </fill>
    <fill>
      <patternFill patternType="solid">
        <fgColor rgb="FFFFC7CE"/>
        <bgColor indexed="64"/>
      </patternFill>
    </fill>
    <fill>
      <patternFill patternType="solid">
        <fgColor theme="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9" tint="0.59999389629810485"/>
        <bgColor indexed="64"/>
      </patternFill>
    </fill>
  </fills>
  <borders count="10">
    <border>
      <left/>
      <right/>
      <top/>
      <bottom/>
      <diagonal/>
    </border>
    <border>
      <left style="dashed">
        <color indexed="64"/>
      </left>
      <right style="dashed">
        <color indexed="64"/>
      </right>
      <top style="dashed">
        <color indexed="64"/>
      </top>
      <bottom style="dashed">
        <color indexed="64"/>
      </bottom>
      <diagonal/>
    </border>
    <border>
      <left/>
      <right/>
      <top style="dashed">
        <color rgb="FF969696"/>
      </top>
      <bottom style="dashed">
        <color rgb="FF969696"/>
      </bottom>
      <diagonal/>
    </border>
    <border>
      <left/>
      <right/>
      <top style="dashed">
        <color rgb="FF969696"/>
      </top>
      <bottom/>
      <diagonal/>
    </border>
    <border>
      <left style="thin">
        <color rgb="FFC8C8C8"/>
      </left>
      <right style="thin">
        <color rgb="FFC8C8C8"/>
      </right>
      <top style="thin">
        <color rgb="FFC8C8C8"/>
      </top>
      <bottom style="thin">
        <color rgb="FFC8C8C8"/>
      </bottom>
      <diagonal/>
    </border>
    <border>
      <left style="thin">
        <color rgb="FFC8C8C8"/>
      </left>
      <right/>
      <top style="thin">
        <color rgb="FFC8C8C8"/>
      </top>
      <bottom style="thin">
        <color rgb="FFC8C8C8"/>
      </bottom>
      <diagonal/>
    </border>
    <border>
      <left style="thin">
        <color rgb="FFC8C8C8"/>
      </left>
      <right style="thin">
        <color rgb="FFC8C8C8"/>
      </right>
      <top style="thin">
        <color rgb="FFC8C8C8"/>
      </top>
      <bottom/>
      <diagonal/>
    </border>
    <border>
      <left style="thin">
        <color rgb="FFC8C8C8"/>
      </left>
      <right style="thin">
        <color rgb="FFC8C8C8"/>
      </right>
      <top/>
      <bottom style="thin">
        <color rgb="FFC8C8C8"/>
      </bottom>
      <diagonal/>
    </border>
    <border diagonalDown="1">
      <left style="thin">
        <color rgb="FFC8C8C8"/>
      </left>
      <right style="thin">
        <color rgb="FFC8C8C8"/>
      </right>
      <top style="thin">
        <color rgb="FFC8C8C8"/>
      </top>
      <bottom style="thin">
        <color rgb="FFC8C8C8"/>
      </bottom>
      <diagonal style="thin">
        <color rgb="FFC8C8C8"/>
      </diagonal>
    </border>
    <border>
      <left style="thin">
        <color rgb="FFC8C8C8"/>
      </left>
      <right style="thin">
        <color rgb="FFC8C8C8"/>
      </right>
      <top/>
      <bottom/>
      <diagonal/>
    </border>
  </borders>
  <cellStyleXfs count="4">
    <xf numFmtId="0" fontId="0" fillId="0" borderId="0"/>
    <xf numFmtId="0" fontId="2" fillId="0" borderId="0"/>
    <xf numFmtId="0" fontId="7" fillId="0" borderId="0" applyNumberFormat="0" applyFill="0" applyBorder="0" applyAlignment="0" applyProtection="0"/>
    <xf numFmtId="0" fontId="7" fillId="0" borderId="0" applyNumberFormat="0" applyFill="0" applyBorder="0" applyAlignment="0" applyProtection="0"/>
  </cellStyleXfs>
  <cellXfs count="158">
    <xf numFmtId="0" fontId="0" fillId="0" borderId="0" xfId="0"/>
    <xf numFmtId="0" fontId="0" fillId="0" borderId="0" xfId="0" applyAlignment="1">
      <alignment horizontal="center"/>
    </xf>
    <xf numFmtId="49" fontId="0" fillId="0" borderId="0" xfId="0" applyNumberFormat="1"/>
    <xf numFmtId="49" fontId="0" fillId="0" borderId="0" xfId="0" applyNumberFormat="1" applyAlignment="1">
      <alignment horizontal="right"/>
    </xf>
    <xf numFmtId="0" fontId="0" fillId="0" borderId="1" xfId="0" applyBorder="1"/>
    <xf numFmtId="0" fontId="3" fillId="0" borderId="0" xfId="1" applyFont="1"/>
    <xf numFmtId="0" fontId="4" fillId="0" borderId="0" xfId="0" applyFont="1"/>
    <xf numFmtId="0" fontId="1" fillId="0" borderId="0" xfId="0" applyFont="1"/>
    <xf numFmtId="0" fontId="5" fillId="0" borderId="0" xfId="0" applyFont="1" applyAlignment="1">
      <alignment vertical="center"/>
    </xf>
    <xf numFmtId="0" fontId="6" fillId="0" borderId="0" xfId="0" applyFont="1"/>
    <xf numFmtId="0" fontId="0" fillId="0" borderId="0" xfId="0" applyAlignment="1">
      <alignment horizontal="left"/>
    </xf>
    <xf numFmtId="49" fontId="6" fillId="0" borderId="0" xfId="0" applyNumberFormat="1" applyFont="1"/>
    <xf numFmtId="49" fontId="5" fillId="0" borderId="0" xfId="0" applyNumberFormat="1" applyFont="1" applyAlignment="1">
      <alignment vertical="center"/>
    </xf>
    <xf numFmtId="49" fontId="0" fillId="0" borderId="0" xfId="0" applyNumberFormat="1" applyAlignment="1">
      <alignment horizontal="left"/>
    </xf>
    <xf numFmtId="0" fontId="0" fillId="0" borderId="2" xfId="0" applyBorder="1"/>
    <xf numFmtId="0" fontId="0" fillId="0" borderId="3" xfId="0" applyBorder="1"/>
    <xf numFmtId="0" fontId="8" fillId="2" borderId="4" xfId="0" applyFont="1" applyFill="1" applyBorder="1" applyAlignment="1">
      <alignment horizontal="center" vertical="center" wrapText="1"/>
    </xf>
    <xf numFmtId="0" fontId="8" fillId="3" borderId="4" xfId="0" applyFont="1" applyFill="1" applyBorder="1" applyAlignment="1">
      <alignment horizontal="center" vertical="center" wrapText="1"/>
    </xf>
    <xf numFmtId="164" fontId="8" fillId="3" borderId="4" xfId="0" applyNumberFormat="1" applyFont="1" applyFill="1" applyBorder="1" applyAlignment="1">
      <alignment horizontal="center" vertical="center" wrapText="1"/>
    </xf>
    <xf numFmtId="0" fontId="0" fillId="4" borderId="4" xfId="0" applyFill="1" applyBorder="1" applyAlignment="1" applyProtection="1">
      <alignment horizontal="center" vertical="center"/>
      <protection locked="0"/>
    </xf>
    <xf numFmtId="49" fontId="0" fillId="4" borderId="4" xfId="0" applyNumberFormat="1" applyFill="1" applyBorder="1" applyAlignment="1" applyProtection="1">
      <alignment horizontal="center" vertical="center"/>
      <protection locked="0"/>
    </xf>
    <xf numFmtId="0" fontId="0" fillId="5" borderId="4" xfId="0" applyFill="1" applyBorder="1" applyAlignment="1" applyProtection="1">
      <alignment horizontal="center" vertical="center"/>
      <protection locked="0"/>
    </xf>
    <xf numFmtId="14" fontId="0" fillId="5" borderId="4" xfId="0" applyNumberFormat="1" applyFill="1" applyBorder="1" applyAlignment="1" applyProtection="1">
      <alignment horizontal="center" vertical="center"/>
      <protection locked="0"/>
    </xf>
    <xf numFmtId="0" fontId="0" fillId="6" borderId="4" xfId="0" applyFill="1" applyBorder="1" applyAlignment="1" applyProtection="1">
      <alignment horizontal="center" vertical="center"/>
      <protection locked="0"/>
    </xf>
    <xf numFmtId="0" fontId="1" fillId="5" borderId="4" xfId="0" applyFont="1" applyFill="1" applyBorder="1" applyAlignment="1" applyProtection="1">
      <alignment horizontal="center" vertical="center"/>
      <protection locked="0"/>
    </xf>
    <xf numFmtId="0" fontId="0" fillId="4" borderId="4" xfId="0" applyFill="1" applyBorder="1"/>
    <xf numFmtId="49" fontId="0" fillId="4" borderId="4" xfId="0" applyNumberFormat="1" applyFill="1" applyBorder="1"/>
    <xf numFmtId="0" fontId="0" fillId="5" borderId="4" xfId="0" applyFill="1" applyBorder="1"/>
    <xf numFmtId="0" fontId="0" fillId="6" borderId="4" xfId="0" applyFill="1" applyBorder="1"/>
    <xf numFmtId="0" fontId="1" fillId="5" borderId="4" xfId="0" applyFont="1" applyFill="1" applyBorder="1"/>
    <xf numFmtId="49" fontId="9" fillId="7" borderId="0" xfId="0" applyNumberFormat="1" applyFont="1" applyFill="1" applyAlignment="1">
      <alignment horizontal="center" vertical="center"/>
    </xf>
    <xf numFmtId="0" fontId="9" fillId="7" borderId="0" xfId="0" applyFont="1" applyFill="1" applyAlignment="1">
      <alignment horizontal="center" vertical="center"/>
    </xf>
    <xf numFmtId="49" fontId="0" fillId="8" borderId="0" xfId="0" applyNumberFormat="1" applyFill="1" applyAlignment="1">
      <alignment horizontal="center" vertical="center"/>
    </xf>
    <xf numFmtId="0" fontId="0" fillId="8" borderId="0" xfId="0" applyFill="1" applyAlignment="1">
      <alignment horizontal="center" vertical="center"/>
    </xf>
    <xf numFmtId="0" fontId="3" fillId="8" borderId="0" xfId="1" applyFont="1" applyFill="1" applyAlignment="1">
      <alignment horizontal="center" vertical="center"/>
    </xf>
    <xf numFmtId="0" fontId="4" fillId="8" borderId="0" xfId="0" applyFont="1" applyFill="1" applyAlignment="1">
      <alignment horizontal="center" vertical="center"/>
    </xf>
    <xf numFmtId="0" fontId="1" fillId="8" borderId="0" xfId="0" applyFont="1" applyFill="1" applyAlignment="1">
      <alignment horizontal="center" vertical="center"/>
    </xf>
    <xf numFmtId="0" fontId="3" fillId="8" borderId="1" xfId="1" applyFont="1" applyFill="1" applyBorder="1" applyAlignment="1">
      <alignment horizontal="center" vertical="center"/>
    </xf>
    <xf numFmtId="49" fontId="0" fillId="4" borderId="4" xfId="0" applyNumberFormat="1" applyFill="1" applyBorder="1" applyAlignment="1" applyProtection="1">
      <alignment horizontal="center" vertical="center" wrapText="1"/>
      <protection locked="0"/>
    </xf>
    <xf numFmtId="0" fontId="0" fillId="4" borderId="4" xfId="0" applyFill="1" applyBorder="1" applyAlignment="1" applyProtection="1">
      <alignment horizontal="center" vertical="center" wrapText="1"/>
      <protection locked="0"/>
    </xf>
    <xf numFmtId="0" fontId="0" fillId="4" borderId="4" xfId="0" applyFill="1" applyBorder="1" applyAlignment="1">
      <alignment wrapText="1"/>
    </xf>
    <xf numFmtId="0" fontId="0" fillId="0" borderId="0" xfId="0" applyAlignment="1">
      <alignment wrapText="1"/>
    </xf>
    <xf numFmtId="165" fontId="0" fillId="8" borderId="4" xfId="0" applyNumberFormat="1" applyFill="1" applyBorder="1" applyAlignment="1">
      <alignment horizontal="center" vertical="center"/>
    </xf>
    <xf numFmtId="165" fontId="0" fillId="8" borderId="4" xfId="0" applyNumberFormat="1" applyFill="1" applyBorder="1" applyAlignment="1">
      <alignment horizontal="center"/>
    </xf>
    <xf numFmtId="0" fontId="7" fillId="4" borderId="4" xfId="2" applyFill="1" applyBorder="1" applyAlignment="1" applyProtection="1">
      <alignment horizontal="center" vertical="center" wrapText="1"/>
      <protection locked="0"/>
    </xf>
    <xf numFmtId="14" fontId="0" fillId="4" borderId="4" xfId="0" applyNumberFormat="1" applyFill="1" applyBorder="1" applyAlignment="1" applyProtection="1">
      <alignment horizontal="center" vertical="center"/>
      <protection locked="0"/>
    </xf>
    <xf numFmtId="0" fontId="0" fillId="9" borderId="4" xfId="0" applyFill="1" applyBorder="1" applyAlignment="1" applyProtection="1">
      <alignment horizontal="center" vertical="center"/>
      <protection locked="0"/>
    </xf>
    <xf numFmtId="16" fontId="0" fillId="4" borderId="4" xfId="0" applyNumberFormat="1" applyFill="1" applyBorder="1" applyAlignment="1" applyProtection="1">
      <alignment horizontal="center" vertical="center"/>
      <protection locked="0"/>
    </xf>
    <xf numFmtId="17" fontId="0" fillId="4" borderId="4" xfId="0" applyNumberFormat="1" applyFill="1" applyBorder="1" applyAlignment="1" applyProtection="1">
      <alignment horizontal="center" vertical="center"/>
      <protection locked="0"/>
    </xf>
    <xf numFmtId="0" fontId="0" fillId="10" borderId="4" xfId="0" applyFill="1" applyBorder="1" applyAlignment="1" applyProtection="1">
      <alignment horizontal="center" vertical="center"/>
      <protection locked="0"/>
    </xf>
    <xf numFmtId="0" fontId="0" fillId="4" borderId="4" xfId="0" applyFill="1" applyBorder="1" applyAlignment="1" applyProtection="1">
      <alignment horizontal="left" vertical="center" wrapText="1"/>
      <protection locked="0"/>
    </xf>
    <xf numFmtId="0" fontId="0" fillId="5" borderId="4" xfId="0" applyFill="1" applyBorder="1" applyAlignment="1" applyProtection="1">
      <alignment horizontal="center" vertical="center" wrapText="1"/>
      <protection locked="0"/>
    </xf>
    <xf numFmtId="8" fontId="0" fillId="4" borderId="4" xfId="0" applyNumberFormat="1" applyFill="1" applyBorder="1" applyAlignment="1" applyProtection="1">
      <alignment horizontal="center" vertical="center"/>
      <protection locked="0"/>
    </xf>
    <xf numFmtId="4" fontId="0" fillId="4" borderId="4" xfId="0" applyNumberFormat="1" applyFill="1" applyBorder="1" applyAlignment="1" applyProtection="1">
      <alignment horizontal="center" vertical="center"/>
      <protection locked="0"/>
    </xf>
    <xf numFmtId="0" fontId="0" fillId="11" borderId="4" xfId="0" applyFill="1" applyBorder="1" applyAlignment="1" applyProtection="1">
      <alignment horizontal="center" vertical="center"/>
      <protection locked="0"/>
    </xf>
    <xf numFmtId="0" fontId="0" fillId="11" borderId="4" xfId="0" applyFill="1" applyBorder="1"/>
    <xf numFmtId="0" fontId="0" fillId="6" borderId="4" xfId="0" applyFill="1" applyBorder="1" applyAlignment="1" applyProtection="1">
      <alignment horizontal="center" vertical="center" wrapText="1"/>
      <protection locked="0"/>
    </xf>
    <xf numFmtId="0" fontId="0" fillId="6" borderId="4" xfId="0" applyFill="1" applyBorder="1" applyAlignment="1">
      <alignment wrapText="1"/>
    </xf>
    <xf numFmtId="0" fontId="15" fillId="6" borderId="4" xfId="0" applyFont="1" applyFill="1" applyBorder="1" applyAlignment="1" applyProtection="1">
      <alignment horizontal="center" vertical="center" wrapText="1"/>
      <protection locked="0"/>
    </xf>
    <xf numFmtId="14" fontId="0" fillId="4" borderId="4" xfId="0" applyNumberFormat="1" applyFill="1" applyBorder="1" applyAlignment="1" applyProtection="1">
      <alignment horizontal="center" vertical="center" wrapText="1"/>
      <protection locked="0"/>
    </xf>
    <xf numFmtId="0" fontId="7" fillId="4" borderId="4" xfId="3" applyFill="1" applyBorder="1" applyAlignment="1" applyProtection="1">
      <alignment horizontal="center" vertical="center" wrapText="1"/>
      <protection locked="0"/>
    </xf>
    <xf numFmtId="0" fontId="22" fillId="6" borderId="4" xfId="0" applyFont="1" applyFill="1" applyBorder="1" applyAlignment="1" applyProtection="1">
      <alignment horizontal="center" vertical="center" wrapText="1"/>
      <protection locked="0"/>
    </xf>
    <xf numFmtId="0" fontId="4" fillId="0" borderId="4" xfId="0" applyFont="1" applyBorder="1" applyAlignment="1" applyProtection="1">
      <alignment horizontal="center" vertical="center" wrapText="1"/>
      <protection locked="0"/>
    </xf>
    <xf numFmtId="0" fontId="9" fillId="6" borderId="4" xfId="0" applyFont="1" applyFill="1" applyBorder="1" applyAlignment="1" applyProtection="1">
      <alignment horizontal="center" vertical="center" wrapText="1"/>
      <protection locked="0"/>
    </xf>
    <xf numFmtId="0" fontId="1" fillId="5" borderId="4" xfId="0" applyFont="1" applyFill="1" applyBorder="1" applyAlignment="1" applyProtection="1">
      <alignment horizontal="center" vertical="center" wrapText="1"/>
      <protection locked="0"/>
    </xf>
    <xf numFmtId="0" fontId="4" fillId="4" borderId="4" xfId="2" applyFont="1" applyFill="1" applyBorder="1" applyAlignment="1" applyProtection="1">
      <alignment horizontal="center" vertical="center" wrapText="1"/>
      <protection locked="0"/>
    </xf>
    <xf numFmtId="0" fontId="1" fillId="6" borderId="4" xfId="0" applyFont="1" applyFill="1" applyBorder="1" applyAlignment="1" applyProtection="1">
      <alignment horizontal="center" vertical="center" wrapText="1"/>
      <protection locked="0"/>
    </xf>
    <xf numFmtId="0" fontId="22" fillId="12" borderId="4" xfId="0" applyFont="1" applyFill="1" applyBorder="1" applyAlignment="1" applyProtection="1">
      <alignment horizontal="center" vertical="center" wrapText="1"/>
      <protection locked="0"/>
    </xf>
    <xf numFmtId="0" fontId="24" fillId="13" borderId="4" xfId="0" applyFont="1" applyFill="1" applyBorder="1" applyAlignment="1" applyProtection="1">
      <alignment horizontal="center" vertical="center" wrapText="1"/>
      <protection locked="0"/>
    </xf>
    <xf numFmtId="3" fontId="1" fillId="5" borderId="4" xfId="0" applyNumberFormat="1" applyFont="1" applyFill="1" applyBorder="1" applyAlignment="1" applyProtection="1">
      <alignment horizontal="center" vertical="center"/>
      <protection locked="0"/>
    </xf>
    <xf numFmtId="0" fontId="0" fillId="4" borderId="5" xfId="0" applyFill="1" applyBorder="1" applyAlignment="1" applyProtection="1">
      <alignment horizontal="center" vertical="center" wrapText="1"/>
      <protection locked="0"/>
    </xf>
    <xf numFmtId="0" fontId="0" fillId="5" borderId="6" xfId="0" applyFill="1" applyBorder="1" applyAlignment="1" applyProtection="1">
      <alignment horizontal="center" vertical="center"/>
      <protection locked="0"/>
    </xf>
    <xf numFmtId="0" fontId="0" fillId="5" borderId="7" xfId="0" applyFill="1" applyBorder="1" applyAlignment="1" applyProtection="1">
      <alignment horizontal="center" vertical="center"/>
      <protection locked="0"/>
    </xf>
    <xf numFmtId="0" fontId="1" fillId="11" borderId="4" xfId="0" applyFont="1" applyFill="1" applyBorder="1" applyAlignment="1" applyProtection="1">
      <alignment horizontal="center" vertical="center"/>
      <protection locked="0"/>
    </xf>
    <xf numFmtId="0" fontId="4" fillId="11" borderId="4" xfId="0" applyFont="1" applyFill="1" applyBorder="1" applyAlignment="1" applyProtection="1">
      <alignment horizontal="center" vertical="center" wrapText="1"/>
      <protection locked="0"/>
    </xf>
    <xf numFmtId="0" fontId="0" fillId="6" borderId="8" xfId="0" applyFill="1" applyBorder="1" applyAlignment="1" applyProtection="1">
      <alignment horizontal="center" vertical="center" wrapText="1"/>
      <protection locked="0"/>
    </xf>
    <xf numFmtId="0" fontId="4" fillId="13" borderId="4" xfId="0" applyFont="1" applyFill="1" applyBorder="1" applyAlignment="1" applyProtection="1">
      <alignment horizontal="center" vertical="center" wrapText="1"/>
      <protection locked="0"/>
    </xf>
    <xf numFmtId="0" fontId="0" fillId="4" borderId="4" xfId="0" applyFill="1" applyBorder="1" applyAlignment="1" applyProtection="1">
      <alignment vertical="top" wrapText="1"/>
      <protection locked="0"/>
    </xf>
    <xf numFmtId="0" fontId="22" fillId="13" borderId="4" xfId="0" applyFont="1" applyFill="1" applyBorder="1" applyAlignment="1" applyProtection="1">
      <alignment horizontal="center" vertical="center" wrapText="1"/>
      <protection locked="0"/>
    </xf>
    <xf numFmtId="0" fontId="27" fillId="6" borderId="4" xfId="0" applyFont="1" applyFill="1" applyBorder="1" applyAlignment="1" applyProtection="1">
      <alignment horizontal="center" vertical="center" wrapText="1"/>
      <protection locked="0"/>
    </xf>
    <xf numFmtId="0" fontId="26" fillId="12" borderId="4" xfId="0" applyFont="1" applyFill="1" applyBorder="1" applyAlignment="1" applyProtection="1">
      <alignment horizontal="center" vertical="center" wrapText="1"/>
      <protection locked="0"/>
    </xf>
    <xf numFmtId="0" fontId="28" fillId="13" borderId="4" xfId="0" applyFont="1" applyFill="1" applyBorder="1" applyAlignment="1" applyProtection="1">
      <alignment horizontal="center" vertical="center" wrapText="1"/>
      <protection locked="0"/>
    </xf>
    <xf numFmtId="0" fontId="13" fillId="13" borderId="4" xfId="0" applyFont="1" applyFill="1" applyBorder="1" applyAlignment="1" applyProtection="1">
      <alignment horizontal="center" vertical="center" wrapText="1"/>
      <protection locked="0"/>
    </xf>
    <xf numFmtId="0" fontId="31" fillId="6" borderId="4" xfId="0" applyFont="1" applyFill="1" applyBorder="1" applyAlignment="1" applyProtection="1">
      <alignment horizontal="center" vertical="center" wrapText="1"/>
      <protection locked="0"/>
    </xf>
    <xf numFmtId="0" fontId="4" fillId="6" borderId="4" xfId="0" applyFont="1" applyFill="1" applyBorder="1" applyAlignment="1" applyProtection="1">
      <alignment horizontal="center" vertical="center" wrapText="1"/>
      <protection locked="0"/>
    </xf>
    <xf numFmtId="49" fontId="0" fillId="4" borderId="9" xfId="0" applyNumberFormat="1" applyFill="1" applyBorder="1" applyAlignment="1" applyProtection="1">
      <alignment horizontal="center" vertical="center"/>
      <protection locked="0"/>
    </xf>
    <xf numFmtId="165" fontId="0" fillId="8" borderId="3" xfId="0" applyNumberFormat="1" applyFill="1" applyBorder="1" applyAlignment="1">
      <alignment horizontal="center" vertical="center"/>
    </xf>
    <xf numFmtId="0" fontId="0" fillId="0" borderId="4" xfId="0" applyBorder="1"/>
    <xf numFmtId="0" fontId="0" fillId="4" borderId="3" xfId="0" applyFill="1" applyBorder="1" applyAlignment="1" applyProtection="1">
      <alignment horizontal="center" vertical="center"/>
      <protection locked="0"/>
    </xf>
    <xf numFmtId="0" fontId="0" fillId="0" borderId="4" xfId="0" applyBorder="1" applyAlignment="1">
      <alignment horizontal="center" vertical="center"/>
    </xf>
    <xf numFmtId="49" fontId="0" fillId="4" borderId="3" xfId="0" applyNumberFormat="1" applyFill="1" applyBorder="1" applyAlignment="1" applyProtection="1">
      <alignment horizontal="center" vertical="center"/>
      <protection locked="0"/>
    </xf>
    <xf numFmtId="49" fontId="0" fillId="4" borderId="3" xfId="0" applyNumberFormat="1" applyFill="1" applyBorder="1" applyAlignment="1" applyProtection="1">
      <alignment horizontal="center" vertical="center" wrapText="1"/>
      <protection locked="0"/>
    </xf>
    <xf numFmtId="0" fontId="25" fillId="0" borderId="4" xfId="0" applyFont="1" applyBorder="1" applyAlignment="1">
      <alignment horizontal="center" vertical="center" wrapText="1"/>
    </xf>
    <xf numFmtId="0" fontId="0" fillId="0" borderId="4" xfId="0" applyBorder="1" applyAlignment="1">
      <alignment wrapText="1"/>
    </xf>
    <xf numFmtId="0" fontId="0" fillId="0" borderId="4" xfId="0" applyBorder="1" applyAlignment="1">
      <alignment horizontal="center" wrapText="1"/>
    </xf>
    <xf numFmtId="0" fontId="0" fillId="4" borderId="3" xfId="0" applyFill="1" applyBorder="1" applyAlignment="1" applyProtection="1">
      <alignment horizontal="center" vertical="center" wrapText="1"/>
      <protection locked="0"/>
    </xf>
    <xf numFmtId="14" fontId="0" fillId="4" borderId="3" xfId="0" applyNumberFormat="1" applyFill="1" applyBorder="1" applyAlignment="1" applyProtection="1">
      <alignment horizontal="center" vertical="center"/>
      <protection locked="0"/>
    </xf>
    <xf numFmtId="0" fontId="25" fillId="0" borderId="4" xfId="0" applyFont="1" applyBorder="1" applyAlignment="1">
      <alignment horizontal="center" vertical="center"/>
    </xf>
    <xf numFmtId="0" fontId="7" fillId="0" borderId="4" xfId="3" applyBorder="1"/>
    <xf numFmtId="0" fontId="7" fillId="0" borderId="4" xfId="3" applyBorder="1" applyAlignment="1">
      <alignment vertical="center"/>
    </xf>
    <xf numFmtId="0" fontId="0" fillId="11" borderId="3" xfId="0" applyFill="1" applyBorder="1" applyAlignment="1" applyProtection="1">
      <alignment horizontal="center" vertical="center"/>
      <protection locked="0"/>
    </xf>
    <xf numFmtId="14" fontId="0" fillId="0" borderId="4" xfId="0" applyNumberFormat="1" applyBorder="1"/>
    <xf numFmtId="0" fontId="33" fillId="14" borderId="4" xfId="0" applyFont="1" applyFill="1" applyBorder="1" applyAlignment="1" applyProtection="1">
      <alignment horizontal="center" vertical="center" wrapText="1"/>
      <protection locked="0"/>
    </xf>
    <xf numFmtId="0" fontId="20" fillId="6" borderId="4" xfId="0" applyFont="1" applyFill="1" applyBorder="1" applyAlignment="1" applyProtection="1">
      <alignment horizontal="center" vertical="center" wrapText="1"/>
      <protection locked="0"/>
    </xf>
    <xf numFmtId="0" fontId="0" fillId="4" borderId="9" xfId="0" applyFill="1" applyBorder="1" applyAlignment="1" applyProtection="1">
      <alignment horizontal="center" vertical="center" wrapText="1"/>
      <protection locked="0"/>
    </xf>
    <xf numFmtId="0" fontId="22" fillId="11" borderId="4" xfId="0" applyFont="1" applyFill="1" applyBorder="1" applyAlignment="1" applyProtection="1">
      <alignment horizontal="center" vertical="center" wrapText="1"/>
      <protection locked="0"/>
    </xf>
    <xf numFmtId="0" fontId="34" fillId="11" borderId="4" xfId="0" applyFont="1" applyFill="1" applyBorder="1" applyAlignment="1" applyProtection="1">
      <alignment horizontal="center" vertical="center" wrapText="1"/>
      <protection locked="0"/>
    </xf>
    <xf numFmtId="0" fontId="35" fillId="11" borderId="4" xfId="0" applyFont="1" applyFill="1" applyBorder="1" applyAlignment="1" applyProtection="1">
      <alignment horizontal="center" vertical="center" wrapText="1"/>
      <protection locked="0"/>
    </xf>
    <xf numFmtId="0" fontId="1" fillId="8" borderId="4" xfId="0" applyFont="1" applyFill="1" applyBorder="1" applyAlignment="1" applyProtection="1">
      <alignment horizontal="center" vertical="center" wrapText="1"/>
      <protection locked="0"/>
    </xf>
    <xf numFmtId="0" fontId="1" fillId="6" borderId="4" xfId="0" applyFont="1" applyFill="1" applyBorder="1" applyAlignment="1" applyProtection="1">
      <alignment horizontal="center" vertical="center"/>
      <protection locked="0"/>
    </xf>
    <xf numFmtId="4" fontId="0" fillId="5" borderId="4" xfId="0" applyNumberFormat="1" applyFill="1" applyBorder="1" applyAlignment="1" applyProtection="1">
      <alignment horizontal="center" vertical="center"/>
      <protection locked="0"/>
    </xf>
    <xf numFmtId="2" fontId="0" fillId="5" borderId="4" xfId="0" applyNumberFormat="1" applyFill="1" applyBorder="1" applyAlignment="1" applyProtection="1">
      <alignment horizontal="center" vertical="center"/>
      <protection locked="0"/>
    </xf>
    <xf numFmtId="0" fontId="0" fillId="0" borderId="0" xfId="0" applyAlignment="1">
      <alignment horizontal="center" vertical="center"/>
    </xf>
    <xf numFmtId="0" fontId="1" fillId="13" borderId="4" xfId="0" applyFont="1" applyFill="1" applyBorder="1" applyAlignment="1" applyProtection="1">
      <alignment horizontal="center" vertical="center" wrapText="1"/>
      <protection locked="0"/>
    </xf>
    <xf numFmtId="0" fontId="7" fillId="0" borderId="4" xfId="3" applyFill="1" applyBorder="1" applyAlignment="1" applyProtection="1">
      <alignment horizontal="center" vertical="center" wrapText="1"/>
      <protection locked="0"/>
    </xf>
    <xf numFmtId="0" fontId="0" fillId="0" borderId="4" xfId="0" applyBorder="1" applyAlignment="1" applyProtection="1">
      <alignment horizontal="center" vertical="center"/>
      <protection locked="0"/>
    </xf>
    <xf numFmtId="0" fontId="0" fillId="4" borderId="4" xfId="0" applyFill="1" applyBorder="1" applyAlignment="1" applyProtection="1">
      <alignment horizontal="left" vertical="top" wrapText="1"/>
      <protection locked="0"/>
    </xf>
    <xf numFmtId="0" fontId="7" fillId="4" borderId="0" xfId="3" applyFill="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1" fillId="5" borderId="3" xfId="0" applyFont="1" applyFill="1" applyBorder="1" applyAlignment="1" applyProtection="1">
      <alignment horizontal="center" vertical="center"/>
      <protection locked="0"/>
    </xf>
    <xf numFmtId="165" fontId="0" fillId="0" borderId="4" xfId="0" applyNumberFormat="1" applyBorder="1" applyAlignment="1">
      <alignment horizontal="center"/>
    </xf>
    <xf numFmtId="0" fontId="0" fillId="4" borderId="0" xfId="0" applyFill="1" applyAlignment="1" applyProtection="1">
      <alignment horizontal="center" vertical="center"/>
      <protection locked="0"/>
    </xf>
    <xf numFmtId="0" fontId="0" fillId="0" borderId="3" xfId="0" applyBorder="1" applyAlignment="1">
      <alignment horizontal="center" vertical="center"/>
    </xf>
    <xf numFmtId="49" fontId="0" fillId="0" borderId="4" xfId="0" applyNumberFormat="1" applyBorder="1"/>
    <xf numFmtId="49" fontId="0" fillId="4" borderId="0" xfId="0" applyNumberFormat="1" applyFill="1" applyAlignment="1" applyProtection="1">
      <alignment horizontal="center" vertical="center"/>
      <protection locked="0"/>
    </xf>
    <xf numFmtId="0" fontId="0" fillId="0" borderId="3" xfId="0" applyBorder="1" applyAlignment="1">
      <alignment vertical="center"/>
    </xf>
    <xf numFmtId="0" fontId="0" fillId="5" borderId="0" xfId="0" applyFill="1" applyAlignment="1" applyProtection="1">
      <alignment horizontal="center" vertical="center"/>
      <protection locked="0"/>
    </xf>
    <xf numFmtId="0" fontId="25" fillId="0" borderId="0" xfId="0" applyFont="1" applyAlignment="1">
      <alignment horizontal="center" vertical="center" wrapText="1"/>
    </xf>
    <xf numFmtId="49" fontId="0" fillId="4" borderId="0" xfId="0" applyNumberFormat="1" applyFill="1" applyAlignment="1" applyProtection="1">
      <alignment horizontal="center" vertical="center" wrapText="1"/>
      <protection locked="0"/>
    </xf>
    <xf numFmtId="0" fontId="0" fillId="4" borderId="0" xfId="0" applyFill="1" applyAlignment="1" applyProtection="1">
      <alignment horizontal="center" vertical="center" wrapText="1"/>
      <protection locked="0"/>
    </xf>
    <xf numFmtId="0" fontId="0" fillId="8" borderId="3" xfId="0" applyFill="1" applyBorder="1" applyAlignment="1">
      <alignment horizontal="center" vertical="center"/>
    </xf>
    <xf numFmtId="0" fontId="10" fillId="0" borderId="0" xfId="0" applyFont="1" applyAlignment="1">
      <alignment horizontal="center" vertical="center"/>
    </xf>
    <xf numFmtId="14" fontId="0" fillId="4" borderId="0" xfId="0" applyNumberFormat="1" applyFill="1" applyAlignment="1" applyProtection="1">
      <alignment horizontal="center" vertical="center"/>
      <protection locked="0"/>
    </xf>
    <xf numFmtId="0" fontId="0" fillId="0" borderId="3" xfId="0" applyBorder="1" applyAlignment="1">
      <alignment wrapText="1"/>
    </xf>
    <xf numFmtId="0" fontId="7" fillId="0" borderId="0" xfId="2" applyFill="1" applyBorder="1"/>
    <xf numFmtId="0" fontId="7" fillId="4" borderId="3" xfId="3" applyFill="1" applyBorder="1" applyAlignment="1" applyProtection="1">
      <alignment horizontal="center" vertical="center" wrapText="1"/>
      <protection locked="0"/>
    </xf>
    <xf numFmtId="14" fontId="0" fillId="5" borderId="0" xfId="0" applyNumberFormat="1" applyFill="1" applyAlignment="1" applyProtection="1">
      <alignment horizontal="center" vertical="center"/>
      <protection locked="0"/>
    </xf>
    <xf numFmtId="0" fontId="0" fillId="11" borderId="0" xfId="0" applyFill="1" applyAlignment="1" applyProtection="1">
      <alignment horizontal="center" vertical="center"/>
      <protection locked="0"/>
    </xf>
    <xf numFmtId="0" fontId="0" fillId="6" borderId="0" xfId="0" applyFill="1" applyAlignment="1" applyProtection="1">
      <alignment horizontal="center" vertical="center"/>
      <protection locked="0"/>
    </xf>
    <xf numFmtId="0" fontId="4" fillId="6" borderId="0" xfId="0" applyFont="1" applyFill="1" applyAlignment="1" applyProtection="1">
      <alignment horizontal="center" vertical="center" wrapText="1"/>
      <protection locked="0"/>
    </xf>
    <xf numFmtId="0" fontId="4" fillId="13" borderId="8" xfId="0" applyFont="1" applyFill="1" applyBorder="1" applyAlignment="1" applyProtection="1">
      <alignment horizontal="center" vertical="center" wrapText="1"/>
      <protection locked="0"/>
    </xf>
    <xf numFmtId="0" fontId="0" fillId="6" borderId="0" xfId="0" applyFill="1" applyAlignment="1" applyProtection="1">
      <alignment horizontal="center" vertical="center" wrapText="1"/>
      <protection locked="0"/>
    </xf>
    <xf numFmtId="0" fontId="1" fillId="5" borderId="0" xfId="0" applyFont="1" applyFill="1" applyAlignment="1" applyProtection="1">
      <alignment horizontal="center" vertical="center"/>
      <protection locked="0"/>
    </xf>
    <xf numFmtId="0" fontId="0" fillId="9" borderId="0" xfId="0" applyFill="1" applyAlignment="1" applyProtection="1">
      <alignment horizontal="center" vertical="center"/>
      <protection locked="0"/>
    </xf>
    <xf numFmtId="49" fontId="31" fillId="4" borderId="4" xfId="0" applyNumberFormat="1" applyFon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0" fillId="13" borderId="4" xfId="0" applyFill="1" applyBorder="1" applyAlignment="1" applyProtection="1">
      <alignment horizontal="center" vertical="center" wrapText="1"/>
      <protection locked="0"/>
    </xf>
    <xf numFmtId="16" fontId="0" fillId="4" borderId="4" xfId="0" applyNumberFormat="1" applyFill="1" applyBorder="1" applyAlignment="1" applyProtection="1">
      <alignment horizontal="center" vertical="center" wrapText="1"/>
      <protection locked="0"/>
    </xf>
    <xf numFmtId="0" fontId="16" fillId="13" borderId="4" xfId="0" applyFont="1" applyFill="1" applyBorder="1" applyAlignment="1" applyProtection="1">
      <alignment horizontal="center" vertical="center" wrapText="1"/>
      <protection locked="0"/>
    </xf>
    <xf numFmtId="0" fontId="36" fillId="0" borderId="0" xfId="0" applyFont="1" applyAlignment="1">
      <alignment vertical="center"/>
    </xf>
    <xf numFmtId="0" fontId="22" fillId="15" borderId="4" xfId="0" applyFont="1" applyFill="1" applyBorder="1" applyAlignment="1" applyProtection="1">
      <alignment horizontal="center" vertical="center" wrapText="1"/>
      <protection locked="0"/>
    </xf>
    <xf numFmtId="0" fontId="1" fillId="8" borderId="4" xfId="0" applyFont="1" applyFill="1" applyBorder="1" applyAlignment="1" applyProtection="1">
      <alignment horizontal="center" vertical="center"/>
      <protection locked="0"/>
    </xf>
    <xf numFmtId="49" fontId="4" fillId="4" borderId="4" xfId="0" applyNumberFormat="1" applyFont="1" applyFill="1" applyBorder="1" applyAlignment="1" applyProtection="1">
      <alignment horizontal="center" vertical="center"/>
      <protection locked="0"/>
    </xf>
    <xf numFmtId="0" fontId="7" fillId="3" borderId="4" xfId="3" applyFill="1" applyBorder="1" applyAlignment="1">
      <alignment horizontal="center" vertical="center" wrapText="1"/>
    </xf>
    <xf numFmtId="0" fontId="7" fillId="0" borderId="0" xfId="3"/>
    <xf numFmtId="0" fontId="0" fillId="4" borderId="9" xfId="0" applyFill="1" applyBorder="1" applyAlignment="1" applyProtection="1">
      <alignment horizontal="center" vertical="center"/>
      <protection locked="0"/>
    </xf>
    <xf numFmtId="0" fontId="4" fillId="4" borderId="4" xfId="0" applyFont="1" applyFill="1" applyBorder="1" applyAlignment="1" applyProtection="1">
      <alignment horizontal="center" vertical="center" wrapText="1"/>
      <protection locked="0"/>
    </xf>
    <xf numFmtId="0" fontId="0" fillId="13" borderId="3" xfId="0" applyFill="1" applyBorder="1" applyAlignment="1">
      <alignment horizontal="center" vertical="center" wrapText="1"/>
    </xf>
  </cellXfs>
  <cellStyles count="4">
    <cellStyle name="Hyperlink" xfId="3" xr:uid="{00000000-000B-0000-0000-000008000000}"/>
    <cellStyle name="Lien hypertexte" xfId="2" builtinId="8"/>
    <cellStyle name="Normal" xfId="0" builtinId="0"/>
    <cellStyle name="Normal 2" xfId="1" xr:uid="{B231F517-4121-4C3C-A242-B8D2CC76A1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1630680</xdr:colOff>
          <xdr:row>0</xdr:row>
          <xdr:rowOff>38100</xdr:rowOff>
        </xdr:from>
        <xdr:to>
          <xdr:col>2</xdr:col>
          <xdr:colOff>1821180</xdr:colOff>
          <xdr:row>0</xdr:row>
          <xdr:rowOff>182880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2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68580</xdr:colOff>
          <xdr:row>0</xdr:row>
          <xdr:rowOff>68580</xdr:rowOff>
        </xdr:from>
        <xdr:to>
          <xdr:col>8</xdr:col>
          <xdr:colOff>297180</xdr:colOff>
          <xdr:row>0</xdr:row>
          <xdr:rowOff>228600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200-00001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onn&#233;es_Principale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nnées_Principales"/>
    </sheetNames>
    <sheetDataSet>
      <sheetData sheetId="0" refreshError="1"/>
    </sheetDataSet>
  </externalBook>
</externalLink>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ffichage 1" id="{84BC5314-1121-4C80-B5E1-EB26518AF239}">
    <nsvFilter filterId="{00000000-0001-0000-0000-000000000000}" ref="A1:AD1502" tableId="0"/>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ffichage 1" id="{B68BDE9D-9A8D-4A70-90C1-9381C1CA9B2D}">
    <nsvFilter filterId="{329F0F2B-B9C6-414D-963F-9BF6124CC423}" ref="A1:E684" tableId="0"/>
  </namedSheetView>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1" Type="http://schemas.openxmlformats.org/officeDocument/2006/relationships/hyperlink" Target="file:///\\SRV-EPS-fai11.epsve.local\DPT\Services\SERVICE_DES_TRAVAUX\_NEW%20SERVEUR%20DPT\2000_PLAN%20TVX%20COURANT%20cl2-cl6\2025\130%20Suivi%20plan%20de%20travaux%202025\Classe%202\T2023035%20-%20ACACIAS\TBES%202025" TargetMode="External"/><Relationship Id="rId170"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268" Type="http://schemas.openxmlformats.org/officeDocument/2006/relationships/hyperlink" Target="file:///\\SRV-EPS-fai11.epsve.local\DPT\Services\SERVICE_DES_TRAVAUX\_NEW%20SERVEUR%20DPT\2000_PLAN%20TVX%20COURANT%20cl2-cl6\2025\130%20Suivi%20plan%20de%20travaux%202025\Classe%206\501%20E-MINGANT\RESHA_APAVE\0276" TargetMode="External"/><Relationship Id="rId475"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495" TargetMode="External"/><Relationship Id="rId682" Type="http://schemas.openxmlformats.org/officeDocument/2006/relationships/hyperlink" Target="file:///\\SRV-EPS-fai11.epsve.local\DPT\Services\SERVICE_DES_TRAVAUX\_NEW%20SERVEUR%20DPT\2000_PLAN%20TVX%20COURANT%20cl2-cl6\2025\130%20Suivi%20plan%20de%20travaux%202025\Classe%206\501%20E-MINGANT\CONT_220026_lot01_SCHINDLER\0704" TargetMode="External"/><Relationship Id="rId128"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081%20peinutre%20et%20sol%20epinay%20JJ" TargetMode="External"/><Relationship Id="rId335"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346" TargetMode="External"/><Relationship Id="rId542" Type="http://schemas.openxmlformats.org/officeDocument/2006/relationships/hyperlink" Target="file:///\\SRV-EPS-fai11.epsve.local\DPT\Services\SERVICE_DES_TRAVAUX\_NEW%20SERVEUR%20DPT\2000_PLAN%20TVX%20COURANT%20cl2-cl6\2025\130%20Suivi%20plan%20de%20travaux%202025\Classe%202\T2025014%20%20Ex%20IFSI%20DAHL\DEVIS" TargetMode="External"/><Relationship Id="rId98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402"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847"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877%20Montreuil%20Hugo%20%20Peinture%204%20Bx%20et%20cage" TargetMode="External"/><Relationship Id="rId1032" Type="http://schemas.openxmlformats.org/officeDocument/2006/relationships/hyperlink" Target="file:///\\SRV-EPS-fai11.epsve.local\DPT\Services\SERVICE_DES_TRAVAUX\_NEW%20SERVEUR%20DPT\2000_PLAN%20TVX%20COURANT%20cl2-cl6\2025\130%20Suivi%20plan%20de%20travaux%202025\Classe%206\501%20E-MINGANT\CONT_190023_lot00_DALKIA\1049" TargetMode="External"/><Relationship Id="rId70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0725" TargetMode="External"/><Relationship Id="rId914"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936" TargetMode="External"/><Relationship Id="rId43"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192" Type="http://schemas.openxmlformats.org/officeDocument/2006/relationships/hyperlink" Target="file:///\\SRV-EPS-fai11.epsve.local\DPT\Services\SERVICE_DES_TRAVAUX\_NEW%20SERVEUR%20DPT\2000_PLAN%20TVX%20COURANT%20cl2-cl6\2025\130%20Suivi%20plan%20de%20travaux%202025\Classe%206\302%20M-ALEVEQUE\LOT%2010%20-%20FDS%20CORPUS%20-%20METALLERIE\0193%20champagne" TargetMode="External"/><Relationship Id="rId497"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0513" TargetMode="External"/><Relationship Id="rId357" Type="http://schemas.openxmlformats.org/officeDocument/2006/relationships/hyperlink" Target="file:///\\SRV-EPS-fai11.epsve.local\DPT\Services\SERVICE_DES_TRAVAUX\_NEW%20SERVEUR%20DPT\2000_PLAN%20TVX%20COURANT%20cl2-cl6\2025\130%20Suivi%20plan%20de%20travaux%202025\Classe%206\302%20M-ALEVEQUE\LOT%2007%20-%20SCHNEIDER%20-%20COUVERTURE\0369%20logement%20dupont" TargetMode="External"/><Relationship Id="rId217"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222%20accueil" TargetMode="External"/><Relationship Id="rId564"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0582" TargetMode="External"/><Relationship Id="rId771" Type="http://schemas.openxmlformats.org/officeDocument/2006/relationships/hyperlink" Target="file:///\\SRV-EPS-fai11.epsve.local\DPT\Services\SERVICE_DES_TRAVAUX\_NEW%20SERVEUR%20DPT\2000_PLAN%20TVX%20COURANT%20cl2-cl6\2025\130%20Suivi%20plan%20de%20travaux%202025\Classe%206\303%20R-MERONI\LOT%2002%20-%20ARTETLEBOIS%20-MENUISERIE" TargetMode="External"/><Relationship Id="rId869" Type="http://schemas.openxmlformats.org/officeDocument/2006/relationships/hyperlink" Target="file:///\\SRV-EPS-fai11.epsve.local\DPT\Services\SERVICE_DES_TRAVAUX\_NEW%20SERVEUR%20DPT\2000_PLAN%20TVX%20COURANT%20cl2-cl6\2025\130%20Suivi%20plan%20de%20travaux%202025\Classe%206\301%20P-DOMERCQ\LOT%2009%20-%20SNTPP%20-%20VRD\0888" TargetMode="External"/><Relationship Id="rId424" Type="http://schemas.openxmlformats.org/officeDocument/2006/relationships/hyperlink" Target="file:///\\SRV-EPS-fai11.epsve.local\DPT\Services\SERVICE_DES_TRAVAUX\_NEW%20SERVEUR%20DPT\2000_PLAN%20TVX%20COURANT%20cl2-cl6\2025\130%20Suivi%20plan%20de%20travaux%202025\Classe%202\T2025017%20Internat%20Stockage%20Dahl\0438%20sanicotherm" TargetMode="External"/><Relationship Id="rId631"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648%20hirondelles%20local%20dechets" TargetMode="External"/><Relationship Id="rId729" Type="http://schemas.openxmlformats.org/officeDocument/2006/relationships/hyperlink" Target="file:///\\SRV-EPS-fai11.epsve.local\DPT\Services\SERVICE_DES_TRAVAUX\_NEW%20SERVEUR%20DPT\2000_PLAN%20TVX%20COURANT%20cl2-cl6\2025\130%20Suivi%20plan%20de%20travaux%202025\Classe%206\403%20S-GALOUL\747" TargetMode="External"/><Relationship Id="rId1054"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1071" TargetMode="External"/><Relationship Id="rId936" Type="http://schemas.openxmlformats.org/officeDocument/2006/relationships/hyperlink" Target="file:///\\SRV-EPS-fai11.epsve.local\DPT\Services\SERVICE_DES_TRAVAUX\_NEW%20SERVEUR%20DPT\2000_PLAN%20TVX%20COURANT%20cl2-cl6\2025\130%20Suivi%20plan%20de%20travaux%202025\Classe%206\101%20C-DARRET\Film%20UMD" TargetMode="External"/><Relationship Id="rId65"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281"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141"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379" Type="http://schemas.openxmlformats.org/officeDocument/2006/relationships/hyperlink" Target="file:///\\SRV-EPS-fai11.epsve.local\DPT\Services\SERVICE_DES_TRAVAUX\_NEW%20SERVEUR%20DPT\2000_PLAN%20TVX%20COURANT%20cl2-cl6\2025\130%20Suivi%20plan%20de%20travaux%202025\Classe%206\303%20R-MERONI\LOT%2001%20-%20SANICOTHERM%20-%20MACONNERIE\392%20ALIZE%20SDB%20hommes" TargetMode="External"/><Relationship Id="rId586"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793" Type="http://schemas.openxmlformats.org/officeDocument/2006/relationships/hyperlink" Target="file:///\\SRV-EPS-fai11.epsve.local\DPT\Services\SERVICE_DES_TRAVAUX\_NEW%20SERVEUR%20DPT\2000_PLAN%20TVX%20COURANT%20cl2-cl6\2025\130%20Suivi%20plan%20de%20travaux%202025\Classe%206\503%20P-EPIS\MBC_LOT08%20ABPSI\D-0811%20BONDY%20verdun%20Volet%20Bur-8" TargetMode="External"/><Relationship Id="rId7" Type="http://schemas.openxmlformats.org/officeDocument/2006/relationships/hyperlink" Target="file:///\\SRV-EPS-fai11.epsve.local\DPT\Services\SERVICE_DES_TRAVAUX\_NEW%20SERVEUR%20DPT\2000_PLAN%20TVX%20COURANT%20cl2-cl6\2025\130%20Suivi%20plan%20de%20travaux%202025\Classe%206\301%20P-DOMERCQ\LOT%2002%20-%20ARTETLEBOIS%20-MENUISERIE" TargetMode="External"/><Relationship Id="rId239" Type="http://schemas.openxmlformats.org/officeDocument/2006/relationships/hyperlink" Target="file:///\\SRV-EPS-fai11.epsve.local\DPT\Services\SERVICE_DES_TRAVAUX\_NEW%20SERVEUR%20DPT\2000_PLAN%20TVX%20COURANT%20cl2-cl6\2024\00%20plan%202024\010%20Suivi%20Plan%202024\CLasse%202\T2024034%20R&#233;novation%20appartements%20GAGNY\LOT%2005%20-%20BSMG%20-%20CVC\245" TargetMode="External"/><Relationship Id="rId446" Type="http://schemas.openxmlformats.org/officeDocument/2006/relationships/hyperlink" Target="file:///\\SRV-EPS-fai11.epsve.local\DPT\Services\SERVICE_DES_TRAVAUX\_NEW%20SERVEUR%20DPT\2000_PLAN%20TVX%20COURANT%20cl2-cl6\2025\130%20Suivi%20plan%20de%20travaux%202025\Classe%206\303%20R-MERONI\LOT%2002%20-%20ARTETLEBOIS%20-MENUISERIE\0460%20Tilleuls%20Secr&#233;tariat" TargetMode="External"/><Relationship Id="rId653" Type="http://schemas.openxmlformats.org/officeDocument/2006/relationships/hyperlink" Target="file:///\\SRV-EPS-fai11.epsve.local\DPT\Services\SERVICE_DES_TRAVAUX\_NEW%20SERVEUR%20DPT\2000_PLAN%20TVX%20COURANT%20cl2-cl6\2025\130%20Suivi%20plan%20de%20travaux%202025\Classe%206\403%20S-GALOUL\675" TargetMode="External"/><Relationship Id="rId1076"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06" Type="http://schemas.openxmlformats.org/officeDocument/2006/relationships/hyperlink" Target="file:///\\SRV-EPS-fai11.epsve.local\DPT\Services\SERVICE_DES_TRAVAUX\_NEW%20SERVEUR%20DPT\2000_PLAN%20TVX%20COURANT%20cl2-cl6\2024\00%20plan%202024\010%20Suivi%20Plan%202024\CLasse%202\T2024029%20MAISON%20DES%20USAGERS\Devis%202025\316%20%20AEB" TargetMode="External"/><Relationship Id="rId860" Type="http://schemas.openxmlformats.org/officeDocument/2006/relationships/hyperlink" Target="file:///\\SRV-EPS-fai11.epsve.local\DPT\Services\SERVICE_DES_TRAVAUX\_NEW%20SERVEUR%20DPT\2000_PLAN%20TVX%20COURANT%20cl2-cl6\2025\130%20Suivi%20plan%20de%20travaux%202025\Classe%206\303%20R-MERONI\LOT%2013%20-%20AC2P%20-%20CLOISONS%20FAUX%20PLAF\0880%20Montreuil%20Pasteur%20Fx%20Pld" TargetMode="External"/><Relationship Id="rId958" Type="http://schemas.openxmlformats.org/officeDocument/2006/relationships/hyperlink" Target="file:///\\SRV-EPS-fai11.epsve.local\DPT\Services\SERVICE_DES_TRAVAUX\_NEW%20SERVEUR%20DPT\2000_PLAN%20TVX%20COURANT%20cl2-cl6\2025\130%20Suivi%20plan%20de%20travaux%202025\Classe%206\303%20R-MERONI\LOT%2008%20-%20ABPSI%20-STORES\0976%20%20%20Formation%20Permanente" TargetMode="External"/><Relationship Id="rId87"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0089" TargetMode="External"/><Relationship Id="rId513" Type="http://schemas.openxmlformats.org/officeDocument/2006/relationships/hyperlink" Target="file:///\\SRV-EPS-fai11.epsve.local\DPT\Services\SERVICE_DES_TRAVAUX\_NEW%20SERVEUR%20DPT\1000_OPE%20TVX%20STRAT\0005%20march&#233;%20socotec" TargetMode="External"/><Relationship Id="rId720" Type="http://schemas.openxmlformats.org/officeDocument/2006/relationships/hyperlink" Target="file:///\\SRV-EPS-fai11.epsve.local\DPT\Services\SERVICE_DES_TRAVAUX\_NEW%20SERVEUR%20DPT\2000_PLAN%20TVX%20COURANT%20cl2-cl6\2025\130%20Suivi%20plan%20de%20travaux%202025\Classe%206\503%20P-EPIS\MBC_LOT08%20ABPSI\0738" TargetMode="External"/><Relationship Id="rId818" Type="http://schemas.openxmlformats.org/officeDocument/2006/relationships/hyperlink" Target="file:///\\SRV-EPS-fai11.epsve.local\DPT\Services\SERVICE_DES_TRAVAUX\_NEW%20SERVEUR%20DPT\2000_PLAN%20TVX%20COURANT%20cl2-cl6\2025\130%20Suivi%20plan%20de%20travaux%202025\Classe%206\301%20P-DOMERCQ\LOT%2008%20-%20ABPSI%20-STORES\0837" TargetMode="External"/><Relationship Id="rId1003" Type="http://schemas.openxmlformats.org/officeDocument/2006/relationships/hyperlink" Target="file:///\\SRV-EPS-fai11.epsve.local\DPT\Services\SERVICE_DES_TRAVAUX\_NEW%20SERVEUR%20DPT\2000_PLAN%20TVX%20COURANT%20cl2-cl6\2025\130%20Suivi%20plan%20de%20travaux%202025\Classe%206\301%20P-DOMERCQ\LOT%2013%20-%20AC2P%20-%20CLOISONS%20FAUX%20PLAF\1019" TargetMode="External"/><Relationship Id="rId664"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686%20%20St%20DENIS" TargetMode="External"/><Relationship Id="rId871" Type="http://schemas.openxmlformats.org/officeDocument/2006/relationships/hyperlink" Target="file:///\\SRV-EPS-fai11.epsve.local\DPT\Services\SERVICE_DES_TRAVAUX\_NEW%20SERVEUR%20DPT\2000_PLAN%20TVX%20COURANT%20cl2-cl6\2025\130%20Suivi%20plan%20de%20travaux%202025\Classe%206\303%20R-MERONI\LOT%2007%20-%20SCHNEIDER%20-%20COUVERTURE\891%20Velux%20Direction%20Qualit&#233;" TargetMode="External"/><Relationship Id="rId969"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14"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317" Type="http://schemas.openxmlformats.org/officeDocument/2006/relationships/hyperlink" Target="file:///\\SRV-EPS-fai11.epsve.local\DPT\Services\SERVICE_DES_TRAVAUX\_NEW%20SERVEUR%20DPT\1000_OPE%20TVX%20STRAT\2019.11%20POLE%20SANTE\00%20ETU%20PREALABLES\002%20AMIANTE\023%20AMO%20amiante" TargetMode="External"/><Relationship Id="rId524"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731" Type="http://schemas.openxmlformats.org/officeDocument/2006/relationships/hyperlink" Target="file:///\\SRV-EPS-fai11.epsve.local\DPT\Services\SERVICE_DES_TRAVAUX\_NEW%20SERVEUR%20DPT\2000_PLAN%20TVX%20COURANT%20cl2-cl6\2025\130%20Suivi%20plan%20de%20travaux%202025\Classe%206\403%20S-GALOUL\749" TargetMode="External"/><Relationship Id="rId98"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163"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0166" TargetMode="External"/><Relationship Id="rId370" Type="http://schemas.openxmlformats.org/officeDocument/2006/relationships/hyperlink" Target="file:///\\SRV-EPS-fai11.epsve.local\DPT\Services\SERVICE_DES_TRAVAUX\_NEW%20SERVEUR%20DPT\2000_PLAN%20TVX%20COURANT%20cl2-cl6\2025\130%20Suivi%20plan%20de%20travaux%202025\Classe%206\501%20E-MINGANT\CONT_202500006_JM_EAU-PLUS\0382" TargetMode="External"/><Relationship Id="rId829"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847" TargetMode="External"/><Relationship Id="rId1014"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1034" TargetMode="External"/><Relationship Id="rId230"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468"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675" Type="http://schemas.openxmlformats.org/officeDocument/2006/relationships/hyperlink" Target="file:///\\SRV-EPS-fai11.epsve.local\DPT\Services\SERVICE_DES_TRAVAUX\_NEW%20SERVEUR%20DPT\2000_PLAN%20TVX%20COURANT%20cl2-cl6\2025\130%20Suivi%20plan%20de%20travaux%202025\Classe%202\op&#233;ration%20AMT\AC2P\695" TargetMode="External"/><Relationship Id="rId882" Type="http://schemas.openxmlformats.org/officeDocument/2006/relationships/hyperlink" Target="file:///\\SRV-EPS-fai11.epsve.local\DPT\Services\SERVICE_DES_TRAVAUX\_NEW%20SERVEUR%20DPT\2000_PLAN%20TVX%20COURANT%20cl2-cl6\2025\130%20Suivi%20plan%20de%20travaux%202025\Classe%202\T2025029%20Cr&#233;ation%20Bx%20Mal%20BAGNOLET\0903%20AC2P" TargetMode="External"/><Relationship Id="rId1098" Type="http://schemas.openxmlformats.org/officeDocument/2006/relationships/hyperlink" Target="file:///\\SRV-EPS-fai11.epsve.local\DPT\Services\SERVICE_DES_TRAVAUX\_NEW%20SERVEUR%20DPT\2000_PLAN%20TVX%20COURANT%20cl2-cl6\2025\130%20Suivi%20plan%20de%20travaux%202025\Classe%206\503%20P-EPIS\CONT_220027_lot06_Rougnon-AGS_GE" TargetMode="External"/><Relationship Id="rId25" Type="http://schemas.openxmlformats.org/officeDocument/2006/relationships/hyperlink" Target="file:///\\SRV-EPS-fai11.epsve.local\DPT\Services\SERVICE_DES_TRAVAUX\_NEW%20SERVEUR%20DPT\2000_PLAN%20TVX%20COURANT%20cl2-cl6\2025\130%20Suivi%20plan%20de%20travaux%202025\Classe%206\503%20P-EPIS\CONT_220027_lot06_Rougnon-AGS_GE" TargetMode="External"/><Relationship Id="rId328" Type="http://schemas.openxmlformats.org/officeDocument/2006/relationships/hyperlink" Target="file:///\\SRV-EPS-fai11.epsve.local\DPT\Services\SERVICE_DES_TRAVAUX\_NEW%20SERVEUR%20DPT\2000_PLAN%20TVX%20COURANT%20cl2-cl6\2025\130%20Suivi%20plan%20de%20travaux%202025\Classe%206\302%20M-ALEVEQUE\LOT%2008%20-%20ABPSI%20-STORES\0339%20CGOS" TargetMode="External"/><Relationship Id="rId535" Type="http://schemas.openxmlformats.org/officeDocument/2006/relationships/hyperlink" Target="file:///\\SRV-EPS-fai11.epsve.local\DPT\Services\SERVICE_DES_TRAVAUX\_NEW%20SERVEUR%20DPT\2000_PLAN%20TVX%20COURANT%20cl2-cl6\2025\130%20Suivi%20plan%20de%20travaux%202025\Classe%202\T2025016%20Ch%20de%20Gardes\CB1" TargetMode="External"/><Relationship Id="rId742" Type="http://schemas.openxmlformats.org/officeDocument/2006/relationships/hyperlink" Target="file:///\\SRV-EPS-fai11.epsve.local\DPT\Services\SERVICE_DES_TRAVAUX\_NEW%20SERVEUR%20DPT\2000_PLAN%20TVX%20COURANT%20cl2-cl6\2025\130%20Suivi%20plan%20de%20travaux%202025\Classe%206\303%20R-MERONI\LOT%2008%20-%20ABPSI%20-STORES" TargetMode="External"/><Relationship Id="rId174" Type="http://schemas.openxmlformats.org/officeDocument/2006/relationships/hyperlink" Target="file:///\\SRV-EPS-fai11.epsve.local\DPT\Services\SERVICE_DES_TRAVAUX\_NEW%20SERVEUR%20DPT\2000_PLAN%20TVX%20COURANT%20cl2-cl6\2024\00%20plan%202024\010%20Suivi%20Plan%202024\CLasse%202\T2024020%20Asinerie%20Toiture" TargetMode="External"/><Relationship Id="rId381" Type="http://schemas.openxmlformats.org/officeDocument/2006/relationships/hyperlink" Target="file:///\\SRV-EPS-fai11.epsve.local\DPT\Services\SERVICE_DES_TRAVAUX\_NEW%20SERVEUR%20DPT\2000_PLAN%20TVX%20COURANT%20cl2-cl6\2025\130%20Suivi%20plan%20de%20travaux%202025\Classe%206\303%20R-MERONI\LOT%2005%20-%20BSMG%20-%20CVC\Regis%20Unirr\394%20Regis%20Sanitaire%201%20er%20&#233;tage" TargetMode="External"/><Relationship Id="rId602" Type="http://schemas.openxmlformats.org/officeDocument/2006/relationships/hyperlink" Target="file:///\\SRV-EPS-fai11.epsve.local\DPT\Services\SERVICE_DES_TRAVAUX\_NEW%20SERVEUR%20DPT\2000_PLAN%20TVX%20COURANT%20cl2-cl6\2025\130%20Suivi%20plan%20de%20travaux%202025\Classe%202\T2025018%20appartement%20cours%20communs\LPP" TargetMode="External"/><Relationship Id="rId1025" Type="http://schemas.openxmlformats.org/officeDocument/2006/relationships/hyperlink" Target="file:///\\SRV-EPS-fai11.epsve.local\DPT\Services\SERVICE_DES_TRAVAUX\_NEW%20SERVEUR%20DPT\2000_PLAN%20TVX%20COURANT%20cl2-cl6\2025\130%20Suivi%20plan%20de%20travaux%202025\Classe%202\T2025023%20NSM%20caf&#233;t&#233;ria\DEVIS%20CAFETE%20%20PROVISOIRE\1043%20%20AEB" TargetMode="External"/><Relationship Id="rId241" Type="http://schemas.openxmlformats.org/officeDocument/2006/relationships/hyperlink" Target="file:///\\SRV-EPS-fai11.epsve.local\DPT\Services\SERVICE_DES_TRAVAUX\_NEW%20SERVEUR%20DPT\2000_PLAN%20TVX%20COURANT%20cl2-cl6\2024\00%20plan%202024\010%20Suivi%20Plan%202024\CLasse%202\T2024034%20R&#233;novation%20appartements%20GAGNY\LOT%2005%20-%20BSMG%20-%20CVC\247" TargetMode="External"/><Relationship Id="rId479" Type="http://schemas.openxmlformats.org/officeDocument/2006/relationships/hyperlink" Target="file:///\\SRV-EPS-fai11.epsve.local\DPT\Services\SERVICE_DES_TRAVAUX\_NEW%20SERVEUR%20DPT\2000_PLAN%20TVX%20COURANT%20cl2-cl6\2025\130%20Suivi%20plan%20de%20travaux%202025\Classe%206\303%20R-MERONI\LOT%2008%20-%20ABPSI%20-STORES\0498%20Bondy%20VR%205" TargetMode="External"/><Relationship Id="rId686" Type="http://schemas.openxmlformats.org/officeDocument/2006/relationships/hyperlink" Target="file:///\\SRV-EPS-fai11.epsve.local\DPT\Services\SERVICE_DES_TRAVAUX\_NEW%20SERVEUR%20DPT\2000_PLAN%20TVX%20COURANT%20cl2-cl6\2025\130%20Suivi%20plan%20de%20travaux%202025\Classe%206\501%20E-MINGANT\CONT_190023_lot00_DALKIA\0708" TargetMode="External"/><Relationship Id="rId893" Type="http://schemas.openxmlformats.org/officeDocument/2006/relationships/hyperlink" Target="file:///\\SRV-EPS-fai11.epsve.local\DPT\Services\SERVICE_DES_TRAVAUX\_NEW%20SERVEUR%20DPT\2000_PLAN%20TVX%20COURANT%20cl2-cl6\2025\130%20Suivi%20plan%20de%20travaux%202025\Classe%206\403%20S-GALOUL\914" TargetMode="External"/><Relationship Id="rId907" Type="http://schemas.openxmlformats.org/officeDocument/2006/relationships/hyperlink" Target="file:///\\SRV-EPS-fai11.epsve.local\DPT\Services\SERVICE_DES_TRAVAUX\_NEW%20SERVEUR%20DPT\2000_PLAN%20TVX%20COURANT%20cl2-cl6\2025\130%20Suivi%20plan%20de%20travaux%202025\Classe%206\402%20F-BRESSAN\0931%20clos%20benard%20eris%20cameras" TargetMode="External"/><Relationship Id="rId36" Type="http://schemas.openxmlformats.org/officeDocument/2006/relationships/hyperlink" Target="file:///\\SRV-EPS-fai11.epsve.local\DPT\Services\SERVICE_DES_TRAVAUX\_NEW%20SERVEUR%20DPT\2000_PLAN%20TVX%20COURANT%20cl2-cl6\2024\00%20plan%202024\010%20Suivi%20Plan%202024\CLasse%202\T2024039%20renov%202024%2025%20%20CB2%20RDC%20ex%20G06\planchers%20chauffants%20cs%20et%202%20ci" TargetMode="External"/><Relationship Id="rId339" Type="http://schemas.openxmlformats.org/officeDocument/2006/relationships/hyperlink" Target="file:///\\SRV-EPS-fai11.epsve.local\DPT\Services\SERVICE_DES_TRAVAUX\_NEW%20SERVEUR%20DPT\2000_PLAN%20TVX%20COURANT%20cl2-cl6\2025\130%20Suivi%20plan%20de%20travaux%202025\Classe%202\T2025005%20Appartement%20%20Unirre-Care\332%20%20Sanicotherm%20d&#233;molition%20et%20r&#233;novations%20completes" TargetMode="External"/><Relationship Id="rId546"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563" TargetMode="External"/><Relationship Id="rId753" Type="http://schemas.openxmlformats.org/officeDocument/2006/relationships/hyperlink" Target="file:///\\SRV-EPS-fai11.epsve.local\DPT\Services\SERVICE_DES_TRAVAUX\_NEW%20SERVEUR%20DPT\2000_PLAN%20TVX%20COURANT%20cl2-cl6\2025\130%20Suivi%20plan%20de%20travaux%202025\Classe%202\T2025025%20remise%20en%20etat%20G06%20ex%2013" TargetMode="External"/><Relationship Id="rId101" Type="http://schemas.openxmlformats.org/officeDocument/2006/relationships/hyperlink" Target="file:///\\SRV-EPS-fai11.epsve.local\DPT\Services\SERVICE_DES_TRAVAUX\_NEW%20SERVEUR%20DPT\2000_PLAN%20TVX%20COURANT%20cl2-cl6\2025\130%20Suivi%20plan%20de%20travaux%202025\Classe%202\T2023035%20-%20ACACIAS\0105art%20et%20bois" TargetMode="External"/><Relationship Id="rId185" Type="http://schemas.openxmlformats.org/officeDocument/2006/relationships/hyperlink" Target="file:///\\SRV-EPS-fai11.epsve.local\DPT\Services\SERVICE_DES_TRAVAUX\_NEW%20SERVEUR%20DPT\2000_PLAN%20TVX%20COURANT%20cl2-cl6\2025\130%20Suivi%20plan%20de%20travaux%202025\Classe%206\501%20E-MINGANT\CONT_190023_lot00_DALKIA\0188" TargetMode="External"/><Relationship Id="rId406" Type="http://schemas.openxmlformats.org/officeDocument/2006/relationships/hyperlink" Target="file:///\\SRV-EPS-fai11.epsve.local\DPT\Services\SERVICE_DES_TRAVAUX\_NEW%20SERVEUR%20DPT\2000_PLAN%20TVX%20COURANT%20cl2-cl6\2025\130%20Suivi%20plan%20de%20travaux%202025\Classe%206\504%20D-PAQUIN\MBC_LOT11%20SEA" TargetMode="External"/><Relationship Id="rId960" Type="http://schemas.openxmlformats.org/officeDocument/2006/relationships/hyperlink" Target="file:///\\SRV-EPS-fai11.epsve.local\DPT\Services\SERVICE_DES_TRAVAUX\_NEW%20SERVEUR%20DPT\2000_PLAN%20TVX%20COURANT%20cl2-cl6\2025\130%20Suivi%20plan%20de%20travaux%202025\Classe%206\501%20E-MINGANT\CONT_190023_lot00_DALKIA\0978" TargetMode="External"/><Relationship Id="rId1036" Type="http://schemas.openxmlformats.org/officeDocument/2006/relationships/hyperlink" Target="file:///\\SRV-EPS-fai11.epsve.local\DPT\Services\SERVICE_DES_TRAVAUX\_NEW%20SERVEUR%20DPT\2000_PLAN%20TVX%20COURANT%20cl2-cl6\2025\130%20Suivi%20plan%20de%20travaux%202025\Classe%206\1053%20Etude%20Structure%20Plancher%20Salle%20%20Sports" TargetMode="External"/><Relationship Id="rId392" Type="http://schemas.openxmlformats.org/officeDocument/2006/relationships/hyperlink" Target="file:///\\SRV-EPS-fai11.epsve.local\DPT\Services\SERVICE_DES_TRAVAUX\_NEW%20SERVEUR%20DPT\2000_PLAN%20TVX%20COURANT%20cl2-cl6\2025\130%20Suivi%20plan%20de%20travaux%202025\Classe%206\503%20P-EPIS\HM_\ATRP\0404%20%20BONDY%20%20%20%20%20%20%20%20G11%20PTI%20N&#176;13" TargetMode="External"/><Relationship Id="rId613" Type="http://schemas.openxmlformats.org/officeDocument/2006/relationships/hyperlink" Target="file:///\\SRV-EPS-fai11.epsve.local\DPT\Services\SERVICE_DES_TRAVAUX\_NEW%20SERVEUR%20DPT\2000_PLAN%20TVX%20COURANT%20cl2-cl6\2025\130%20Suivi%20plan%20de%20travaux%202025\Classe%202\T2025017%20Internat%20Stockage%20Dahl\0596%20Sanic%203%20eme%20Box" TargetMode="External"/><Relationship Id="rId697" Type="http://schemas.openxmlformats.org/officeDocument/2006/relationships/hyperlink" Target="file:///\\SRV-EPS-fai11.epsve.local\DPT\Services\SERVICE_DES_TRAVAUX\_NEW%20SERVEUR%20DPT\2000_PLAN%20TVX%20COURANT%20cl2-cl6\2025\130%20Suivi%20plan%20de%20travaux%202025\Classe%206\303%20R-MERONI\LOT%2001%20-%20SANICOTHERM%20-%20MACONNERIE\0716%20MAS%20%20douche-WC%20Vestiaire%20femmes" TargetMode="External"/><Relationship Id="rId820" Type="http://schemas.openxmlformats.org/officeDocument/2006/relationships/hyperlink" Target="file:///\\SRV-EPS-fai11.epsve.local\DPT\Services\SERVICE_DES_TRAVAUX\_NEW%20SERVEUR%20DPT\2000_PLAN%20TVX%20COURANT%20cl2-cl6\2025\130%20Suivi%20plan%20de%20travaux%202025\Classe%206\101%20C-DARRET\Truelle%201e%20pierre" TargetMode="External"/><Relationship Id="rId918"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940%20picardie" TargetMode="External"/><Relationship Id="rId252"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1103" Type="http://schemas.openxmlformats.org/officeDocument/2006/relationships/hyperlink" Target="file:///\\SRV-EPS-fai11.epsve.local\DPT\Services\SERVICE_DES_TRAVAUX\_NEW%20SERVEUR%20DPT\2000_PLAN%20TVX%20COURANT%20cl2-cl6\2025\130%20Suivi%20plan%20de%20travaux%202025\Classe%206\501%20E-MINGANT\CONT_220026_lot01_SCHINDLER\1122" TargetMode="External"/><Relationship Id="rId47"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 TargetMode="External"/><Relationship Id="rId112" Type="http://schemas.openxmlformats.org/officeDocument/2006/relationships/hyperlink" Target="file:///\\SRV-EPS-fai11.epsve.local\DPT\Services\SERVICE_DES_TRAVAUX\_NEW%20SERVEUR%20DPT\2000_PLAN%20TVX%20COURANT%20cl2-cl6\2025\130%20Suivi%20plan%20de%20travaux%202025\Classe%206\502%20A-CARPINTEIRO\HM_\SMB" TargetMode="External"/><Relationship Id="rId557"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573" TargetMode="External"/><Relationship Id="rId764" Type="http://schemas.openxmlformats.org/officeDocument/2006/relationships/hyperlink" Target="file:///\\SRV-EPS-fai11.epsve.local\DPT\Services\SERVICE_DES_TRAVAUX\_NEW%20SERVEUR%20DPT\2000_PLAN%20TVX%20COURANT%20cl2-cl6\2025\130%20Suivi%20plan%20de%20travaux%202025\Classe%206\504%20D-PAQUIN\MBC_LOT05%20BSMG-LTDf" TargetMode="External"/><Relationship Id="rId971" Type="http://schemas.openxmlformats.org/officeDocument/2006/relationships/hyperlink" Target="file:///\\SRV-EPS-fai11.epsve.local\DPT\Services\SERVICE_DES_TRAVAUX\_NEW%20SERVEUR%20DPT\2000_PLAN%20TVX%20COURANT%20cl2-cl6\2025\130%20Suivi%20plan%20de%20travaux%202025\Classe%206\403%20S-GALOUL\1009" TargetMode="External"/><Relationship Id="rId196"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17"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624"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831" Type="http://schemas.openxmlformats.org/officeDocument/2006/relationships/hyperlink" Target="file:///\\SRV-EPS-fai11.epsve.local\DPT\Services\SERVICE_DES_TRAVAUX\_NEW%20SERVEUR%20DPT\2000_PLAN%20TVX%20COURANT%20cl2-cl6\2025\130%20Suivi%20plan%20de%20travaux%202025\Classe%206\403%20S-GALOUL\849" TargetMode="External"/><Relationship Id="rId1047" Type="http://schemas.openxmlformats.org/officeDocument/2006/relationships/hyperlink" Target="file:///\\SRV-EPS-fai11.epsve.local\DPT\Services\SERVICE_DES_TRAVAUX\_NEW%20SERVEUR%20DPT\2000_PLAN%20TVX%20COURANT%20cl2-cl6\2025\130%20Suivi%20plan%20de%20travaux%202025\Classe%206\102%20JC-HONART\avenir%20deconstruction" TargetMode="External"/><Relationship Id="rId263" Type="http://schemas.openxmlformats.org/officeDocument/2006/relationships/hyperlink" Target="file:///\\SRV-EPS-fai11.epsve.local\DPT\Services\SERVICE_DES_TRAVAUX\_NEW%20SERVEUR%20DPT\2000_PLAN%20TVX%20COURANT%20cl2-cl6\2025\130%20Suivi%20plan%20de%20travaux%202025\Classe%206\102%20JC-HONART\Graal" TargetMode="External"/><Relationship Id="rId470" Type="http://schemas.openxmlformats.org/officeDocument/2006/relationships/hyperlink" Target="file:///\\SRV-EPS-fai11.epsve.local\DPT\Services\SERVICE_DES_TRAVAUX\_NEW%20SERVEUR%20DPT\2000_PLAN%20TVX%20COURANT%20cl2-cl6\2024\00%20plan%202024\010%20Suivi%20Plan%202024\CLasse%202\T2024029%20MAISON%20DES%20USAGERS\Devis%202025\317%20TBES" TargetMode="External"/><Relationship Id="rId929"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949%20albatros" TargetMode="External"/><Relationship Id="rId58"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23" Type="http://schemas.openxmlformats.org/officeDocument/2006/relationships/hyperlink" Target="file:///\\SRV-EPS-fai11.epsve.local\DPT\Services\SERVICE_DES_TRAVAUX\_NEW%20SERVEUR%20DPT\2000_PLAN%20TVX%20COURANT%20cl2-cl6\2025\130%20Suivi%20plan%20de%20travaux%202025\Classe%202\T2025006%20-%20S&#233;curite%20IFSI%20-Pole%20formation\0128%20vulacain" TargetMode="External"/><Relationship Id="rId330"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 TargetMode="External"/><Relationship Id="rId568" Type="http://schemas.openxmlformats.org/officeDocument/2006/relationships/hyperlink" Target="file:///\\SRV-EPS-fai11.epsve.local\DPT\Services\SERVICE_DES_TRAVAUX\_NEW%20SERVEUR%20DPT\1000_OPE%20TVX%20STRAT\2019.11%20POLE%20SANTE\04%20SUIVI%20TECHNIQUE\049%20CHANTIER\0495%20CHANTIER\Entreprises\belbeoc" TargetMode="External"/><Relationship Id="rId775" Type="http://schemas.openxmlformats.org/officeDocument/2006/relationships/hyperlink" Target="file:///\\SRV-EPS-fai11.epsve.local\DPT\Services\SERVICE_DES_TRAVAUX\_NEW%20SERVEUR%20DPT\2000_PLAN%20TVX%20COURANT%20cl2-cl6\2025\130%20Suivi%20plan%20de%20travaux%202025\Classe%202\T2025003%20-%20Accessibilite\Bondy%20SDB%20G11" TargetMode="External"/><Relationship Id="rId982"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428" Type="http://schemas.openxmlformats.org/officeDocument/2006/relationships/hyperlink" Target="file:///\\SRV-EPS-fai11.epsve.local\DPT\Services\SERVICE_DES_TRAVAUX\_NEW%20SERVEUR%20DPT\1000_OPE%20TVX%20STRAT\0010%20MOE%20multiattributaire%202025-2028\2025.02%20POLE%20SANTE" TargetMode="External"/><Relationship Id="rId635" Type="http://schemas.openxmlformats.org/officeDocument/2006/relationships/hyperlink" Target="file:///\\SRV-EPS-fai11.epsve.local\DPT\Services\SERVICE_DES_TRAVAUX\_NEW%20SERVEUR%20DPT\2000_PLAN%20TVX%20COURANT%20cl2-cl6\2025\130%20Suivi%20plan%20de%20travaux%202025\Classe%206\301%20P-DOMERCQ\LOT%2005%20-%20BSMG%20-%20CVC\0655" TargetMode="External"/><Relationship Id="rId842" Type="http://schemas.openxmlformats.org/officeDocument/2006/relationships/hyperlink" Target="file:///\\SRV-EPS-fai11.epsve.local\DPT\Services\SERVICE_DES_TRAVAUX\_NEW%20SERVEUR%20DPT\2000_PLAN%20TVX%20COURANT%20cl2-cl6\2025\130%20Suivi%20plan%20de%20travaux%202025\Classe%202\op&#233;ration%20POLE%20SANTE\AVENIR%20DECONSTRUCTION\20251008_phase1_RING" TargetMode="External"/><Relationship Id="rId1058" Type="http://schemas.openxmlformats.org/officeDocument/2006/relationships/hyperlink" Target="file:///\\SRV-EPS-fai11.epsve.local\DPT\Services\SERVICE_DES_TRAVAUX\_NEW%20SERVEUR%20DPT\2000_PLAN%20TVX%20COURANT%20cl2-cl6\2025\130%20Suivi%20plan%20de%20travaux%202025\Classe%206\502%20A-CARPINTEIRO\MBC_LOT09%20SNTPP\1082" TargetMode="External"/><Relationship Id="rId274" Type="http://schemas.openxmlformats.org/officeDocument/2006/relationships/hyperlink" Target="file:///\\SRV-EPS-fai11.epsve.local\DPT\Services\SERVICE_DES_TRAVAUX\_NEW%20SERVEUR%20DPT\2000_PLAN%20TVX%20COURANT%20cl2-cl6\2025\130%20Suivi%20plan%20de%20travaux%202025\Classe%206\101%20C-DARRET\Bilan%20carbone%20NEPSEN%20mar-25" TargetMode="External"/><Relationship Id="rId481"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02" Type="http://schemas.openxmlformats.org/officeDocument/2006/relationships/hyperlink" Target="file:///\\SRV-EPS-fai11.epsve.local\DPT\Services\SERVICE_DES_TRAVAUX\_NEW%20SERVEUR%20DPT\2000_PLAN%20TVX%20COURANT%20cl2-cl6\2025\130%20Suivi%20plan%20de%20travaux%202025\Classe%206\502%20A-CARPINTEIRO\MBC_LOT02%20AELB\0719\0719" TargetMode="External"/><Relationship Id="rId69"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134" Type="http://schemas.openxmlformats.org/officeDocument/2006/relationships/hyperlink" Target="file:///\\SRV-EPS-fai11.epsve.local\DPT\Services\SERVICE_DES_TRAVAUX\_NEW%20SERVEUR%20DPT\1000_OPE%20TVX%20STRAT\2019.11%20POLE%20SANTE\00%20ETU%20PREALABLES\002%20AMIANTE\Avenir%20deconstruction\PLOMB%20complement" TargetMode="External"/><Relationship Id="rId579" Type="http://schemas.openxmlformats.org/officeDocument/2006/relationships/hyperlink" Target="file:///\\SRV-EPS-fai11.epsve.local\DPT\Services\SERVICE_DES_TRAVAUX\_NEW%20SERVEUR%20DPT\2000_PLAN%20TVX%20COURANT%20cl2-cl6\2025\130%20Suivi%20plan%20de%20travaux%202025\Classe%206\501%20E-MINGANT\CONT_190023_lot00_DALKIA\0598" TargetMode="External"/><Relationship Id="rId786" Type="http://schemas.openxmlformats.org/officeDocument/2006/relationships/hyperlink" Target="file:///\\SRV-EPS-fai11.epsve.local\DPT\Services\SERVICE_DES_TRAVAUX\_NEW%20SERVEUR%20DPT\2000_PLAN%20TVX%20COURANT%20cl2-cl6\2025\130%20Suivi%20plan%20de%20travaux%202025\Classe%206\403%20S-GALOUL\805" TargetMode="External"/><Relationship Id="rId993"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41"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351" TargetMode="External"/><Relationship Id="rId439" Type="http://schemas.openxmlformats.org/officeDocument/2006/relationships/hyperlink" Target="file:///\\SRV-EPS-fai11.epsve.local\DPT\Services\SERVICE_DES_TRAVAUX\_NEW%20SERVEUR%20DPT\2000_PLAN%20TVX%20COURANT%20cl2-cl6\2025\130%20Suivi%20plan%20de%20travaux%202025\Classe%206\503%20P-EPIS\MBC_LOT08%20ABPSI\0454%20%20AUBERV.%20C.%20TILLON%20R&#233;gule%20inter%20du%2007.05.25%20sur%20I02%20HJ-IHSEA" TargetMode="External"/><Relationship Id="rId646"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1069" Type="http://schemas.openxmlformats.org/officeDocument/2006/relationships/hyperlink" Target="file:///\\SRV-EPS-fai11.epsve.local\DPT\Services\SERVICE_DES_TRAVAUX\_NEW%20SERVEUR%20DPT\2000_PLAN%20TVX%20COURANT%20cl2-cl6\2025\130%20Suivi%20plan%20de%20travaux%202025\Classe%202\T2023035%20-%20ACACIAS" TargetMode="External"/><Relationship Id="rId201"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204%20Dauphine" TargetMode="External"/><Relationship Id="rId285" Type="http://schemas.openxmlformats.org/officeDocument/2006/relationships/hyperlink" Target="file:///\\SRV-EPS-fai11.epsve.local\DPT\Services\SERVICE_DES_TRAVAUX\_NEW%20SERVEUR%20DPT\2000_PLAN%20TVX%20COURANT%20cl2-cl6\2025\130%20Suivi%20plan%20de%20travaux%202025\Classe%206\302%20M-ALEVEQUE\LOT%2008%20-%20ABPSI%20-STORES\0292%20UCP" TargetMode="External"/><Relationship Id="rId506" Type="http://schemas.openxmlformats.org/officeDocument/2006/relationships/hyperlink" Target="file:///L:\Services\SERVICE_DES_TRAVAUX\_NEW%20SERVEUR%20DPT\2000_PLAN%20TVX%20COURANT%20cl2-cl6\2025\130%20Suivi%20plan%20de%20travaux%202025\Classe%206\503%20P-EPIS\CONT_220024_lot08_VULCAIN%20Barriere-Porte%20Auto\D-0526%20%20St%20DENIS%20%20r&#233;gule%20intervention%20du%2018-02-2025" TargetMode="External"/><Relationship Id="rId853"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70%20%20ROSNY" TargetMode="External"/><Relationship Id="rId492" Type="http://schemas.openxmlformats.org/officeDocument/2006/relationships/hyperlink" Target="file:///\\SRV-EPS-fai11.epsve.local\DPT\Services\SERVICE_DES_TRAVAUX\_NEW%20SERVEUR%20DPT\2000_PLAN%20TVX%20COURANT%20cl2-cl6\2025\130%20Suivi%20plan%20de%20travaux%202025\Classe%206\503%20P-EPIS\MBC_LOT08%20ABPSI\0511%20NSM%20%20TOURNESOLS%20%20D&#233;pannage%20du%2003-04-25%20volet%20CSI%20N&#176;2" TargetMode="External"/><Relationship Id="rId713"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730%20Amicale%20R&#233;union" TargetMode="External"/><Relationship Id="rId797" Type="http://schemas.openxmlformats.org/officeDocument/2006/relationships/hyperlink" Target="file:///\\SRV-EPS-fai11.epsve.local\DPT\Services\SERVICE_DES_TRAVAUX\_NEW%20SERVEUR%20DPT\2000_PLAN%20TVX%20COURANT%20cl2-cl6\2025\130%20Suivi%20plan%20de%20travaux%202025\Classe%202\T2025026%20creation%20abri%20fumeur%20CB1\0809" TargetMode="External"/><Relationship Id="rId920" Type="http://schemas.openxmlformats.org/officeDocument/2006/relationships/hyperlink" Target="file:///\\SRV-EPS-fai11.epsve.local\DPT\Services\SERVICE_DES_TRAVAUX\_NEW%20SERVEUR%20DPT\2000_PLAN%20TVX%20COURANT%20cl2-cl6\2025\130%20Suivi%20plan%20de%20travaux%202025\Classe%206\303%20R-MERONI\LOT%2005%20-%20BSMG%20-%20CVC\G10\0941%20%20Tamaris%20Extracteur" TargetMode="External"/><Relationship Id="rId145"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150" TargetMode="External"/><Relationship Id="rId352" Type="http://schemas.openxmlformats.org/officeDocument/2006/relationships/hyperlink" Target="file:///\\SRV-EPS-fai11.epsve.local\DPT\Services\SERVICE_DES_TRAVAUX\_NEW%20SERVEUR%20DPT\2000_PLAN%20TVX%20COURANT%20cl2-cl6\2025\130%20Suivi%20plan%20de%20travaux%202025\Classe%202\T2025004%20-%20Ctrl%20d'acces%20ascensseurs\0361%20TBES%20Sup%20CHD" TargetMode="External"/><Relationship Id="rId212"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209%20cgos" TargetMode="External"/><Relationship Id="rId657" Type="http://schemas.openxmlformats.org/officeDocument/2006/relationships/hyperlink" Target="file:///\\SRV-EPS-fai11.epsve.local\DPT\Services\SERVICE_DES_TRAVAUX\_NEW%20SERVEUR%20DPT\2000_PLAN%20TVX%20COURANT%20cl2-cl6\2025\130%20Suivi%20plan%20de%20travaux%202025\Classe%206\302%20M-ALEVEQUE\LOT%2010%20-%20FDS%20CORPUS%20-%20METALLERIE\0678%20aubervilliers" TargetMode="External"/><Relationship Id="rId864"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886" TargetMode="External"/><Relationship Id="rId296" Type="http://schemas.openxmlformats.org/officeDocument/2006/relationships/hyperlink" Target="file:///\\SRV-EPS-fai11.epsve.local\DPT\Services\SERVICE_DES_TRAVAUX\_NEW%20SERVEUR%20DPT\2000_PLAN%20TVX%20COURANT%20cl2-cl6\2025\130%20Suivi%20plan%20de%20travaux%202025\Classe%206\501%20E-MINGANT\CONT_190023_lot00_DALKIA\0306" TargetMode="External"/><Relationship Id="rId517"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24" Type="http://schemas.openxmlformats.org/officeDocument/2006/relationships/hyperlink" Target="file:///\\SRV-EPS-fai11.epsve.local\DPT\Services\SERVICE_DES_TRAVAUX\_NEW%20SERVEUR%20DPT\2000_PLAN%20TVX%20COURANT%20cl2-cl6\2025\130%20Suivi%20plan%20de%20travaux%202025\Classe%202\T2025014%20%20Ex%20IFSI%20DAHL\DEVIS" TargetMode="External"/><Relationship Id="rId931" Type="http://schemas.openxmlformats.org/officeDocument/2006/relationships/hyperlink" Target="file:///\\SRV-EPS-fai11.epsve.local\DPT\Services\SERVICE_DES_TRAVAUX\_NEW%20SERVEUR%20DPT\2000_PLAN%20TVX%20COURANT%20cl2-cl6\2025\130%20Suivi%20plan%20de%20travaux%202025\Classe%202\T2025016%20Ch%20de%20Gardes\Montreuil%20Boissiere\0951%20TBES%20%20RJ%20et%20PC" TargetMode="External"/><Relationship Id="rId60"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56" Type="http://schemas.openxmlformats.org/officeDocument/2006/relationships/hyperlink" Target="file:///\\SRV-EPS-fai11.epsve.local\DPT\Services\SERVICE_DES_TRAVAUX\_NEW%20SERVEUR%20DPT\2000_PLAN%20TVX%20COURANT%20cl2-cl6\2025\130%20Suivi%20plan%20de%20travaux%202025\Classe%206\302%20M-ALEVEQUE\LOT%2010%20-%20FDS%20CORPUS%20-%20METALLERIE\structure%20cuve%20fuel" TargetMode="External"/><Relationship Id="rId363" Type="http://schemas.openxmlformats.org/officeDocument/2006/relationships/hyperlink" Target="file:///\\SRV-EPS-fai11.epsve.local\DPT\Services\SERVICE_DES_TRAVAUX\_NEW%20SERVEUR%20DPT\2000_PLAN%20TVX%20COURANT%20cl2-cl6\2025\130%20Suivi%20plan%20de%20travaux%202025\Classe%206\501%20E-MINGANT\CONT_190023_lot00_DALKIA\0376" TargetMode="External"/><Relationship Id="rId570"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1007" Type="http://schemas.openxmlformats.org/officeDocument/2006/relationships/hyperlink" Target="file:///\\SRV-EPS-fai11.epsve.local\DPT\Services\SERVICE_DES_TRAVAUX\_NEW%20SERVEUR%20DPT\2000_PLAN%20TVX%20COURANT%20cl2-cl6\2025\130%20Suivi%20plan%20de%20travaux%202025\Classe%202\op&#233;ration%20POLE%20SANTE\AVENIR%20DECONSTRUCTION\202511_decouvertes_ring_est" TargetMode="External"/><Relationship Id="rId223" Type="http://schemas.openxmlformats.org/officeDocument/2006/relationships/hyperlink" Target="file:///\\SRV-EPS-fai11.epsve.local\DPT\Services\SERVICE_DES_TRAVAUX\_NEW%20SERVEUR%20DPT\2000_PLAN%20TVX%20COURANT%20cl2-cl6\2025\130%20Suivi%20plan%20de%20travaux%202025\Classe%206\501%20E-MINGANT\CONT_220022_lot03_UTB_Insta%20thermiques\0228" TargetMode="External"/><Relationship Id="rId430"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447" TargetMode="External"/><Relationship Id="rId668" Type="http://schemas.openxmlformats.org/officeDocument/2006/relationships/hyperlink" Target="file:///\\SRV-EPS-fai11.epsve.local\DPT\Services\SERVICE_DES_TRAVAUX\_NEW%20SERVEUR%20DPT\2000_PLAN%20TVX%20COURANT%20cl2-cl6\2025\130%20Suivi%20plan%20de%20travaux%202025\Classe%206\302%20M-ALEVEQUE\LOT%2002%20-%20ARTETLEBOIS%20-MENUISERIE\0671%20portes%20creche" TargetMode="External"/><Relationship Id="rId875" Type="http://schemas.openxmlformats.org/officeDocument/2006/relationships/hyperlink" Target="file:///\\SRV-EPS-fai11.epsve.local\DPT\Services\SERVICE_DES_TRAVAUX\_NEW%20SERVEUR%20DPT\2000_PLAN%20TVX%20COURANT%20cl2-cl6\2025\130%20Suivi%20plan%20de%20travaux%202025\Classe%202\T2025028%20Travaux%20Magasin%20General\0895" TargetMode="External"/><Relationship Id="rId1060" Type="http://schemas.openxmlformats.org/officeDocument/2006/relationships/hyperlink" Target="file:///\\SRV-EPS-fai11.epsve.local\DPT\Services\SERVICE_DES_TRAVAUX\_NEW%20SERVEUR%20DPT\2000_PLAN%20TVX%20COURANT%20cl2-cl6\2025\130%20Suivi%20plan%20de%20travaux%202025\Classe%206\501%20E-MINGANT\CONT_190023_lot00_DALKIA\1078" TargetMode="External"/><Relationship Id="rId18" Type="http://schemas.openxmlformats.org/officeDocument/2006/relationships/hyperlink" Target="file:///\\SRV-EPS-fai11.epsve.local\DPT\Services\SERVICE_DES_TRAVAUX\_NEW%20SERVEUR%20DPT\2000_PLAN%20TVX%20COURANT%20cl2-cl6\2025\130%20Suivi%20plan%20de%20travaux%202025\Classe%206\301%20P-DOMERCQ\CMP" TargetMode="External"/><Relationship Id="rId528"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35"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753%20alize%20acacias" TargetMode="External"/><Relationship Id="rId942" Type="http://schemas.openxmlformats.org/officeDocument/2006/relationships/hyperlink" Target="file:///\\SRV-EPS-fai11.epsve.local\DPT\Services\SERVICE_DES_TRAVAUX\_NEW%20SERVEUR%20DPT\2000_PLAN%20TVX%20COURANT%20cl2-cl6\2025\130%20Suivi%20plan%20de%20travaux%202025\Classe%202\T2025018%20appartement%20cours%20communs\Art%20et%20bois" TargetMode="External"/><Relationship Id="rId167" Type="http://schemas.openxmlformats.org/officeDocument/2006/relationships/hyperlink" Target="file:///\\SRV-EPS-fai11.epsve.local\DPT\Services\SERVICE_DES_TRAVAUX\_NEW%20SERVEUR%20DPT\2000_PLAN%20TVX%20COURANT%20cl2-cl6\2025\130%20Suivi%20plan%20de%20travaux%202025\Classe%206\501%20E-MINGANT\CONT_220022_lot03_UTB_Insta%20thermiques\0170" TargetMode="External"/><Relationship Id="rId374" Type="http://schemas.openxmlformats.org/officeDocument/2006/relationships/hyperlink" Target="file:///\\SRV-EPS-fai11.epsve.local\DPT\Services\SERVICE_DES_TRAVAUX\_NEW%20SERVEUR%20DPT\2000_PLAN%20TVX%20COURANT%20cl2-cl6\2025\130%20Suivi%20plan%20de%20travaux%202025\Classe%206\504%20D-PAQUIN\MBC_LOT11%20SEA" TargetMode="External"/><Relationship Id="rId581" Type="http://schemas.openxmlformats.org/officeDocument/2006/relationships/hyperlink" Target="file:///\\SRV-EPS-fai11.epsve.local\DPT\Services\SERVICE_DES_TRAVAUX\_NEW%20SERVEUR%20DPT\2000_PLAN%20TVX%20COURANT%20cl2-cl6\2025\130%20Suivi%20plan%20de%20travaux%202025\Classe%206\501%20E-MINGANT\CONT_220026_lot01_SCHINDLER\0600" TargetMode="External"/><Relationship Id="rId1018" Type="http://schemas.openxmlformats.org/officeDocument/2006/relationships/hyperlink" Target="file:///\\SRV-EPS-fai11.epsve.local\DPT\Services\SERVICE_DES_TRAVAUX\_NEW%20SERVEUR%20DPT\2000_PLAN%20TVX%20COURANT%20cl2-cl6\2025\130%20Suivi%20plan%20de%20travaux%202025\Classe%206\503%20P-EPIS\MBC_LOT04%20TBES" TargetMode="External"/><Relationship Id="rId71" Type="http://schemas.openxmlformats.org/officeDocument/2006/relationships/hyperlink" Target="file:///\\SRV-EPS-fai11.epsve.local\DPT\Services\SERVICE_DES_TRAVAUX\_NEW%20SERVEUR%20DPT\2000_PLAN%20TVX%20COURANT%20cl2-cl6\2025\130%20Suivi%20plan%20de%20travaux%202025\Classe%206\301%20P-DOMERCQ\LOT%2009%20-%20SNTPP%20-%20VRD\0080%20signalisation%20clos%20Benard" TargetMode="External"/><Relationship Id="rId234" Type="http://schemas.openxmlformats.org/officeDocument/2006/relationships/hyperlink" Target="file:///\\SRV-EPS-fai11.epsve.local\DPT\Services\SERVICE_DES_TRAVAUX\_NEW%20SERVEUR%20DPT\2000_PLAN%20TVX%20COURANT%20cl2-cl6\2024\00%20plan%202024\010%20Suivi%20Plan%202024\CLasse%202\T2024034%20R&#233;novation%20appartements%20GAGNY\LOT%2003%20-%20LES%20PEINTURES%20PARISIENNES\241" TargetMode="External"/><Relationship Id="rId679"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802"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22%20%20AUBER%20%20C.Tillon%20reprise%20cablage" TargetMode="External"/><Relationship Id="rId886" Type="http://schemas.openxmlformats.org/officeDocument/2006/relationships/hyperlink" Target="file:///\\SRV-EPS-fai11.epsve.local\DPT\Services\SERVICE_DES_TRAVAUX\_NEW%20SERVEUR%20DPT\2000_PLAN%20TVX%20COURANT%20cl2-cl6\2025\130%20Suivi%20plan%20de%20travaux%202025\Classe%202\T2025029%20Cr&#233;ation%20Bx%20Mal%20BAGNOLET\0907%20LPP%20Peinture" TargetMode="External"/><Relationship Id="rId2" Type="http://schemas.openxmlformats.org/officeDocument/2006/relationships/hyperlink" Target="file:///\\SRV-EPS-fai11.epsve.local\DPT\Services\SERVICE_DES_TRAVAUX\_NEW%20SERVEUR%20DPT\2000_PLAN%20TVX%20COURANT%20cl2-cl6\2025\130%20Suivi%20plan%20de%20travaux%202025\Classe%202\T2025001%20-%20Montreuil%20boissi&#232;re" TargetMode="External"/><Relationship Id="rId29" Type="http://schemas.openxmlformats.org/officeDocument/2006/relationships/hyperlink" Target="file:///\\SRV-EPS-fai11.epsve.local\DPT\Services\SERVICE_DES_TRAVAUX\_NEW%20SERVEUR%20DPT\2000_PLAN%20TVX%20COURANT%20cl2-cl6\2025\130%20Suivi%20plan%20de%20travaux%202025\Classe%206\501%20E-MINGANT\CONT_220022_lot03_UTB_Insta%20thermiques\0040" TargetMode="External"/><Relationship Id="rId441"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455" TargetMode="External"/><Relationship Id="rId539"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46" Type="http://schemas.openxmlformats.org/officeDocument/2006/relationships/hyperlink" Target="file:///\\SRV-EPS-fai11.epsve.local\DPT\Services\SERVICE_DES_TRAVAUX\_NEW%20SERVEUR%20DPT\2000_PLAN%20TVX%20COURANT%20cl2-cl6\2025\130%20Suivi%20plan%20de%20travaux%202025\Classe%206\501%20E-MINGANT\CONT_220026_lot01_SCHINDLER\0765" TargetMode="External"/><Relationship Id="rId1071" Type="http://schemas.openxmlformats.org/officeDocument/2006/relationships/hyperlink" Target="file:///\\SRV-EPS-fai11.epsve.local\DPT\Services\SERVICE_DES_TRAVAUX\_NEW%20SERVEUR%20DPT\2000_PLAN%20TVX%20COURANT%20cl2-cl6\2025\130%20Suivi%20plan%20de%20travaux%202025\Classe%206\403%20S-GALOUL\1089" TargetMode="External"/><Relationship Id="rId178"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181" TargetMode="External"/><Relationship Id="rId301"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311" TargetMode="External"/><Relationship Id="rId953" Type="http://schemas.openxmlformats.org/officeDocument/2006/relationships/hyperlink" Target="file:///\\SRV-EPS-fai11.epsve.local\DPT\Services\SERVICE_DES_TRAVAUX\_NEW%20SERVEUR%20DPT\2000_PLAN%20TVX%20COURANT%20cl2-cl6\2025\130%20Suivi%20plan%20de%20travaux%202025\Classe%206\501%20E-MINGANT\CONT_190023_lot00_DALKIA\0972" TargetMode="External"/><Relationship Id="rId1029"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82" Type="http://schemas.openxmlformats.org/officeDocument/2006/relationships/hyperlink" Target="file:///\\SRV-EPS-fai11.epsve.local\DPT\Services\SERVICE_DES_TRAVAUX\_NEW%20SERVEUR%20DPT\2000_PLAN%20TVX%20COURANT%20cl2-cl6\2025\130%20Suivi%20plan%20de%20travaux%202025\Classe%206\503%20P-EPIS\CONT_220027_lot06_Rougnon-AGS_GE" TargetMode="External"/><Relationship Id="rId385"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396%20logement%20ex%20dupont" TargetMode="External"/><Relationship Id="rId592" Type="http://schemas.openxmlformats.org/officeDocument/2006/relationships/hyperlink" Target="file:///\\SRV-EPS-fai11.epsve.local\DPT\Services\SERVICE_DES_TRAVAUX\_NEW%20SERVEUR%20DPT\2000_PLAN%20TVX%20COURANT%20cl2-cl6\2025\130%20Suivi%20plan%20de%20travaux%202025\Classe%206\301%20P-DOMERCQ\AC%20environnement" TargetMode="External"/><Relationship Id="rId606"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813" Type="http://schemas.openxmlformats.org/officeDocument/2006/relationships/hyperlink" Target="file:///\\SRV-EPS-fai11.epsve.local\DPT\Services\SERVICE_DES_TRAVAUX\_NEW%20SERVEUR%20DPT\2000_PLAN%20TVX%20COURANT%20cl2-cl6\2025\130%20Suivi%20plan%20de%20travaux%202025\Classe%206\403%20S-GALOUL\832" TargetMode="External"/><Relationship Id="rId245" Type="http://schemas.openxmlformats.org/officeDocument/2006/relationships/hyperlink" Target="file:///\\SRV-EPS-fai11.epsve.local\DPT\Services\SERVICE_DES_TRAVAUX\_NEW%20SERVEUR%20DPT\2000_PLAN%20TVX%20COURANT%20cl2-cl6\2025\130%20Suivi%20plan%20de%20travaux%202025\Classe%206\303%20R-MERONI\LOT%2009%20-%20SNTPP%20-%20VRD" TargetMode="External"/><Relationship Id="rId452" Type="http://schemas.openxmlformats.org/officeDocument/2006/relationships/hyperlink" Target="file:///\\SRV-EPS-fai11.epsve.local\DPT\Services\SERVICE_DES_TRAVAUX\_NEW%20SERVEUR%20DPT\2000_PLAN%20TVX%20COURANT%20cl2-cl6\2025\130%20Suivi%20plan%20de%20travaux%202025\Classe%202\T2025018%20appartement%20cours%20communs\sanicotherm" TargetMode="External"/><Relationship Id="rId897"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917%20montfermeil%20leclerc" TargetMode="External"/><Relationship Id="rId1082"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05" Type="http://schemas.openxmlformats.org/officeDocument/2006/relationships/hyperlink" Target="file:///\\SRV-EPS-fai11.epsve.local\DPT\Services\SERVICE_DES_TRAVAUX\_NEW%20SERVEUR%20DPT\2000_PLAN%20TVX%20COURANT%20cl2-cl6\2025\130%20Suivi%20plan%20de%20travaux%202025\Classe%202\T2023035%20-%20ACACIAS\0119%20art%20et%20bois" TargetMode="External"/><Relationship Id="rId312"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57"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775" TargetMode="External"/><Relationship Id="rId964"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982" TargetMode="External"/><Relationship Id="rId93" Type="http://schemas.openxmlformats.org/officeDocument/2006/relationships/hyperlink" Target="file:///\\SRV-EPS-fai11.epsve.local\DPT\Services\SERVICE_DES_TRAVAUX\_NEW%20SERVEUR%20DPT\2000_PLAN%20TVX%20COURANT%20cl2-cl6\2025\130%20Suivi%20plan%20de%20travaux%202025\Classe%206\501%20E-MINGANT\CONT_220026_lot01_SCHINDLER\0097" TargetMode="External"/><Relationship Id="rId189" Type="http://schemas.openxmlformats.org/officeDocument/2006/relationships/hyperlink" Target="file:///\\SRV-EPS-fai11.epsve.local\DPT\Services\SERVICE_DES_TRAVAUX\_NEW%20SERVEUR%20DPT\2000_PLAN%20TVX%20COURANT%20cl2-cl6\2025\130%20Suivi%20plan%20de%20travaux%202025\Classe%206\301%20P-DOMERCQ\LOT%2006%20-%20COBAT%20-%20ETANCHEITE" TargetMode="External"/><Relationship Id="rId396" Type="http://schemas.openxmlformats.org/officeDocument/2006/relationships/hyperlink" Target="file:///\\SRV-EPS-fai11.epsve.local\DPT\Services\SERVICE_DES_TRAVAUX\_NEW%20SERVEUR%20DPT\2000_PLAN%20TVX%20COURANT%20cl2-cl6\2025\130%20Suivi%20plan%20de%20travaux%202025\Classe%206\303%20R-MERONI\LOT%2005%20-%20BSMG%20-%20CVC\Regis%20Unirr\0408%20%20%20R&#233;gul%20fonte%20sous%20regis" TargetMode="External"/><Relationship Id="rId617" Type="http://schemas.openxmlformats.org/officeDocument/2006/relationships/hyperlink" Target="file:///\\SRV-EPS-fai11.epsve.local\DPT\Services\SERVICE_DES_TRAVAUX\_NEW%20SERVEUR%20DPT\2000_PLAN%20TVX%20COURANT%20cl2-cl6\2025\130%20Suivi%20plan%20de%20travaux%202025\Classe%206\302%20M-ALEVEQUE\LOT%2005%20-%20BSMG%20-%20CVC\0636%20Hirondells" TargetMode="External"/><Relationship Id="rId824" Type="http://schemas.openxmlformats.org/officeDocument/2006/relationships/hyperlink" Target="file:///\\SRV-EPS-fai11.epsve.local\DPT\Services\SERVICE_DES_TRAVAUX\_NEW%20SERVEUR%20DPT\2000_PLAN%20TVX%20COURANT%20cl2-cl6\2025\130%20Suivi%20plan%20de%20travaux%202025\Classe%202\op&#233;ration%20POLE%20FORMATION%20(compte%202382312703)" TargetMode="External"/><Relationship Id="rId256" Type="http://schemas.openxmlformats.org/officeDocument/2006/relationships/hyperlink" Target="file:///\\SRV-EPS-fai11.epsve.local\DPT\Services\SERVICE_DES_TRAVAUX\_NEW%20SERVEUR%20DPT\2000_PLAN%20TVX%20COURANT%20cl2-cl6\2025\130%20Suivi%20plan%20de%20travaux%202025\Classe%206" TargetMode="External"/><Relationship Id="rId463" Type="http://schemas.openxmlformats.org/officeDocument/2006/relationships/hyperlink" Target="file:///\\SRV-EPS-fai11.epsve.local\DPT\Services\SERVICE_DES_TRAVAUX\_NEW%20SERVEUR%20DPT\2000_PLAN%20TVX%20COURANT%20cl2-cl6\2025\130%20Suivi%20plan%20de%20travaux%202025\Classe%206\303%20R-MERONI\LOT%2002%20-%20ARTETLEBOIS%20-MENUISERIE\0482%20%20Direction%20Escalier" TargetMode="External"/><Relationship Id="rId670" Type="http://schemas.openxmlformats.org/officeDocument/2006/relationships/hyperlink" Target="file:///\\SRV-EPS-fai11.epsve.local\DPT\Services\SERVICE_DES_TRAVAUX\_NEW%20SERVEUR%20DPT\2000_PLAN%20TVX%20COURANT%20cl2-cl6\2025\130%20Suivi%20plan%20de%20travaux%202025\Classe%206\302%20M-ALEVEQUE\LOT%2002%20-%20ARTETLEBOIS%20-MENUISERIE\0693%20hirondelles" TargetMode="External"/><Relationship Id="rId1093" Type="http://schemas.openxmlformats.org/officeDocument/2006/relationships/hyperlink" Target="file:///\\SRV-EPS-fai11.epsve.local\DPT\Services\SERVICE_DES_TRAVAUX\_NEW%20SERVEUR%20DPT\2000_PLAN%20TVX%20COURANT%20cl2-cl6\2025\130%20Suivi%20plan%20de%20travaux%202025\Classe%206\102%20JC-HONART\1111%20%20regul%20drh%20prise%20tbes" TargetMode="External"/><Relationship Id="rId1107" Type="http://schemas.openxmlformats.org/officeDocument/2006/relationships/drawing" Target="../drawings/drawing1.xml"/><Relationship Id="rId116"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120%20Bondy" TargetMode="External"/><Relationship Id="rId323" Type="http://schemas.openxmlformats.org/officeDocument/2006/relationships/hyperlink" Target="file:///\\SRV-EPS-fai11.epsve.local\DPT\Services\SERVICE_DES_TRAVAUX\_NEW%20SERVEUR%20DPT\2000_PLAN%20TVX%20COURANT%20cl2-cl6\2025\130%20Suivi%20plan%20de%20travaux%202025\Classe%202\T2025005%20Appartement%20%20Unirre-Care\330%20AEB%20Portes%20int&#233;rieures" TargetMode="External"/><Relationship Id="rId530"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506%20MAS%20Pgmme" TargetMode="External"/><Relationship Id="rId768" Type="http://schemas.openxmlformats.org/officeDocument/2006/relationships/hyperlink" Target="file:///\\SRV-EPS-fai11.epsve.local\DPT\Services\SERVICE_DES_TRAVAUX\_NEW%20SERVEUR%20DPT\2000_PLAN%20TVX%20COURANT%20cl2-cl6\2025\130%20Suivi%20plan%20de%20travaux%202025\Classe%206\302%20M-ALEVEQUE\LOT%2005%20-%20BSMG%20-%20CVC\cmp%20glacis" TargetMode="External"/><Relationship Id="rId975" Type="http://schemas.openxmlformats.org/officeDocument/2006/relationships/hyperlink" Target="file:///\\SRV-EPS-fai11.epsve.local\DPT\Services\SERVICE_DES_TRAVAUX\_NEW%20SERVEUR%20DPT\2000_PLAN%20TVX%20COURANT%20cl2-cl6\2025\130%20Suivi%20plan%20de%20travaux%202025\Classe%206\503%20P-EPIS" TargetMode="External"/><Relationship Id="rId20" Type="http://schemas.openxmlformats.org/officeDocument/2006/relationships/hyperlink" Target="file:///\\SRV-EPS-fai11.epsve.local\DPT\Services\SERVICE_DES_TRAVAUX\_NEW%20SERVEUR%20DPT\2000_PLAN%20TVX%20COURANT%20cl2-cl6\2025\130%20Suivi%20plan%20de%20travaux%202025\Classe%202\T2025004%20-%20Ctrl%20d'acces%20ascensseurs\0019%20TBES" TargetMode="External"/><Relationship Id="rId628" Type="http://schemas.openxmlformats.org/officeDocument/2006/relationships/hyperlink" Target="file:///\\SRV-EPS-fai11.epsve.local\DPT\Services\SERVICE_DES_TRAVAUX\_NEW%20SERVEUR%20DPT\2000_PLAN%20TVX%20COURANT%20cl2-cl6\2025\130%20Suivi%20plan%20de%20travaux%202025\Classe%202\T2025021%20refection%20sol%20creche" TargetMode="External"/><Relationship Id="rId835" Type="http://schemas.openxmlformats.org/officeDocument/2006/relationships/hyperlink" Target="file:///\\SRV-EPS-fai11.epsve.local\DPT\Services\SERVICE_DES_TRAVAUX\_NEW%20SERVEUR%20DPT\2000_PLAN%20TVX%20COURANT%20cl2-cl6\2025\130%20Suivi%20plan%20de%20travaux%202025\Classe%202\T2023035%20-%20ACACIAS\LPP2025" TargetMode="External"/><Relationship Id="rId267" Type="http://schemas.openxmlformats.org/officeDocument/2006/relationships/hyperlink" Target="file:///\\SRV-EPS-fai11.epsve.local\DPT\Services\SERVICE_DES_TRAVAUX\_NEW%20SERVEUR%20DPT\2000_PLAN%20TVX%20COURANT%20cl2-cl6\2025\130%20Suivi%20plan%20de%20travaux%202025\Classe%206\303%20R-MERONI\LOT%2002%20-%20ARTETLEBOIS%20-MENUISERIE\275%20Tamaris%20panneaux%20bois%20jardin" TargetMode="External"/><Relationship Id="rId474" Type="http://schemas.openxmlformats.org/officeDocument/2006/relationships/hyperlink" Target="file:///L:\Services\SERVICE_DES_TRAVAUX\_NEW%20SERVEUR%20DPT\2000_PLAN%20TVX%20COURANT%20cl2-cl6\2025\130%20Suivi%20plan%20de%20travaux%202025\Classe%206\503%20P-EPIS\CONT_220024_lot08_VULCAIN%20Barriere-Porte%20Auto\D-0494%20%20NSM%20UCPA%20%20D&#233;p.%20porte%20coulissante%20c&#244;t&#233;%20vestiaire" TargetMode="External"/><Relationship Id="rId1020" Type="http://schemas.openxmlformats.org/officeDocument/2006/relationships/hyperlink" Target="file:///\\SRV-EPS-fai11.epsve.local\DPT\Services\SERVICE_DES_TRAVAUX\_NEW%20SERVEUR%20DPT\2000_PLAN%20TVX%20COURANT%20cl2-cl6\2024\00%20plan%202024\010%20Suivi%20Plan%202024\CLasse%202\T2024012%20Romain%20Roland%20-%20Saint%20Denis" TargetMode="External"/><Relationship Id="rId127" Type="http://schemas.openxmlformats.org/officeDocument/2006/relationships/hyperlink" Target="file:///\\SRV-EPS-fai11.epsve.local\DPT\Services\SERVICE_DES_TRAVAUX\_NEW%20SERVEUR%20DPT\2000_PLAN%20TVX%20COURANT%20cl2-cl6\2025\130%20Suivi%20plan%20de%20travaux%202025\Classe%202\op&#233;ration%20AMT\GPF_FM+MEOPA" TargetMode="External"/><Relationship Id="rId681" Type="http://schemas.openxmlformats.org/officeDocument/2006/relationships/hyperlink" Target="file:///\\SRV-EPS-fai11.epsve.local\DPT\Services\SERVICE_DES_TRAVAUX\_NEW%20SERVEUR%20DPT\2000_PLAN%20TVX%20COURANT%20cl2-cl6\2025\130%20Suivi%20plan%20de%20travaux%202025\Classe%206\501%20E-MINGANT\HM_\ASTERM\0702" TargetMode="External"/><Relationship Id="rId779" Type="http://schemas.openxmlformats.org/officeDocument/2006/relationships/hyperlink" Target="file:///\\SRV-EPS-fai11.epsve.local\DPT\Services\SERVICE_DES_TRAVAUX\_NEW%20SERVEUR%20DPT\2000_PLAN%20TVX%20COURANT%20cl2-cl6\2025\130%20Suivi%20plan%20de%20travaux%202025\Classe%206\303%20R-MERONI\LOT%2007%20-%20SCHNEIDER%20-%20COUVERTURE" TargetMode="External"/><Relationship Id="rId902" Type="http://schemas.openxmlformats.org/officeDocument/2006/relationships/hyperlink" Target="file:///\\SRV-EPS-fai11.epsve.local\DPT\Services\SERVICE_DES_TRAVAUX\_NEW%20SERVEUR%20DPT\2000_PLAN%20TVX%20COURANT%20cl2-cl6\2025\130%20Suivi%20plan%20de%20travaux%202025\Classe%206\504%20D-PAQUIN\CONT_220023_lot04_CLIMATER%20clim\00924" TargetMode="External"/><Relationship Id="rId986"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1"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334"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0345" TargetMode="External"/><Relationship Id="rId541" Type="http://schemas.openxmlformats.org/officeDocument/2006/relationships/hyperlink" Target="file:///\\SRV-EPS-fai11.epsve.local\DPT\Services\SERVICE_DES_TRAVAUX\_NEW%20SERVEUR%20DPT\2000_PLAN%20TVX%20COURANT%20cl2-cl6\2025\130%20Suivi%20plan%20de%20travaux%202025\Classe%202\T2025014%20%20Ex%20IFSI%20DAHL\DEVIS" TargetMode="External"/><Relationship Id="rId639"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658%20hirondelle%20cuisine" TargetMode="External"/><Relationship Id="rId180" Type="http://schemas.openxmlformats.org/officeDocument/2006/relationships/hyperlink" Target="file:///\\SRV-EPS-fai11.epsve.local\DPT\Services\SERVICE_DES_TRAVAUX\_NEW%20SERVEUR%20DPT\2000_PLAN%20TVX%20COURANT%20cl2-cl6\2025\130%20Suivi%20plan%20de%20travaux%202025\Classe%206\303%20R-MERONI\LOT%2002%20-%20ARTETLEBOIS%20-MENUISERIE\183%20%20Noisy%20union%20placard" TargetMode="External"/><Relationship Id="rId278" Type="http://schemas.openxmlformats.org/officeDocument/2006/relationships/hyperlink" Target="file:///\\SRV-EPS-fai11.epsve.local\DPT\Services\SERVICE_DES_TRAVAUX\_NEW%20SERVEUR%20DPT\2000_PLAN%20TVX%20COURANT%20cl2-cl6\2025\130%20Suivi%20plan%20de%20travaux%202025\Classe%202\T2025009%20%20CUISINE%20THERAPEUTIQUE\0271%20cuisine%20suresnes" TargetMode="External"/><Relationship Id="rId401"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412%20MAS%20Raccords" TargetMode="External"/><Relationship Id="rId846"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866" TargetMode="External"/><Relationship Id="rId1031" Type="http://schemas.openxmlformats.org/officeDocument/2006/relationships/hyperlink" Target="file:///\\SRV-EPS-fai11.epsve.local\DPT\Services\SERVICE_DES_TRAVAUX\_NEW%20SERVEUR%20DPT\2000_PLAN%20TVX%20COURANT%20cl2-cl6\2025\130%20Suivi%20plan%20de%20travaux%202025\Classe%206\501%20E-MINGANT\CONT_202500006_JM_EAU-PLUS\1048" TargetMode="External"/><Relationship Id="rId485"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506%20MAS%20Pgmme" TargetMode="External"/><Relationship Id="rId692"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714%20INTERNAT" TargetMode="External"/><Relationship Id="rId706"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724%20%20Peinture%20Parking%20Bondy" TargetMode="External"/><Relationship Id="rId913"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929%20Devis%20PEINTURE%20Montreuil%20Pasteur" TargetMode="External"/><Relationship Id="rId42" Type="http://schemas.openxmlformats.org/officeDocument/2006/relationships/hyperlink" Target="file:///\\SRV-EPS-fai11.epsve.local\DPT\Services\SERVICE_DES_TRAVAUX\_NEW%20SERVEUR%20DPT\2000_PLAN%20TVX%20COURANT%20cl2-cl6\2025\130%20Suivi%20plan%20de%20travaux%202025\Classe%202\T2023035%20-%20ACACIAS\0018devis%20art%20et%20bois" TargetMode="External"/><Relationship Id="rId138"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143" TargetMode="External"/><Relationship Id="rId345"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354%20elairage%20exterieur" TargetMode="External"/><Relationship Id="rId552" Type="http://schemas.openxmlformats.org/officeDocument/2006/relationships/hyperlink" Target="file:///\\SRV-EPS-fai11.epsve.local\DPT\Services\SERVICE_DES_TRAVAUX\_NEW%20SERVEUR%20DPT\2000_PLAN%20TVX%20COURANT%20cl2-cl6\2025\130%20Suivi%20plan%20de%20travaux%202025\Classe%202\T2025007-%20Portes%20DAS%20CB2" TargetMode="External"/><Relationship Id="rId99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91" Type="http://schemas.openxmlformats.org/officeDocument/2006/relationships/hyperlink" Target="file:///\\SRV-EPS-fai11.epsve.local\DPT\Services\SERVICE_DES_TRAVAUX\_NEW%20SERVEUR%20DPT\2000_PLAN%20TVX%20COURANT%20cl2-cl6\2025\130%20Suivi%20plan%20de%20travaux%202025\Classe%206\301%20P-DOMERCQ\LOT%2007%20-%20SCHNEIDER%20-%20COUVERTURE\0196%20schneider%20st%20ouen" TargetMode="External"/><Relationship Id="rId205" Type="http://schemas.openxmlformats.org/officeDocument/2006/relationships/hyperlink" Target="file:///\\SRV-EPS-fai11.epsve.local\DPT\Services\SERVICE_DES_TRAVAUX\_NEW%20SERVEUR%20DPT\2000_PLAN%20TVX%20COURANT%20cl2-cl6\2025\130%20Suivi%20plan%20de%20travaux%202025\Classe%206\503%20P-EPIS\HM_\ATRP" TargetMode="External"/><Relationship Id="rId412" Type="http://schemas.openxmlformats.org/officeDocument/2006/relationships/hyperlink" Target="file:///\\SRV-EPS-fai11.epsve.local\DPT\Services\SERVICE_DES_TRAVAUX\_NEW%20SERVEUR%20DPT\2000_PLAN%20TVX%20COURANT%20cl2-cl6\2025\130%20Suivi%20plan%20de%20travaux%202025\Classe%206\501%20E-MINGANT\CONT_220026_lot01_SCHINDLER\0422" TargetMode="External"/><Relationship Id="rId85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74%20%20St%20DENIS%20Gluzman" TargetMode="External"/><Relationship Id="rId1042" Type="http://schemas.openxmlformats.org/officeDocument/2006/relationships/hyperlink" Target="file:///\\SRV-EPS-fai11.epsve.local\DPT\Services\SERVICE_DES_TRAVAUX\_NEW%20SERVEUR%20DPT\2000_PLAN%20TVX%20COURANT%20cl2-cl6\2025\130%20Suivi%20plan%20de%20travaux%202025\Classe%202\op&#233;ration%20POLE%20SANTE\EDIFLEX%20FM_OS" TargetMode="External"/><Relationship Id="rId289"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296" TargetMode="External"/><Relationship Id="rId496"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17"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735" TargetMode="External"/><Relationship Id="rId924" Type="http://schemas.openxmlformats.org/officeDocument/2006/relationships/hyperlink" Target="file:///\\SRV-EPS-fai11.epsve.local\DPT\Services\SERVICE_DES_TRAVAUX\_NEW%20SERVEUR%20DPT\2000_PLAN%20TVX%20COURANT%20cl2-cl6\2025\130%20Suivi%20plan%20de%20travaux%202025\Classe%206\504%20D-PAQUIN\CONT_220023_lot04_CLIMATER%20clim" TargetMode="External"/><Relationship Id="rId53"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 TargetMode="External"/><Relationship Id="rId149"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155%20%20Noisy%20Union" TargetMode="External"/><Relationship Id="rId356"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563" Type="http://schemas.openxmlformats.org/officeDocument/2006/relationships/hyperlink" Target="file:///\\SRV-EPS-fai11.epsve.local\DPT\Services\SERVICE_DES_TRAVAUX\_NEW%20SERVEUR%20DPT\2000_PLAN%20TVX%20COURANT%20cl2-cl6\2025\130%20Suivi%20plan%20de%20travaux%202025\Classe%206\503%20P-EPIS\MBC_LOT08%20ABPSI\D-%20583%20%20Auber%20G02%20ch%20108" TargetMode="External"/><Relationship Id="rId770"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510%20%20Montreuil%20Archipel%20Mac&#233;" TargetMode="External"/><Relationship Id="rId216"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221%20salle%20de%20stock" TargetMode="External"/><Relationship Id="rId423"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437%20Ex%20Biblio" TargetMode="External"/><Relationship Id="rId868" Type="http://schemas.openxmlformats.org/officeDocument/2006/relationships/hyperlink" Target="file:///\\SRV-EPS-fai11.epsve.local\DPT\Services\SERVICE_DES_TRAVAUX\_NEW%20SERVEUR%20DPT\2000_PLAN%20TVX%20COURANT%20cl2-cl6\2025\130%20Suivi%20plan%20de%20travaux%202025\Classe%206\301%20P-DOMERCQ\LOT%2005%20-%20BSMG%20-%20CVC\0887" TargetMode="External"/><Relationship Id="rId1053" Type="http://schemas.openxmlformats.org/officeDocument/2006/relationships/hyperlink" Target="file:///\\SRV-EPS-fai11.epsve.local\DPT\Services\SERVICE_DES_TRAVAUX\_NEW%20SERVEUR%20DPT\1000_OPE%20TVX%20STRAT\2025.02%20CRUP%20AVICENNE\03%20SUIVI%20FNANCIER\034%20CSSI" TargetMode="External"/><Relationship Id="rId630"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647%20orion%20douche" TargetMode="External"/><Relationship Id="rId728"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0746" TargetMode="External"/><Relationship Id="rId935"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955%20%20%20MAS%20couloir%20adm" TargetMode="External"/><Relationship Id="rId64"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367" Type="http://schemas.openxmlformats.org/officeDocument/2006/relationships/hyperlink" Target="file:///\\SRV-EPS-fai11.epsve.local\DPT\Services\SERVICE_DES_TRAVAUX\_NEW%20SERVEUR%20DPT\2000_PLAN%20TVX%20COURANT%20cl2-cl6\2025\130%20Suivi%20plan%20de%20travaux%202025\Classe%206\504%20D-PAQUIN\CONT_220023_lot04_CLIMATER%20clim" TargetMode="External"/><Relationship Id="rId574" Type="http://schemas.openxmlformats.org/officeDocument/2006/relationships/hyperlink" Target="file:///\\SRV-EPS-fai11.epsve.local\DPT\Services\SERVICE_DES_TRAVAUX\_NEW%20SERVEUR%20DPT\2000_PLAN%20TVX%20COURANT%20cl2-cl6\2025\130%20Suivi%20plan%20de%20travaux%202025\Classe%202\T2025016%20Ch%20de%20Gardes\Montreuil%20Boissiere\0585%20AEB%20Chambre%20garde" TargetMode="External"/><Relationship Id="rId227" Type="http://schemas.openxmlformats.org/officeDocument/2006/relationships/hyperlink" Target="file:///\\SRV-EPS-fai11.epsve.local\DPT\Services\SERVICE_DES_TRAVAUX\_NEW%20SERVEUR%20DPT\2000_PLAN%20TVX%20COURANT%20cl2-cl6\2025\130%20Suivi%20plan%20de%20travaux%202025\Classe%206\501%20E-MINGANT\CONT_190023_lot00_DALKIA\0232" TargetMode="External"/><Relationship Id="rId781" Type="http://schemas.openxmlformats.org/officeDocument/2006/relationships/hyperlink" Target="file:///\\SRV-EPS-fai11.epsve.local\DPT\Services\SERVICE_DES_TRAVAUX\_NEW%20SERVEUR%20DPT\2000_PLAN%20TVX%20COURANT%20cl2-cl6\2024\00%20plan%202024\010%20Suivi%20Plan%202024\CLasse%202\T2024026%20extension%20MAS%20sur%20touraine\0799" TargetMode="External"/><Relationship Id="rId879" Type="http://schemas.openxmlformats.org/officeDocument/2006/relationships/hyperlink" Target="file:///\\SRV-EPS-fai11.epsve.local\DPT\Services\SERVICE_DES_TRAVAUX\_NEW%20SERVEUR%20DPT\2000_PLAN%20TVX%20COURANT%20cl2-cl6\2025\130%20Suivi%20plan%20de%20travaux%202025\Classe%202\T2025028%20Travaux%20Magasin%20General\0899" TargetMode="External"/><Relationship Id="rId434" Type="http://schemas.openxmlformats.org/officeDocument/2006/relationships/hyperlink" Target="file:///\\SRV-EPS-fai11.epsve.local\DPT\Services\SERVICE_DES_TRAVAUX\_NEW%20SERVEUR%20DPT\2000_PLAN%20TVX%20COURANT%20cl2-cl6\2025\130%20Suivi%20plan%20de%20travaux%202025\Classe%202\T2025009%20%20CUISINE%20THERAPEUTIQUE\0418%20cuisine%20drancy%20la%20source\0418%20A&amp;B" TargetMode="External"/><Relationship Id="rId641"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739" Type="http://schemas.openxmlformats.org/officeDocument/2006/relationships/hyperlink" Target="file:///\\SRV-EPS-fai11.epsve.local\DPT\Services\SERVICE_DES_TRAVAUX\_NEW%20SERVEUR%20DPT\2000_PLAN%20TVX%20COURANT%20cl2-cl6\2025\130%20Suivi%20plan%20de%20travaux%202025\Classe%206\504%20D-PAQUIN\MBC_LOT11%20SEA" TargetMode="External"/><Relationship Id="rId1064" Type="http://schemas.openxmlformats.org/officeDocument/2006/relationships/hyperlink" Target="file:///\\SRV-EPS-fai11.epsve.local\DPT\Services\SERVICE_DES_TRAVAUX\_NEW%20SERVEUR%20DPT\2000_PLAN%20TVX%20COURANT%20cl2-cl6\2025\130%20Suivi%20plan%20de%20travaux%202025\Classe%206\402%20F-BRESSAN\1083-CENTRALE%20INTRUSION%20DRANCY" TargetMode="External"/><Relationship Id="rId280" Type="http://schemas.openxmlformats.org/officeDocument/2006/relationships/hyperlink" Target="file:///\\SRV-EPS-fai11.epsve.local\DPT\Services\SERVICE_DES_TRAVAUX\_NEW%20SERVEUR%20DPT\2000_PLAN%20TVX%20COURANT%20cl2-cl6\2025\130%20Suivi%20plan%20de%20travaux%202025\Classe%202\T2025009%20cuisine%20therapeutique\0271%20cuisine%20suresnes" TargetMode="External"/><Relationship Id="rId501" Type="http://schemas.openxmlformats.org/officeDocument/2006/relationships/hyperlink" Target="file:///\\SRV-EPS-fai11.epsve.local\DPT\Services\SERVICE_DES_TRAVAUX\_NEW%20SERVEUR%20DPT\2000_PLAN%20TVX%20COURANT%20cl2-cl6\2025\130%20Suivi%20plan%20de%20travaux%202025\Classe%206\501%20E-MINGANT\CONT_190023_lot00_DALKIA\0529" TargetMode="External"/><Relationship Id="rId946" Type="http://schemas.openxmlformats.org/officeDocument/2006/relationships/hyperlink" Target="file:///\\SRV-EPS-fai11.epsve.local\DPT\Services\SERVICE_DES_TRAVAUX\_NEW%20SERVEUR%20DPT\2000_PLAN%20TVX%20COURANT%20cl2-cl6\2025\130%20Suivi%20plan%20de%20travaux%202025\Classe%206\504%20D-PAQUIN\MBC_LOT06%20COBAT" TargetMode="External"/><Relationship Id="rId75" Type="http://schemas.openxmlformats.org/officeDocument/2006/relationships/hyperlink" Target="file:///\\SRV-EPS-fai11.epsve.local\DPT\Services\SERVICE_DES_TRAVAUX\_NEW%20SERVEUR%20DPT\2000_PLAN%20TVX%20COURANT%20cl2-cl6\2025\130%20Suivi%20plan%20de%20travaux%202025\Classe%206\302%20M-ALEVEQUE\LOT%2009%20-%20SNTPP%20-%20VRD\0051%20thomoux" TargetMode="External"/><Relationship Id="rId140"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378" Type="http://schemas.openxmlformats.org/officeDocument/2006/relationships/hyperlink" Target="file:///\\SRV-EPS-fai11.epsve.local\DPT\Services\SERVICE_DES_TRAVAUX\_NEW%20SERVEUR%20DPT\2000_PLAN%20TVX%20COURANT%20cl2-cl6\2025\130%20Suivi%20plan%20de%20travaux%202025\Classe%206\303%20R-MERONI\LOT%2005%20-%20BSMG%20-%20CVC\G12\391%20Alize%20SDB%20hommes" TargetMode="External"/><Relationship Id="rId585"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603%20dalles%20sur%20plots%20st%20denis%20RR" TargetMode="External"/><Relationship Id="rId792"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810" TargetMode="External"/><Relationship Id="rId806" Type="http://schemas.openxmlformats.org/officeDocument/2006/relationships/hyperlink" Target="file:///\\SRV-EPS-fai11.epsve.local\DPT\Services\SERVICE_DES_TRAVAUX\_NEW%20SERVEUR%20DPT\2000_PLAN%20TVX%20COURANT%20cl2-cl6\2025\130%20Suivi%20plan%20de%20travaux%202025\Classe%202\op&#233;ration%20POLE%20SANTE\AC%20ENVIRONNEMENT" TargetMode="External"/><Relationship Id="rId6"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 TargetMode="External"/><Relationship Id="rId238" Type="http://schemas.openxmlformats.org/officeDocument/2006/relationships/hyperlink" Target="file:///\\SRV-EPS-fai11.epsve.local\DPT\Services\SERVICE_DES_TRAVAUX\_NEW%20SERVEUR%20DPT\2000_PLAN%20TVX%20COURANT%20cl2-cl6\2024\00%20plan%202024\010%20Suivi%20Plan%202024\CLasse%202\T2024034%20R&#233;novation%20appartements%20GAGNY\LOT%2013%20-%20AC2P%20-%20CLOISONS%20FAUX%20PLAF\242" TargetMode="External"/><Relationship Id="rId445" Type="http://schemas.openxmlformats.org/officeDocument/2006/relationships/hyperlink" Target="file:///\\SRV-EPS-fai11.epsve.local\DPT\Services\SERVICE_DES_TRAVAUX\_NEW%20SERVEUR%20DPT\2000_PLAN%20TVX%20COURANT%20cl2-cl6\2025\130%20Suivi%20plan%20de%20travaux%202025\Classe%206\303%20R-MERONI\LOT%2002%20-%20ARTETLEBOIS%20-MENUISERIE\418%20MAS%20Entrebailleurs" TargetMode="External"/><Relationship Id="rId652" Type="http://schemas.openxmlformats.org/officeDocument/2006/relationships/hyperlink" Target="file:///\\SRV-EPS-fai11.epsve.local\DPT\Services\SERVICE_DES_TRAVAUX\_NEW%20SERVEUR%20DPT\2000_PLAN%20TVX%20COURANT%20cl2-cl6\2025\130%20Suivi%20plan%20de%20travaux%202025\Classe%206\403%20S-GALOUL\674" TargetMode="External"/><Relationship Id="rId107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91" Type="http://schemas.openxmlformats.org/officeDocument/2006/relationships/hyperlink" Target="file:///\\SRV-EPS-fai11.epsve.local\DPT\Services\SERVICE_DES_TRAVAUX\_NEW%20SERVEUR%20DPT\2000_PLAN%20TVX%20COURANT%20cl2-cl6\2025\130%20Suivi%20plan%20de%20travaux%202025\Classe%206\301%20P-DOMERCQ\LOT%2005%20-%20BSMG%20-%20CVC\0301" TargetMode="External"/><Relationship Id="rId305" Type="http://schemas.openxmlformats.org/officeDocument/2006/relationships/hyperlink" Target="file:///\\SRV-EPS-fai11.epsve.local\DPT\Services\SERVICE_DES_TRAVAUX\_NEW%20SERVEUR%20DPT\2000_PLAN%20TVX%20COURANT%20cl2-cl6\2024\00%20plan%202024\010%20Suivi%20Plan%202024\CLasse%202\T2024029%20MAISON%20DES%20USAGERS\Devis%202025\315%20%20Sanicothrerm" TargetMode="External"/><Relationship Id="rId512" Type="http://schemas.openxmlformats.org/officeDocument/2006/relationships/hyperlink" Target="file:///\\SRV-EPS-fai11.epsve.local\DPT\Services\SERVICE_DES_TRAVAUX\_NEW%20SERVEUR%20DPT\1000_OPE%20TVX%20STRAT\0005%20march&#233;%20socotec" TargetMode="External"/><Relationship Id="rId957" Type="http://schemas.openxmlformats.org/officeDocument/2006/relationships/hyperlink" Target="file:///\\SRV-EPS-fai11.epsve.local\DPT\Services\SERVICE_DES_TRAVAUX\_NEW%20SERVEUR%20DPT\2000_PLAN%20TVX%20COURANT%20cl2-cl6\2025\130%20Suivi%20plan%20de%20travaux%202025\Classe%206\501%20E-MINGANT\CONT_190023_lot00_DALKIA\0975" TargetMode="External"/><Relationship Id="rId86"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0088" TargetMode="External"/><Relationship Id="rId151"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389" Type="http://schemas.openxmlformats.org/officeDocument/2006/relationships/hyperlink" Target="file:///\\SRV-EPS-fai11.epsve.local\DPT\Services\SERVICE_DES_TRAVAUX\_NEW%20SERVEUR%20DPT\2000_PLAN%20TVX%20COURANT%20cl2-cl6\2025\130%20Suivi%20plan%20de%20travaux%202025\Classe%206\503%20P-EPIS\MBC_LOT08%20ABPSI\0401%20%20AUBER.%20%20CB1-G05%20%20R&#233;gule%20inter.%20du%2010-04-2025%20sur%20Ch%20214%20-2ET%20%20%20devi6503" TargetMode="External"/><Relationship Id="rId596" Type="http://schemas.openxmlformats.org/officeDocument/2006/relationships/hyperlink" Target="file:///\\SRV-EPS-fai11.epsve.local\DPT\Services\SERVICE_DES_TRAVAUX\_NEW%20SERVEUR%20DPT\2000_PLAN%20TVX%20COURANT%20cl2-cl6\2025\130%20Suivi%20plan%20de%20travaux%202025\Classe%202\T2025018%20appartement%20cours%20communs\ac%20environement" TargetMode="External"/><Relationship Id="rId817" Type="http://schemas.openxmlformats.org/officeDocument/2006/relationships/hyperlink" Target="file:///\\SRV-EPS-fai11.epsve.local\DPT\Services\SERVICE_DES_TRAVAUX\_NEW%20SERVEUR%20DPT\2000_PLAN%20TVX%20COURANT%20cl2-cl6\2025\130%20Suivi%20plan%20de%20travaux%202025\Classe%206\403%20S-GALOUL\836" TargetMode="External"/><Relationship Id="rId1002" Type="http://schemas.openxmlformats.org/officeDocument/2006/relationships/hyperlink" Target="file:///\\SRV-EPS-fai11.epsve.local\DPT\Services\SERVICE_DES_TRAVAUX\_NEW%20SERVEUR%20DPT\2000_PLAN%20TVX%20COURANT%20cl2-cl6\2025\130%20Suivi%20plan%20de%20travaux%202025\Classe%206\301%20P-DOMERCQ\LOT%2011%20-%20SEA%20-%20CURAGE%20RESEAUX\1018" TargetMode="External"/><Relationship Id="rId249"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56" Type="http://schemas.openxmlformats.org/officeDocument/2006/relationships/hyperlink" Target="file:///\\SRV-EPS-fai11.epsve.local\DPT\Services\SERVICE_DES_TRAVAUX\_NEW%20SERVEUR%20DPT\2000_PLAN%20TVX%20COURANT%20cl2-cl6\2025\130%20Suivi%20plan%20de%20travaux%202025\Classe%202\T2025016%20Ch%20de%20Gardes\CB1" TargetMode="External"/><Relationship Id="rId663"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685%20%20BONDY" TargetMode="External"/><Relationship Id="rId870" Type="http://schemas.openxmlformats.org/officeDocument/2006/relationships/hyperlink" Target="file:///\\SRV-EPS-fai11.epsve.local\DPT\Services\SERVICE_DES_TRAVAUX\_NEW%20SERVEUR%20DPT\2000_PLAN%20TVX%20COURANT%20cl2-cl6\2025\130%20Suivi%20plan%20de%20travaux%202025\Classe%206\403%20S-GALOUL\890" TargetMode="External"/><Relationship Id="rId1086"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3" Type="http://schemas.openxmlformats.org/officeDocument/2006/relationships/hyperlink" Target="file:///\\SRV-EPS-fai11.epsve.local\DPT\Services\SERVICE_DES_TRAVAUX\_NEW%20SERVEUR%20DPT\2000_PLAN%20TVX%20COURANT%20cl2-cl6\2025\130%20Suivi%20plan%20de%20travaux%202025\Classe%206\303%20R-MERONI\LOT%2002%20-%20ARTETLEBOIS%20-MENUISERIE\16%20Bondy%20chambre%20%20218%20r&#233;sine" TargetMode="External"/><Relationship Id="rId109"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316" Type="http://schemas.openxmlformats.org/officeDocument/2006/relationships/hyperlink" Target="file:///\\SRV-EPS-fai11.epsve.local\DPT\Services\SERVICE_DES_TRAVAUX\_NEW%20SERVEUR%20DPT\2000_PLAN%20TVX%20COURANT%20cl2-cl6\2024\00%20plan%202024\010%20Suivi%20Plan%202024\CLasse%202\T2024034%20R&#233;novation%20appartements%20GAGNY\Nouveau%20dossier\299" TargetMode="External"/><Relationship Id="rId523"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968" Type="http://schemas.openxmlformats.org/officeDocument/2006/relationships/hyperlink" Target="file:///\\SRV-EPS-fai11.epsve.local\DPT\Services\SERVICE_DES_TRAVAUX\_NEW%20SERVEUR%20DPT\2000_PLAN%20TVX%20COURANT%20cl2-cl6\2025\130%20Suivi%20plan%20de%20travaux%202025\Classe%206\301%20P-DOMERCQ\LOT%2002%20-%20ARTETLEBOIS%20-MENUISERIE\1006" TargetMode="External"/><Relationship Id="rId97" Type="http://schemas.openxmlformats.org/officeDocument/2006/relationships/hyperlink" Target="file:///\\SRV-EPS-fai11.epsve.local\DPT\Services\SERVICE_DES_TRAVAUX\_NEW%20SERVEUR%20DPT\2000_PLAN%20TVX%20COURANT%20cl2-cl6\2025\130%20Suivi%20plan%20de%20travaux%202025\Classe%206\502%20A-CARPINTEIRO\MBC_LOT08%20ABPSI\0101" TargetMode="External"/><Relationship Id="rId730" Type="http://schemas.openxmlformats.org/officeDocument/2006/relationships/hyperlink" Target="file:///\\SRV-EPS-fai11.epsve.local\DPT\Services\SERVICE_DES_TRAVAUX\_NEW%20SERVEUR%20DPT\2000_PLAN%20TVX%20COURANT%20cl2-cl6\2025\130%20Suivi%20plan%20de%20travaux%202025\Classe%206\403%20S-GALOUL\748" TargetMode="External"/><Relationship Id="rId828"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0846" TargetMode="External"/><Relationship Id="rId1013"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62"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67" Type="http://schemas.openxmlformats.org/officeDocument/2006/relationships/hyperlink" Target="file:///\\Srv-eps-fai11\dpt\Services\SERVICE_DES_TRAVAUX\_NEW%20SERVEUR%20DPT\2000_PLAN%20TVX%20COURANT%20cl2-cl6\2025\130%20Suivi%20plan%20de%20travaux%202025\Classe%206\504%20D-PAQUIN\MBC_LOT11%20SEA" TargetMode="External"/><Relationship Id="rId1097"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674" Type="http://schemas.openxmlformats.org/officeDocument/2006/relationships/hyperlink" Target="file:///\\SRV-EPS-fai11.epsve.local\DPT\Services\SERVICE_DES_TRAVAUX\_NEW%20SERVEUR%20DPT\2000_PLAN%20TVX%20COURANT%20cl2-cl6\2025\130%20Suivi%20plan%20de%20travaux%202025\Classe%206\302%20M-ALEVEQUE\TIME2PLUG" TargetMode="External"/><Relationship Id="rId881"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901%20Bondy%20Gallieni%206eme%20%20Ex%20salle%20attente" TargetMode="External"/><Relationship Id="rId979"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4" Type="http://schemas.openxmlformats.org/officeDocument/2006/relationships/hyperlink" Target="file:///\\SRV-EPS-fai11.epsve.local\DPT\Services\SERVICE_DES_TRAVAUX\_NEW%20SERVEUR%20DPT\2000_PLAN%20TVX%20COURANT%20cl2-cl6\2025\130%20Suivi%20plan%20de%20travaux%202025\Classe%202\T2023035%20-%20ACACIAS\0017%20sanicotherm" TargetMode="External"/><Relationship Id="rId327"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534"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552" TargetMode="External"/><Relationship Id="rId741" Type="http://schemas.openxmlformats.org/officeDocument/2006/relationships/hyperlink" Target="file:///\\SRV-EPS-fai11.epsve.local\DPT\Services\SERVICE_DES_TRAVAUX\_NEW%20SERVEUR%20DPT\2000_PLAN%20TVX%20COURANT%20cl2-cl6\2024\00%20plan%202024\010%20Suivi%20Plan%202024\CLasse%202\T2024031%20Hypnorelaxe%20Tilleuls" TargetMode="External"/><Relationship Id="rId839" Type="http://schemas.openxmlformats.org/officeDocument/2006/relationships/hyperlink" Target="file:///\\SRV-EPS-fai11.epsve.local\DPT\Services\SERVICE_DES_TRAVAUX\_NEW%20SERVEUR%20DPT\2000_PLAN%20TVX%20COURANT%20cl2-cl6\2025\130%20Suivi%20plan%20de%20travaux%202025\Classe%202\T2025014%20%20Ex%20IFSI%20DAHL\DEVIS\0859%20ABPSI%20Films%20Discr&#233;tion%20Bx%20rdc" TargetMode="External"/><Relationship Id="rId173"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380" Type="http://schemas.openxmlformats.org/officeDocument/2006/relationships/hyperlink" Target="file:///\\SRV-EPS-fai11.epsve.local\DPT\Services\SERVICE_DES_TRAVAUX\_NEW%20SERVEUR%20DPT\2000_PLAN%20TVX%20COURANT%20cl2-cl6\2025\130%20Suivi%20plan%20de%20travaux%202025\Classe%206\303%20R-MERONI\LOT%2002%20-%20ARTETLEBOIS%20-MENUISERIE\393%20La%20Courneuve%20BP%20Isophonique" TargetMode="External"/><Relationship Id="rId601" Type="http://schemas.openxmlformats.org/officeDocument/2006/relationships/hyperlink" Target="file:///\\SRV-EPS-fai11.epsve.local\DPT\Services\SERVICE_DES_TRAVAUX\_NEW%20SERVEUR%20DPT\2000_PLAN%20TVX%20COURANT%20cl2-cl6\2025\130%20Suivi%20plan%20de%20travaux%202025\Classe%202\T2025018%20appartement%20cours%20communs\LPP" TargetMode="External"/><Relationship Id="rId1024" Type="http://schemas.openxmlformats.org/officeDocument/2006/relationships/hyperlink" Target="file:///\\SRV-EPS-fai11.epsve.local\DPT\Services\SERVICE_DES_TRAVAUX\_NEW%20SERVEUR%20DPT\2000_PLAN%20TVX%20COURANT%20cl2-cl6\2025\130%20Suivi%20plan%20de%20travaux%202025\Classe%202\T2025023%20NSM%20caf&#233;t&#233;ria\DEVIS%20CAFETE%20%20PROVISOIRE\1042%20%20BSMG" TargetMode="External"/><Relationship Id="rId240" Type="http://schemas.openxmlformats.org/officeDocument/2006/relationships/hyperlink" Target="file:///\\SRV-EPS-fai11.epsve.local\DPT\Services\SERVICE_DES_TRAVAUX\_NEW%20SERVEUR%20DPT\2000_PLAN%20TVX%20COURANT%20cl2-cl6\2024\00%20plan%202024\010%20Suivi%20Plan%202024\CLasse%202\T2024034%20R&#233;novation%20appartements%20GAGNY\LOT%2005%20-%20BSMG%20-%20CVC\246" TargetMode="External"/><Relationship Id="rId478" Type="http://schemas.openxmlformats.org/officeDocument/2006/relationships/hyperlink" Target="file:///\\SRV-EPS-fai11.epsve.local\DPT\Services\SERVICE_DES_TRAVAUX\_NEW%20SERVEUR%20DPT\2000_PLAN%20TVX%20COURANT%20cl2-cl6\2025\130%20Suivi%20plan%20de%20travaux%202025\Classe%202\T2025005%20Appartement%20%20Unirre-Care\333%20LPP%20Appartement%20Moreau" TargetMode="External"/><Relationship Id="rId685" Type="http://schemas.openxmlformats.org/officeDocument/2006/relationships/hyperlink" Target="file:///\\SRV-EPS-fai11.epsve.local\DPT\Services\SERVICE_DES_TRAVAUX\_NEW%20SERVEUR%20DPT\2000_PLAN%20TVX%20COURANT%20cl2-cl6\2025\130%20Suivi%20plan%20de%20travaux%202025\Classe%206\501%20E-MINGANT\CONT_190023_lot00_DALKIA\0707" TargetMode="External"/><Relationship Id="rId892"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906"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928%20%20Devis%20SOL%20Montreuil%20Pasteur" TargetMode="External"/><Relationship Id="rId35"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100"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 TargetMode="External"/><Relationship Id="rId338"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545" Type="http://schemas.openxmlformats.org/officeDocument/2006/relationships/hyperlink" Target="file:///\\SRV-EPS-fai11.epsve.local\DPT\Services\SERVICE_DES_TRAVAUX\_NEW%20SERVEUR%20DPT\2000_PLAN%20TVX%20COURANT%20cl2-cl6\2025\130%20Suivi%20plan%20de%20travaux%202025\Classe%202\T2025014%20%20Ex%20IFSI%20DAHL\DEVIS" TargetMode="External"/><Relationship Id="rId752" Type="http://schemas.openxmlformats.org/officeDocument/2006/relationships/hyperlink" Target="file:///\\SRV-EPS-fai11.epsve.local\DPT\Services\SERVICE_DES_TRAVAUX\_NEW%20SERVEUR%20DPT\2000_PLAN%20TVX%20COURANT%20cl2-cl6\2025\130%20Suivi%20plan%20de%20travaux%202025\Classe%202\T2025025%20remise%20en%20etat%20G06%20ex%2013" TargetMode="External"/><Relationship Id="rId184" Type="http://schemas.openxmlformats.org/officeDocument/2006/relationships/hyperlink" Target="file:///\\SRV-EPS-fai11.epsve.local\DPT\Services\SERVICE_DES_TRAVAUX\_NEW%20SERVEUR%20DPT\2000_PLAN%20TVX%20COURANT%20cl2-cl6\2025\130%20Suivi%20plan%20de%20travaux%202025\Classe%206\501%20E-MINGANT\CONT_190023_lot00_DALKIA\0187" TargetMode="External"/><Relationship Id="rId391"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405"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612" Type="http://schemas.openxmlformats.org/officeDocument/2006/relationships/hyperlink" Target="file:///\\SRV-EPS-fai11.epsve.local\DPT\Services\SERVICE_DES_TRAVAUX\_NEW%20SERVEUR%20DPT\2000_PLAN%20TVX%20COURANT%20cl2-cl6\2025\130%20Suivi%20plan%20de%20travaux%202025\Classe%202\op&#233;ration%20AMT\AC2P\632" TargetMode="External"/><Relationship Id="rId1035" Type="http://schemas.openxmlformats.org/officeDocument/2006/relationships/hyperlink" Target="file:///\\SRV-EPS-fai11.epsve.local\DPT\Services\SERVICE_DES_TRAVAUX\_NEW%20SERVEUR%20DPT\2000_PLAN%20TVX%20COURANT%20cl2-cl6\2025\130%20Suivi%20plan%20de%20travaux%202025\Classe%202\T2025027%20%20MIELERIE\1052%20%20%20BSMG%20Ballon%20et%20caniveau%20TS%20%20%20BSMG" TargetMode="External"/><Relationship Id="rId251"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89" Type="http://schemas.openxmlformats.org/officeDocument/2006/relationships/hyperlink" Target="file:///\\SRV-EPS-fai11.epsve.local\DPT\Services\SERVICE_DES_TRAVAUX\_NEW%20SERVEUR%20DPT\2000_PLAN%20TVX%20COURANT%20cl2-cl6\2024\00%20plan%202024\010%20Suivi%20Plan%202024\CLasse%202\T2024031%20Hypnorelaxe%20Tilleuls" TargetMode="External"/><Relationship Id="rId696"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715%20hirondelle" TargetMode="External"/><Relationship Id="rId917"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939" TargetMode="External"/><Relationship Id="rId1102" Type="http://schemas.openxmlformats.org/officeDocument/2006/relationships/hyperlink" Target="file:///\\SRV-EPS-fai11.epsve.local\DPT\Services\SERVICE_DES_TRAVAUX\_NEW%20SERVEUR%20DPT\2000_PLAN%20TVX%20COURANT%20cl2-cl6\2025\130%20Suivi%20plan%20de%20travaux%202025\Classe%206\501%20E-MINGANT\CONT_220026_lot01_SCHINDLER\1121" TargetMode="External"/><Relationship Id="rId46" Type="http://schemas.openxmlformats.org/officeDocument/2006/relationships/hyperlink" Target="file:///\\SRV-EPS-fai11.epsve.local\DPT\Services\SERVICE_DES_TRAVAUX\_NEW%20SERVEUR%20DPT\2000_PLAN%20TVX%20COURANT%20cl2-cl6\2025\130%20Suivi%20plan%20de%20travaux%202025\Classe%206\302%20M-ALEVEQUE\LOT%2009%20-%20SNTPP%20-%20VRD\0049%20provence" TargetMode="External"/><Relationship Id="rId349"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207%20UCP" TargetMode="External"/><Relationship Id="rId556"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573%20UCP%20porte%20couli.%20Hall%20entr&#233;e%20vestiaire" TargetMode="External"/><Relationship Id="rId763" Type="http://schemas.openxmlformats.org/officeDocument/2006/relationships/hyperlink" Target="file:///\\SRV-EPS-fai11.epsve.local\DPT\Services\SERVICE_DES_TRAVAUX\_NEW%20SERVEUR%20DPT\2000_PLAN%20TVX%20COURANT%20cl2-cl6\2025\130%20Suivi%20plan%20de%20travaux%202025\Classe%206\301%20P-DOMERCQ\LOT%2005%20-%20BSMG%20-%20CVC\0784" TargetMode="External"/><Relationship Id="rId111"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195"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209" Type="http://schemas.openxmlformats.org/officeDocument/2006/relationships/hyperlink" Target="file:///\\SRV-EPS-fai11.epsve.local\DPT\Services\SERVICE_DES_TRAVAUX\_NEW%20SERVEUR%20DPT\2000_PLAN%20TVX%20COURANT%20cl2-cl6\2025\130%20Suivi%20plan%20de%20travaux%202025\Classe%206\502%20A-CARPINTEIRO\MBC_LOT10%20FDS%20CORPUS\0217" TargetMode="External"/><Relationship Id="rId416"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431%20dauphine" TargetMode="External"/><Relationship Id="rId970"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1046" Type="http://schemas.openxmlformats.org/officeDocument/2006/relationships/hyperlink" Target="file:///\\SRV-EPS-fai11.epsve.local\DPT\Services\SERVICE_DES_TRAVAUX\_NEW%20SERVEUR%20DPT\2000_PLAN%20TVX%20COURANT%20cl2-cl6\2025\130%20Suivi%20plan%20de%20travaux%202025\Classe%202\Sonorisation%20Chapelle" TargetMode="External"/><Relationship Id="rId623"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830" Type="http://schemas.openxmlformats.org/officeDocument/2006/relationships/hyperlink" Target="file:///\\SRV-EPS-fai11.epsve.local\DPT\Services\SERVICE_DES_TRAVAUX\_NEW%20SERVEUR%20DPT\2000_PLAN%20TVX%20COURANT%20cl2-cl6\2025\130%20Suivi%20plan%20de%20travaux%202025\Classe%206\403%20S-GALOUL\848" TargetMode="External"/><Relationship Id="rId928"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947%20ROSNY" TargetMode="External"/><Relationship Id="rId5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62" Type="http://schemas.openxmlformats.org/officeDocument/2006/relationships/hyperlink" Target="file:///\\SRV-EPS-fai11.epsve.local\DPT\Services\SERVICE_DES_TRAVAUX\_NEW%20SERVEUR%20DPT\2000_PLAN%20TVX%20COURANT%20cl2-cl6\2024\00%20plan%202024\010%20Suivi%20Plan%202024\CLasse%202\T2024034%20R&#233;novation%20appartements%20GAGNY\LOT%2004%20-%20ELECTRICITE%20CFO-CFA\269" TargetMode="External"/><Relationship Id="rId567" Type="http://schemas.openxmlformats.org/officeDocument/2006/relationships/hyperlink" Target="file:///\\SRV-EPS-fai11.epsve.local\DPT\Services\SERVICE_DES_TRAVAUX\_NEW%20SERVEUR%20DPT\1000_OPE%20TVX%20STRAT\2019.11%20POLE%20SANTE\04%20SUIVI%20TECHNIQUE\049%20CHANTIER\0495%20CHANTIER\Entreprises\belbeoc" TargetMode="External"/><Relationship Id="rId122"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127%20Montreuil%20pc%20Bureau%20RDC" TargetMode="External"/><Relationship Id="rId774" Type="http://schemas.openxmlformats.org/officeDocument/2006/relationships/hyperlink" Target="file:///\\SRV-EPS-fai11.epsve.local\DPT\Services\SERVICE_DES_TRAVAUX\_NEW%20SERVEUR%20DPT\2000_PLAN%20TVX%20COURANT%20cl2-cl6\2025\130%20Suivi%20plan%20de%20travaux%202025\Classe%202\T2025003%20-%20Accessibilite\Bondy%20SDB%20G11" TargetMode="External"/><Relationship Id="rId981"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057"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1076" TargetMode="External"/><Relationship Id="rId427"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444%20travaux%20pole%20volets" TargetMode="External"/><Relationship Id="rId634" Type="http://schemas.openxmlformats.org/officeDocument/2006/relationships/hyperlink" Target="file:///\\SRV-EPS-fai11.epsve.local\DPT\Services\SERVICE_DES_TRAVAUX\_NEW%20SERVEUR%20DPT\2000_PLAN%20TVX%20COURANT%20cl2-cl6\2025\130%20Suivi%20plan%20de%20travaux%202025\Classe%202\T2025005%20Appartement%20%20Unirre-Care\0651%20%20Devis%20Sanicotherm%20TS%20Carrelage" TargetMode="External"/><Relationship Id="rId841" Type="http://schemas.openxmlformats.org/officeDocument/2006/relationships/hyperlink" Target="file:///\\SRV-EPS-fai11.epsve.local\DPT\Services\SERVICE_DES_TRAVAUX\_NEW%20SERVEUR%20DPT\2000_PLAN%20TVX%20COURANT%20cl2-cl6\2025\130%20Suivi%20plan%20de%20travaux%202025\Classe%206\303%20R-MERONI\LOT%2009%20-%20SNTPP%20-%20VRD\0861%20Montreuil%20Boiss%20%20reprise%20jeux%20caoutch" TargetMode="External"/><Relationship Id="rId273" Type="http://schemas.openxmlformats.org/officeDocument/2006/relationships/hyperlink" Target="file:///\\SRV-EPS-fai11.epsve.local\DPT\Services\SERVICE_DES_TRAVAUX\_NEW%20SERVEUR%20DPT\2000_PLAN%20TVX%20COURANT%20cl2-cl6\2025\130%20Suivi%20plan%20de%20travaux%202025\Classe%206\503%20P-EPIS\HM_\ATRP" TargetMode="External"/><Relationship Id="rId480" Type="http://schemas.openxmlformats.org/officeDocument/2006/relationships/hyperlink" Target="file:///\\SRV-EPS-fai11.epsve.local\DPT\Services\SERVICE_DES_TRAVAUX\_NEW%20SERVEUR%20DPT\2000_PLAN%20TVX%20COURANT%20cl2-cl6\2025\130%20Suivi%20plan%20de%20travaux%202025\Classe%206\501%20E-MINGANT\RESHA_APAVE\0500" TargetMode="External"/><Relationship Id="rId701"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721%20drh%20sols%20et%20murs%20cage%20d%20'escalier" TargetMode="External"/><Relationship Id="rId939" Type="http://schemas.openxmlformats.org/officeDocument/2006/relationships/hyperlink" Target="file:///\\SRV-EPS-fai11.epsve.local\DPT\Services\SERVICE_DES_TRAVAUX\_NEW%20SERVEUR%20DPT\2000_PLAN%20TVX%20COURANT%20cl2-cl6\2025\130%20Suivi%20plan%20de%20travaux%202025\Classe%206\403%20S-GALOUL\959" TargetMode="External"/><Relationship Id="rId68"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133" Type="http://schemas.openxmlformats.org/officeDocument/2006/relationships/hyperlink" Target="file:///\\SRV-EPS-fai11.epsve.local\DPT\Services\SERVICE_DES_TRAVAUX\_NEW%20SERVEUR%20DPT\1000_OPE%20TVX%20STRAT\2019.11%20POLE%20SANTE\00%20ETU%20PREALABLES\002%20AMIANTE\Avenir%20deconstruction\PLOMB%20complement" TargetMode="External"/><Relationship Id="rId340"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350" TargetMode="External"/><Relationship Id="rId578" Type="http://schemas.openxmlformats.org/officeDocument/2006/relationships/hyperlink" Target="file:///\\SRV-EPS-fai11.epsve.local\DPT\Services\SERVICE_DES_TRAVAUX\_NEW%20SERVEUR%20DPT\2000_PLAN%20TVX%20COURANT%20cl2-cl6\2025\130%20Suivi%20plan%20de%20travaux%202025\Classe%202\T2025018%20appartement%20cours%20communs" TargetMode="External"/><Relationship Id="rId785" Type="http://schemas.openxmlformats.org/officeDocument/2006/relationships/hyperlink" Target="file:///\\SRV-EPS-fai11.epsve.local\DPT\Services\SERVICE_DES_TRAVAUX\_NEW%20SERVEUR%20DPT\2000_PLAN%20TVX%20COURANT%20cl2-cl6\2025\130%20Suivi%20plan%20de%20travaux%202025\Classe%206\403%20S-GALOUL\804" TargetMode="External"/><Relationship Id="rId992"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00"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203%20UCPA" TargetMode="External"/><Relationship Id="rId438"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645"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852"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69%20%20ROSNY" TargetMode="External"/><Relationship Id="rId1068" Type="http://schemas.openxmlformats.org/officeDocument/2006/relationships/hyperlink" Target="file:///\\SRV-EPS-fai11.epsve.local\DPT\Services\SERVICE_DES_TRAVAUX\_NEW%20SERVEUR%20DPT\2000_PLAN%20TVX%20COURANT%20cl2-cl6\2025\130%20Suivi%20plan%20de%20travaux%202025\Classe%206\403%20S-GALOUL\1086" TargetMode="External"/><Relationship Id="rId284"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291%20lpp%20l'avenir%20epinay%20G03" TargetMode="External"/><Relationship Id="rId491" Type="http://schemas.openxmlformats.org/officeDocument/2006/relationships/hyperlink" Target="file:///\\SRV-EPS-fai11.epsve.local\DPT\Services\SERVICE_DES_TRAVAUX\_NEW%20SERVEUR%20DPT\2000_PLAN%20TVX%20COURANT%20cl2-cl6\2025\130%20Suivi%20plan%20de%20travaux%202025\Classe%206\501%20E-MINGANT\CONT_220026_lot01_SCHINDLER\0499" TargetMode="External"/><Relationship Id="rId50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525%20NSM%20UCPA%20%20porte%20coulis.%2070-06" TargetMode="External"/><Relationship Id="rId712"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729%20%20Amicale%20Secr&#233;tariat" TargetMode="External"/><Relationship Id="rId79"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44" Type="http://schemas.openxmlformats.org/officeDocument/2006/relationships/hyperlink" Target="file:///\\SRV-EPS-fai11.epsve.local\DPT\Services\SERVICE_DES_TRAVAUX\_NEW%20SERVEUR%20DPT\2000_PLAN%20TVX%20COURANT%20cl2-cl6\2025\130%20Suivi%20plan%20de%20travaux%202025\Classe%202\T2023035%20-%20ACACIAS\0149%20arts%20et%20bois" TargetMode="External"/><Relationship Id="rId589"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96" Type="http://schemas.openxmlformats.org/officeDocument/2006/relationships/hyperlink" Target="file:///\\SRV-EPS-fai11.epsve.local\DPT\Services\SERVICE_DES_TRAVAUX\_NEW%20SERVEUR%20DPT\2000_PLAN%20TVX%20COURANT%20cl2-cl6\2025\130%20Suivi%20plan%20de%20travaux%202025\Classe%206\403%20S-GALOUL\814" TargetMode="External"/><Relationship Id="rId351"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360%20MAS%20Alim%20VMC" TargetMode="External"/><Relationship Id="rId449"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656" Type="http://schemas.openxmlformats.org/officeDocument/2006/relationships/hyperlink" Target="file:///\\SRV-EPS-fai11.epsve.local\DPT\Services\SERVICE_DES_TRAVAUX\_NEW%20SERVEUR%20DPT\2000_PLAN%20TVX%20COURANT%20cl2-cl6\2025\130%20Suivi%20plan%20de%20travaux%202025\Classe%202\T2025016%20Ch%20de%20Gardes\Montreuil%20Boissiere" TargetMode="External"/><Relationship Id="rId863" Type="http://schemas.openxmlformats.org/officeDocument/2006/relationships/hyperlink" Target="file:///\\SRV-EPS-fai11.epsve.local\DPT\Services\SERVICE_DES_TRAVAUX\_NEW%20SERVEUR%20DPT\2000_PLAN%20TVX%20COURANT%20cl2-cl6\2025\130%20Suivi%20plan%20de%20travaux%202025\Classe%206\403%20S-GALOUL\883" TargetMode="External"/><Relationship Id="rId1079"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11"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208%20reserve%20reprographie" TargetMode="External"/><Relationship Id="rId295" Type="http://schemas.openxmlformats.org/officeDocument/2006/relationships/hyperlink" Target="file:///\\SRV-EPS-fai11.epsve.local\DPT\Services\SERVICE_DES_TRAVAUX\_NEW%20SERVEUR%20DPT\2000_PLAN%20TVX%20COURANT%20cl2-cl6\2025\130%20Suivi%20plan%20de%20travaux%202025\Classe%206\501%20E-MINGANT\MBC_LOT05%20BSMG-LTDf\0305" TargetMode="External"/><Relationship Id="rId309"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516" Type="http://schemas.openxmlformats.org/officeDocument/2006/relationships/hyperlink" Target="file:///\\SRV-EPS-fai11.epsve.local\DPT\Services\SERVICE_DES_TRAVAUX\_NEW%20SERVEUR%20DPT\1000_OPE%20TVX%20STRAT\2020.04.%20SCHEMA%20DIR%20TECH%20NSM\04%20SUIVI%20TECHNIQUE\045%20SDT%20fibre%20optique" TargetMode="External"/><Relationship Id="rId723" Type="http://schemas.openxmlformats.org/officeDocument/2006/relationships/hyperlink" Target="file:///\\SRV-EPS-fai11.epsve.local\DPT\Services\SERVICE_DES_TRAVAUX\_NEW%20SERVEUR%20DPT\2000_PLAN%20TVX%20COURANT%20cl2-cl6\2025\130%20Suivi%20plan%20de%20travaux%202025\Classe%206\303%20R-MERONI\LOT%2010%20-%20FDS%20CORPUS%20-%20METALLERIE\0741%20Serres" TargetMode="External"/><Relationship Id="rId930" Type="http://schemas.openxmlformats.org/officeDocument/2006/relationships/hyperlink" Target="file:///\\SRV-EPS-fai11.epsve.local\DPT\Services\SERVICE_DES_TRAVAUX\_NEW%20SERVEUR%20DPT\2000_PLAN%20TVX%20COURANT%20cl2-cl6\2025\130%20Suivi%20plan%20de%20travaux%202025\Classe%206\101%20C-DARRET\Ediflex%20AMT" TargetMode="External"/><Relationship Id="rId1006" Type="http://schemas.openxmlformats.org/officeDocument/2006/relationships/hyperlink" Target="file:///\\SRV-EPS-fai11.epsve.local\DPT\Services\SERVICE_DES_TRAVAUX\_NEW%20SERVEUR%20DPT\2000_PLAN%20TVX%20COURANT%20cl2-cl6\2025\130%20Suivi%20plan%20de%20travaux%202025\Classe%202\T2025016%20Ch%20de%20Gardes\Montreuil%20Boissiere\1022%20%20Mobiliers%20sur%20mesures" TargetMode="External"/><Relationship Id="rId155"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362" Type="http://schemas.openxmlformats.org/officeDocument/2006/relationships/hyperlink" Target="file:///\\SRV-EPS-fai11.epsve.local\DPT\Services\SERVICE_DES_TRAVAUX\_NEW%20SERVEUR%20DPT\2000_PLAN%20TVX%20COURANT%20cl2-cl6\2025\130%20Suivi%20plan%20de%20travaux%202025\Classe%206\501%20E-MINGANT\CONT_190023_lot00_DALKIA\0375" TargetMode="External"/><Relationship Id="rId222" Type="http://schemas.openxmlformats.org/officeDocument/2006/relationships/hyperlink" Target="file:///\\SRV-EPS-fai11.epsve.local\DPT\Services\SERVICE_DES_TRAVAUX\_NEW%20SERVEUR%20DPT\2000_PLAN%20TVX%20COURANT%20cl2-cl6\2025\130%20Suivi%20plan%20de%20travaux%202025\Classe%206\501%20E-MINGANT\CONT_220022_lot03_UTB_Insta%20thermiques\0227" TargetMode="External"/><Relationship Id="rId667" Type="http://schemas.openxmlformats.org/officeDocument/2006/relationships/hyperlink" Target="file:///\\SRV-EPS-fai11.epsve.local\DPT\Services\SERVICE_DES_TRAVAUX\_NEW%20SERVEUR%20DPT\2000_PLAN%20TVX%20COURANT%20cl2-cl6\2025\130%20Suivi%20plan%20de%20travaux%202025\Classe%206\503%20P-EPIS\MBC_LOT08%20ABPSI\D-0691%20St%20DENIS" TargetMode="External"/><Relationship Id="rId874" Type="http://schemas.openxmlformats.org/officeDocument/2006/relationships/hyperlink" Target="file:///\\SRV-EPS-fai11.epsve.local\DPT\Services\SERVICE_DES_TRAVAUX\_NEW%20SERVEUR%20DPT\2000_PLAN%20TVX%20COURANT%20cl2-cl6\2025\130%20Suivi%20plan%20de%20travaux%202025\Classe%206\301%20P-DOMERCQ\LOT%2006%20-%20COBAT%20-%20ETANCHEITE\0894" TargetMode="External"/><Relationship Id="rId17" Type="http://schemas.openxmlformats.org/officeDocument/2006/relationships/hyperlink" Target="file:///\\SRV-EPS-fai11.epsve.local\DPT\Services\SERVICE_DES_TRAVAUX\_NEW%20SERVEUR%20DPT\2000_PLAN%20TVX%20COURANT%20cl2-cl6\2025\130%20Suivi%20plan%20de%20travaux%202025\Classe%206\301%20P-DOMERCQ\CMP" TargetMode="External"/><Relationship Id="rId527"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545%20Adicto%20TBES" TargetMode="External"/><Relationship Id="rId734"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941" Type="http://schemas.openxmlformats.org/officeDocument/2006/relationships/hyperlink" Target="file:///\\SRV-EPS-fai11.epsve.local\DPT\Services\SERVICE_DES_TRAVAUX\_NEW%20SERVEUR%20DPT\2000_PLAN%20TVX%20COURANT%20cl2-cl6\2025\130%20Suivi%20plan%20de%20travaux%202025\Classe%202\T2025028%20Travaux%20Magasin%20General\0961" TargetMode="External"/><Relationship Id="rId70"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79%20logement%20duvivier" TargetMode="External"/><Relationship Id="rId166" Type="http://schemas.openxmlformats.org/officeDocument/2006/relationships/hyperlink" Target="file:///\\SRV-EPS-fai11.epsve.local\DPT\Services\SERVICE_DES_TRAVAUX\_NEW%20SERVEUR%20DPT\2000_PLAN%20TVX%20COURANT%20cl2-cl6\2025\130%20Suivi%20plan%20de%20travaux%202025\Classe%206\501%20E-MINGANT\CONT_220026_lot01_SCHINDLER\0169" TargetMode="External"/><Relationship Id="rId373" Type="http://schemas.openxmlformats.org/officeDocument/2006/relationships/hyperlink" Target="file:///\\SRV-EPS-fai11.epsve.local\DPT\Services\SERVICE_DES_TRAVAUX\_NEW%20SERVEUR%20DPT\2000_PLAN%20TVX%20COURANT%20cl2-cl6\2024\00%20plan%202024\010%20Suivi%20Plan%202024\CLasse%202\T2024020%20Asinerie%20Toiture" TargetMode="External"/><Relationship Id="rId580" Type="http://schemas.openxmlformats.org/officeDocument/2006/relationships/hyperlink" Target="file:///\\SRV-EPS-fai11.epsve.local\DPT\Services\SERVICE_DES_TRAVAUX\_NEW%20SERVEUR%20DPT\2000_PLAN%20TVX%20COURANT%20cl2-cl6\2025\130%20Suivi%20plan%20de%20travaux%202025\Classe%206\501%20E-MINGANT\CONT_190023_lot00_DALKIA\0597" TargetMode="External"/><Relationship Id="rId801"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017" Type="http://schemas.openxmlformats.org/officeDocument/2006/relationships/hyperlink" Target="file:///\\SRV-EPS-fai11.epsve.local\DPT\Services\SERVICE_DES_TRAVAUX\_NEW%20SERVEUR%20DPT\2000_PLAN%20TVX%20COURANT%20cl2-cl6\2025\130%20Suivi%20plan%20de%20travaux%202025\Classe%206\503%20P-EPIS\MBC_LOT04%20TBES" TargetMode="External"/><Relationship Id="rId1" Type="http://schemas.openxmlformats.org/officeDocument/2006/relationships/hyperlink" Target="file:///\\SRV-EPS-fai11.epsve.local\DPT\Services\SERVICE_DES_TRAVAUX\_NEW%20SERVEUR%20DPT\2000_PLAN%20TVX%20COURANT%20cl2-cl6\2025\130%20Suivi%20plan%20de%20travaux%202025\Classe%206\502%20A-CARPINTEIRO\MBC_LOT08%20ABPSI\0010" TargetMode="External"/><Relationship Id="rId233" Type="http://schemas.openxmlformats.org/officeDocument/2006/relationships/hyperlink" Target="file:///\\SRV-EPS-fai11.epsve.local\DPT\Services\SERVICE_DES_TRAVAUX\_NEW%20SERVEUR%20DPT\2000_PLAN%20TVX%20COURANT%20cl2-cl6\2024\00%20plan%202024\010%20Suivi%20Plan%202024\CLasse%202\T2024034%20R&#233;novation%20appartements%20GAGNY\LOT%2003%20-%20LES%20PEINTURES%20PARISIENNES\239" TargetMode="External"/><Relationship Id="rId440" Type="http://schemas.openxmlformats.org/officeDocument/2006/relationships/hyperlink" Target="file:///\\SRV-EPS-fai11.epsve.local\DPT\Services\SERVICE_DES_TRAVAUX\_NEW%20SERVEUR%20DPT\2000_PLAN%20TVX%20COURANT%20cl2-cl6\2025\130%20Suivi%20plan%20de%20travaux%202025\Classe%206\303%20R-MERONI\LOT%2002%20-%20ARTETLEBOIS%20-MENUISERIE\0453%20Alize%20SDB%20H%201%20er" TargetMode="External"/><Relationship Id="rId678"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885" Type="http://schemas.openxmlformats.org/officeDocument/2006/relationships/hyperlink" Target="file:///\\SRV-EPS-fai11.epsve.local\DPT\Services\SERVICE_DES_TRAVAUX\_NEW%20SERVEUR%20DPT\2000_PLAN%20TVX%20COURANT%20cl2-cl6\2025\130%20Suivi%20plan%20de%20travaux%202025\Classe%202\T2025029%20Cr&#233;ation%20Bx%20Mal%20BAGNOLET\0906%20%20BSMG" TargetMode="External"/><Relationship Id="rId1070" Type="http://schemas.openxmlformats.org/officeDocument/2006/relationships/hyperlink" Target="file:///\\SRV-EPS-fai11.epsve.local\DPT\Services\SERVICE_DES_TRAVAUX\_NEW%20SERVEUR%20DPT\2000_PLAN%20TVX%20COURANT%20cl2-cl6\2025\130%20Suivi%20plan%20de%20travaux%202025\Classe%206\403%20S-GALOUL\1088" TargetMode="External"/><Relationship Id="rId28" Type="http://schemas.openxmlformats.org/officeDocument/2006/relationships/hyperlink" Target="file:///\\SRV-EPS-fai11.epsve.local\DPT\Services\SERVICE_DES_TRAVAUX\_NEW%20SERVEUR%20DPT\2000_PLAN%20TVX%20COURANT%20cl2-cl6\2025\130%20Suivi%20plan%20de%20travaux%202025\Classe%206\501%20E-MINGANT\CONT_220022_lot03_UTB_Insta%20thermiques\0039" TargetMode="External"/><Relationship Id="rId300"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310" TargetMode="External"/><Relationship Id="rId538"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45" Type="http://schemas.openxmlformats.org/officeDocument/2006/relationships/hyperlink" Target="file:///\\SRV-EPS-fai11.epsve.local\DPT\Services\SERVICE_DES_TRAVAUX\_NEW%20SERVEUR%20DPT\2000_PLAN%20TVX%20COURANT%20cl2-cl6\2025\130%20Suivi%20plan%20de%20travaux%202025\Classe%206\501%20E-MINGANT\CONT_220026_lot01_SCHINDLER\0764" TargetMode="External"/><Relationship Id="rId952" Type="http://schemas.openxmlformats.org/officeDocument/2006/relationships/hyperlink" Target="file:///\\SRV-EPS-fai11.epsve.local\DPT\Services\SERVICE_DES_TRAVAUX\_NEW%20SERVEUR%20DPT\2000_PLAN%20TVX%20COURANT%20cl2-cl6\2025\130%20Suivi%20plan%20de%20travaux%202025\Classe%206\501%20E-MINGANT\CONT_190023_lot00_DALKIA\0971" TargetMode="External"/><Relationship Id="rId81" Type="http://schemas.openxmlformats.org/officeDocument/2006/relationships/hyperlink" Target="file:///\\SRV-EPS-fai11.epsve.local\DPT\Services\SERVICE_DES_TRAVAUX\_NEW%20SERVEUR%20DPT\2000_PLAN%20TVX%20COURANT%20cl2-cl6\2025\130%20Suivi%20plan%20de%20travaux%202025\Classe%206\503%20P-EPIS\CONT_220027_lot06_Rougnon-AGS_GE" TargetMode="External"/><Relationship Id="rId177" Type="http://schemas.openxmlformats.org/officeDocument/2006/relationships/hyperlink" Target="file:///\\SRV-EPS-fai11.epsve.local\DPT\Services\SERVICE_DES_TRAVAUX\_NEW%20SERVEUR%20DPT\2000_PLAN%20TVX%20COURANT%20cl2-cl6\2025\130%20Suivi%20plan%20de%20travaux%202025\Classe%202\T2025009%20%20CUISINE%20THERAPEUTIQUE" TargetMode="External"/><Relationship Id="rId384"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372%20DRH" TargetMode="External"/><Relationship Id="rId591"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0425%20CHD" TargetMode="External"/><Relationship Id="rId605" Type="http://schemas.openxmlformats.org/officeDocument/2006/relationships/hyperlink" Target="file:///\\SRV-EPS-fai11.epsve.local\DPT\Services\SERVICE_DES_TRAVAUX\_NEW%20SERVEUR%20DPT\2000_PLAN%20TVX%20COURANT%20cl2-cl6\2025\130%20Suivi%20plan%20de%20travaux%202025\Classe%206\101%20C-DARRET\Ediflex%20P&#244;le%20Sant&#233;" TargetMode="External"/><Relationship Id="rId812"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831%20Bondy%20Dubreuil%20Poste%20informat" TargetMode="External"/><Relationship Id="rId1028"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1025%20orion" TargetMode="External"/><Relationship Id="rId244"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689" Type="http://schemas.openxmlformats.org/officeDocument/2006/relationships/hyperlink" Target="file:///\\SRV-EPS-fai11.epsve.local\DPT\Services\SERVICE_DES_TRAVAUX\_NEW%20SERVEUR%20DPT\2000_PLAN%20TVX%20COURANT%20cl2-cl6\2025\130%20Suivi%20plan%20de%20travaux%202025\Classe%206\503%20P-EPIS\MBC_LOT08%20ABPSI\0711" TargetMode="External"/><Relationship Id="rId896" Type="http://schemas.openxmlformats.org/officeDocument/2006/relationships/hyperlink" Target="file:///\\SRV-EPS-fai11.epsve.local\DPT\Services\SERVICE_DES_TRAVAUX\_NEW%20SERVEUR%20DPT\2000_PLAN%20TVX%20COURANT%20cl2-cl6\2025\130%20Suivi%20plan%20de%20travaux%202025\Classe%206\301%20P-DOMERCQ\LOT%2005%20-%20BSMG%20-%20CVC\0917" TargetMode="External"/><Relationship Id="rId1081"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9" Type="http://schemas.openxmlformats.org/officeDocument/2006/relationships/hyperlink" Target="file:///\\SRV-EPS-fai11.epsve.local\DPT\Services\SERVICE_DES_TRAVAUX\_NEW%20SERVEUR%20DPT\2000_PLAN%20TVX%20COURANT%20cl2-cl6\2024\00%20plan%202024\010%20Suivi%20Plan%202024\Classe%206\10.%20Didier%20PAQUIN\MBC_LOT07%20SCHNEIDER" TargetMode="External"/><Relationship Id="rId451" Type="http://schemas.openxmlformats.org/officeDocument/2006/relationships/hyperlink" Target="file:///\\SRV-EPS-fai11.epsve.local\DPT\Services\SERVICE_DES_TRAVAUX\_NEW%20SERVEUR%20DPT\2000_PLAN%20TVX%20COURANT%20cl2-cl6\2025\130%20Suivi%20plan%20de%20travaux%202025\Classe%206\503%20P-EPIS\MBC_LOT08%20ABPSI\0465%20NSM%20%20%20La%20MAS%20%20d&#233;pannage%20volet%20&#233;lectrique%20CH-06%20coquelicot" TargetMode="External"/><Relationship Id="rId549" Type="http://schemas.openxmlformats.org/officeDocument/2006/relationships/hyperlink" Target="file:///\\SRV-EPS-fai11.epsve.local\DPT\Services\SERVICE_DES_TRAVAUX\_NEW%20SERVEUR%20DPT\2000_PLAN%20TVX%20COURANT%20cl2-cl6\2025\130%20Suivi%20plan%20de%20travaux%202025\Classe%202\T2025020%20Climatisation%20Noisy%20Sec%20Union" TargetMode="External"/><Relationship Id="rId756" Type="http://schemas.openxmlformats.org/officeDocument/2006/relationships/hyperlink" Target="file:///\\SRV-EPS-fai11.epsve.local\DPT\Services\SERVICE_DES_TRAVAUX\_NEW%20SERVEUR%20DPT\2000_PLAN%20TVX%20COURANT%20cl2-cl6\2025\130%20Suivi%20plan%20de%20travaux%202025\Classe%206\502%20A-CARPINTEIRO\MBC_LOT02%20AELB\0774" TargetMode="External"/><Relationship Id="rId104"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188"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311" Type="http://schemas.openxmlformats.org/officeDocument/2006/relationships/hyperlink" Target="file:///\\SRV-EPS-fai11.epsve.local\DPT\Services\SERVICE_DES_TRAVAUX\_NEW%20SERVEUR%20DPT\2000_PLAN%20TVX%20COURANT%20cl2-cl6\2025\130%20Suivi%20plan%20de%20travaux%202025\Classe%202\T2025001%20-%20Montreuil%20boissi&#232;re\322%20SDB%20Bordure%20BSMG" TargetMode="External"/><Relationship Id="rId395"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407%20virtification%20Bureau%20Direction" TargetMode="External"/><Relationship Id="rId409" Type="http://schemas.openxmlformats.org/officeDocument/2006/relationships/hyperlink" Target="file:///\\SRV-EPS-fai11.epsve.local\DPT\Services\SERVICE_DES_TRAVAUX\_NEW%20SERVEUR%20DPT\2000_PLAN%20TVX%20COURANT%20cl2-cl6\2025\130%20Suivi%20plan%20de%20travaux%202025\Classe%206\501%20E-MINGANT\CONT_190023_lot00_DALKIA\0423" TargetMode="External"/><Relationship Id="rId963" Type="http://schemas.openxmlformats.org/officeDocument/2006/relationships/hyperlink" Target="file:///\\SRV-EPS-fai11.epsve.local\DPT\Services\SERVICE_DES_TRAVAUX\_NEW%20SERVEUR%20DPT\2000_PLAN%20TVX%20COURANT%20cl2-cl6\2025\130%20Suivi%20plan%20de%20travaux%202025\Classe%206\301%20P-DOMERCQ\LOT%2005%20-%20BSMG%20-%20CVC\0981" TargetMode="External"/><Relationship Id="rId1039"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1056%20%20Tag%20Perinatalit&#233;%20Noisy%20Sec" TargetMode="External"/><Relationship Id="rId92" Type="http://schemas.openxmlformats.org/officeDocument/2006/relationships/hyperlink" Target="file:///\\SRV-EPS-fai11.epsve.local\DPT\Services\SERVICE_DES_TRAVAUX\_NEW%20SERVEUR%20DPT\2000_PLAN%20TVX%20COURANT%20cl2-cl6\2025\130%20Suivi%20plan%20de%20travaux%202025\Classe%206\501%20E-MINGANT\CONT_220026_lot01_SCHINDLER\0096" TargetMode="External"/><Relationship Id="rId616" Type="http://schemas.openxmlformats.org/officeDocument/2006/relationships/hyperlink" Target="file:///\\SRV-EPS-fai11.epsve.local\DPT\Services\SERVICE_DES_TRAVAUX\_NEW%20SERVEUR%20DPT\2000_PLAN%20TVX%20COURANT%20cl2-cl6\2025\130%20Suivi%20plan%20de%20travaux%202025\Classe%206\504%20D-PAQUIN\CONT_220023_lot04_CLIMATER%20clim" TargetMode="External"/><Relationship Id="rId823" Type="http://schemas.openxmlformats.org/officeDocument/2006/relationships/hyperlink" Target="file:///\\SRV-EPS-fai11.epsve.local\DPT\Services\SERVICE_DES_TRAVAUX\_NEW%20SERVEUR%20DPT\2000_PLAN%20TVX%20COURANT%20cl2-cl6\2025\130%20Suivi%20plan%20de%20travaux%202025\Classe%202\op&#233;ration%20POLE%20FORMATION%20(compte%202382312703)" TargetMode="External"/><Relationship Id="rId255"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62" Type="http://schemas.openxmlformats.org/officeDocument/2006/relationships/hyperlink" Target="file:///\\SRV-EPS-fai11.epsve.local\DPT\Services\SERVICE_DES_TRAVAUX\_NEW%20SERVEUR%20DPT\2000_PLAN%20TVX%20COURANT%20cl2-cl6\2025\130%20Suivi%20plan%20de%20travaux%202025\Classe%202\T2025016%20Ch%20de%20Gardes\Montreuil%20Boissiere" TargetMode="External"/><Relationship Id="rId1092" Type="http://schemas.openxmlformats.org/officeDocument/2006/relationships/hyperlink" Target="file:///\\SRV-EPS-fai11.epsve.local\DPT\Services\SERVICE_DES_TRAVAUX\_NEW%20SERVEUR%20DPT\2000_PLAN%20TVX%20COURANT%20cl2-cl6\2025\130%20Suivi%20plan%20de%20travaux%202025\Classe%206\403%20S-GALOUL\1110" TargetMode="External"/><Relationship Id="rId1106" Type="http://schemas.openxmlformats.org/officeDocument/2006/relationships/printerSettings" Target="../printerSettings/printerSettings1.bin"/><Relationship Id="rId115" Type="http://schemas.openxmlformats.org/officeDocument/2006/relationships/hyperlink" Target="file:///\\SRV-EPS-fai11.epsve.local\DPT\Services\SERVICE_DES_TRAVAUX\_NEW%20SERVEUR%20DPT\2000_PLAN%20TVX%20COURANT%20cl2-cl6\2025\130%20Suivi%20plan%20de%20travaux%202025\Classe%206\501%20E-MINGANT\CONT_220026_lot01_SCHINDLER\0119" TargetMode="External"/><Relationship Id="rId322" Type="http://schemas.openxmlformats.org/officeDocument/2006/relationships/hyperlink" Target="file:///\\SRV-EPS-fai11.epsve.local\DPT\Services\SERVICE_DES_TRAVAUX\_NEW%20SERVEUR%20DPT\2000_PLAN%20TVX%20COURANT%20cl2-cl6\2025\130%20Suivi%20plan%20de%20travaux%202025\Classe%202\T2025005%20Appartement%20%20Unirre-Care\329%20TBES%20Appartement%20Moreau" TargetMode="External"/><Relationship Id="rId767"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974" Type="http://schemas.openxmlformats.org/officeDocument/2006/relationships/hyperlink" Target="file:///\\SRV-EPS-fai11.epsve.local\DPT\Services\SERVICE_DES_TRAVAUX\_NEW%20SERVEUR%20DPT\2000_PLAN%20TVX%20COURANT%20cl2-cl6\2025\130%20Suivi%20plan%20de%20travaux%202025\Classe%202\T2025024%20barrieres%20Clos%20Benard\1012" TargetMode="External"/><Relationship Id="rId199" Type="http://schemas.openxmlformats.org/officeDocument/2006/relationships/hyperlink" Target="file:///\\SRV-EPS-fai11.epsve.local\DPT\Services\SERVICE_DES_TRAVAUX\_NEW%20SERVEUR%20DPT\2000_PLAN%20TVX%20COURANT%20cl2-cl6\2025\130%20Suivi%20plan%20de%20travaux%202025\Classe%206\102%20JC-HONART\Copalec" TargetMode="External"/><Relationship Id="rId627" Type="http://schemas.openxmlformats.org/officeDocument/2006/relationships/hyperlink" Target="file:///\\SRV-EPS-fai11.epsve.local\DPT\Services\SERVICE_DES_TRAVAUX\_NEW%20SERVEUR%20DPT\2000_PLAN%20TVX%20COURANT%20cl2-cl6\2025\130%20Suivi%20plan%20de%20travaux%202025\Classe%206\501%20E-MINGANT\CONT_220026_lot01_SCHINDLER\0599" TargetMode="External"/><Relationship Id="rId834" Type="http://schemas.openxmlformats.org/officeDocument/2006/relationships/hyperlink" Target="file:///\\SRV-EPS-fai11.epsve.local\DPT\Services\SERVICE_DES_TRAVAUX\_NEW%20SERVEUR%20DPT\2000_PLAN%20TVX%20COURANT%20cl2-cl6\2025\130%20Suivi%20plan%20de%20travaux%202025\Classe%202\T2023035%20-%20ACACIAS\LPP2025" TargetMode="External"/><Relationship Id="rId266" Type="http://schemas.openxmlformats.org/officeDocument/2006/relationships/hyperlink" Target="file:///\\SRV-EPS-fai11.epsve.local\DPT\Services\SERVICE_DES_TRAVAUX\_NEW%20SERVEUR%20DPT\2000_PLAN%20TVX%20COURANT%20cl2-cl6\2025\130%20Suivi%20plan%20de%20travaux%202025\Classe%206\303%20R-MERONI\LOT%2001%20-%20SANICOTHERM%20-%20MACONNERIE\274%20%20regis%20parvis%20trous" TargetMode="External"/><Relationship Id="rId473" Type="http://schemas.openxmlformats.org/officeDocument/2006/relationships/hyperlink" Target="file:///L:\Services\SERVICE_DES_TRAVAUX\_NEW%20SERVEUR%20DPT\2000_PLAN%20TVX%20COURANT%20cl2-cl6\2025\130%20Suivi%20plan%20de%20travaux%202025\Classe%206\503%20P-EPIS\CONT_220024_lot08_VULCAIN%20Barriere-Porte%20Auto\D-0493%20%20NSM%20%20UCPA%20%20d&#233;p.%20porte%20auto%20verre%20cot&#233;%20vestiaire%20RDC" TargetMode="External"/><Relationship Id="rId680" Type="http://schemas.openxmlformats.org/officeDocument/2006/relationships/hyperlink" Target="file:///\\SRV-EPS-fai11.epsve.local\DPT\Services\SERVICE_DES_TRAVAUX\_NEW%20SERVEUR%20DPT\2000_PLAN%20TVX%20COURANT%20cl2-cl6\2025\130%20Suivi%20plan%20de%20travaux%202025\Classe%206\501%20E-MINGANT\MBC_LOT04%20TBES\0701" TargetMode="External"/><Relationship Id="rId901" Type="http://schemas.openxmlformats.org/officeDocument/2006/relationships/hyperlink" Target="file:///\\SRV-EPS-fai11.epsve.local\DPT\Services\SERVICE_DES_TRAVAUX\_NEW%20SERVEUR%20DPT\2000_PLAN%20TVX%20COURANT%20cl2-cl6\2025\130%20Suivi%20plan%20de%20travaux%202025\Classe%202\op&#233;ration%20POLE%20SANTE\BSMG" TargetMode="External"/><Relationship Id="rId30" Type="http://schemas.openxmlformats.org/officeDocument/2006/relationships/hyperlink" Target="file:///\\SRV-EPS-fai11.epsve.local\DPT\Services\SERVICE_DES_TRAVAUX\_NEW%20SERVEUR%20DPT\2000_PLAN%20TVX%20COURANT%20cl2-cl6\2025\130%20Suivi%20plan%20de%20travaux%202025\Classe%206\501%20E-MINGANT\CONT_220022_lot03_UTB_Insta%20thermiques\0028" TargetMode="External"/><Relationship Id="rId126"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33"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540" Type="http://schemas.openxmlformats.org/officeDocument/2006/relationships/hyperlink" Target="file:///\\SRV-EPS-fai11.epsve.local\DPT\Services\SERVICE_DES_TRAVAUX\_NEW%20SERVEUR%20DPT\2000_PLAN%20TVX%20COURANT%20cl2-cl6\2025\130%20Suivi%20plan%20de%20travaux%202025\Classe%206\302%20M-ALEVEQUE\LOT%2006%20-%20COBAT%20-%20ETANCHEITE\0514%20admission" TargetMode="External"/><Relationship Id="rId778" Type="http://schemas.openxmlformats.org/officeDocument/2006/relationships/hyperlink" Target="file:///\\SRV-EPS-fai11.epsve.local\DPT\Services\SERVICE_DES_TRAVAUX\_NEW%20SERVEUR%20DPT\2000_PLAN%20TVX%20COURANT%20cl2-cl6\2025\130%20Suivi%20plan%20de%20travaux%202025\Classe%206\403%20S-GALOUL\796" TargetMode="External"/><Relationship Id="rId98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638" Type="http://schemas.openxmlformats.org/officeDocument/2006/relationships/hyperlink" Target="file:///\\SRV-EPS-fai11.epsve.local\DPT\Services\SERVICE_DES_TRAVAUX\_NEW%20SERVEUR%20DPT\2000_PLAN%20TVX%20COURANT%20cl2-cl6\2025\130%20Suivi%20plan%20de%20travaux%202025\Classe%206\301%20P-DOMERCQ\LOT%2005%20-%20BSMG%20-%20CVC\0656" TargetMode="External"/><Relationship Id="rId845" Type="http://schemas.openxmlformats.org/officeDocument/2006/relationships/hyperlink" Target="file:///\\SRV-EPS-fai11.epsve.local\DPT\Services\SERVICE_DES_TRAVAUX\_NEW%20SERVEUR%20DPT\2000_PLAN%20TVX%20COURANT%20cl2-cl6\2025\130%20Suivi%20plan%20de%20travaux%202025\Classe%206\403%20S-GALOUL\865" TargetMode="External"/><Relationship Id="rId1030"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1047" TargetMode="External"/><Relationship Id="rId277" Type="http://schemas.openxmlformats.org/officeDocument/2006/relationships/hyperlink" Target="file:///\\SRV-EPS-fai11.epsve.local\DPT\Services\SERVICE_DES_TRAVAUX\_NEW%20SERVEUR%20DPT\2000_PLAN%20TVX%20COURANT%20cl2-cl6\2025\130%20Suivi%20plan%20de%20travaux%202025\Classe%202\T2025009%20cuisine%20therapeutique\0271%20cuisine%20suresnes" TargetMode="External"/><Relationship Id="rId400"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484"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0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0723" TargetMode="External"/><Relationship Id="rId137"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142" TargetMode="External"/><Relationship Id="rId344" Type="http://schemas.openxmlformats.org/officeDocument/2006/relationships/hyperlink" Target="file:///\\SRV-EPS-fai11.epsve.local\DPT\Services\SERVICE_DES_TRAVAUX\_NEW%20SERVEUR%20DPT\2000_PLAN%20TVX%20COURANT%20cl2-cl6\2025\130%20Suivi%20plan%20de%20travaux%202025\Classe%206\101%20C-DARRET\Tapis%20Espace%20Roumieux" TargetMode="External"/><Relationship Id="rId691" Type="http://schemas.openxmlformats.org/officeDocument/2006/relationships/hyperlink" Target="file:///\\SRV-EPS-fai11.epsve.local\DPT\Services\SERVICE_DES_TRAVAUX\_NEW%20SERVEUR%20DPT\1000_OPE%20TVX%20STRAT\2020.11%20MONTREUIL%20I03\REFERE%20EXPRTISE" TargetMode="External"/><Relationship Id="rId789" Type="http://schemas.openxmlformats.org/officeDocument/2006/relationships/hyperlink" Target="file:///\\SRV-EPS-fai11.epsve.local\DPT\Services\SERVICE_DES_TRAVAUX\_NEW%20SERVEUR%20DPT\2000_PLAN%20TVX%20COURANT%20cl2-cl6\2025\130%20Suivi%20plan%20de%20travaux%202025\Classe%202\T2025005%20Appartement%20%20Unirre-Care" TargetMode="External"/><Relationship Id="rId912" Type="http://schemas.openxmlformats.org/officeDocument/2006/relationships/hyperlink" Target="file:///\\SRV-EPS-fai11.epsve.local\DPT\Services\SERVICE_DES_TRAVAUX\_NEW%20SERVEUR%20DPT\2000_PLAN%20TVX%20COURANT%20cl2-cl6\2025\130%20Suivi%20plan%20de%20travaux%202025\Classe%206\501%20E-MINGANT\RESHA_APAVE\0935" TargetMode="External"/><Relationship Id="rId996"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41" Type="http://schemas.openxmlformats.org/officeDocument/2006/relationships/hyperlink" Target="file:///\\SRV-EPS-fai11.epsve.local\DPT\Services\SERVICE_DES_TRAVAUX\_NEW%20SERVEUR%20DPT\2000_PLAN%20TVX%20COURANT%20cl2-cl6\2025\130%20Suivi%20plan%20de%20travaux%202025\Classe%202\T2025008%20-%20Montreuil%20Pasteur%20toiture\046" TargetMode="External"/><Relationship Id="rId551"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567" TargetMode="External"/><Relationship Id="rId649"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856"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73%20AUBER%20C.T" TargetMode="External"/><Relationship Id="rId190"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204" Type="http://schemas.openxmlformats.org/officeDocument/2006/relationships/hyperlink" Target="file:///\\SRV-EPS-fai11.epsve.local\DPT\Services\SERVICE_DES_TRAVAUX\_NEW%20SERVEUR%20DPT\2000_PLAN%20TVX%20COURANT%20cl2-cl6\2025\130%20Suivi%20plan%20de%20travaux%202025\Classe%206\503%20P-EPIS\HM_\ATRP" TargetMode="External"/><Relationship Id="rId288" Type="http://schemas.openxmlformats.org/officeDocument/2006/relationships/hyperlink" Target="file:///\\SRV-EPS-fai11.epsve.local\DPT\Services\SERVICE_DES_TRAVAUX\_NEW%20SERVEUR%20DPT\2000_PLAN%20TVX%20COURANT%20cl2-cl6\2025\130%20Suivi%20plan%20de%20travaux%202025\Classe%202\T2025009%20cuisine%20therapeutique\0271%20cuisine%20suresnes" TargetMode="External"/><Relationship Id="rId411" Type="http://schemas.openxmlformats.org/officeDocument/2006/relationships/hyperlink" Target="file:///\\SRV-EPS-fai11.epsve.local\DPT\Services\SERVICE_DES_TRAVAUX\_NEW%20SERVEUR%20DPT\2000_PLAN%20TVX%20COURANT%20cl2-cl6\2025\130%20Suivi%20plan%20de%20travaux%202025\Classe%206\501%20E-MINGANT\CONT_220026_lot01_SCHINDLER\0426" TargetMode="External"/><Relationship Id="rId509" Type="http://schemas.openxmlformats.org/officeDocument/2006/relationships/hyperlink" Target="file:///\\SRV-EPS-fai11.epsve.local\DPT\Services\SERVICE_DES_TRAVAUX\_NEW%20SERVEUR%20DPT\2000_PLAN%20TVX%20COURANT%20cl2-cl6\2025\130%20Suivi%20plan%20de%20travaux%202025\Classe%202\T2025017%20Internat%20Stockage%20Dahl\0440%20LPP" TargetMode="External"/><Relationship Id="rId1041"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1058" TargetMode="External"/><Relationship Id="rId495"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16"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734" TargetMode="External"/><Relationship Id="rId923" Type="http://schemas.openxmlformats.org/officeDocument/2006/relationships/hyperlink" Target="file:///\\SRV-EPS-fai11.epsve.local\DPT\Services\SERVICE_DES_TRAVAUX\_NEW%20SERVEUR%20DPT\2000_PLAN%20TVX%20COURANT%20cl2-cl6\2025\130%20Suivi%20plan%20de%20travaux%202025\Classe%202\op&#233;ration%20POLE%20SANTE\BELBEOCH\TR2" TargetMode="External"/><Relationship Id="rId52" Type="http://schemas.openxmlformats.org/officeDocument/2006/relationships/hyperlink" Target="file:///\\SRV-EPS-fai11.epsve.local\DPT\Services\SERVICE_DES_TRAVAUX\_NEW%20SERVEUR%20DPT\2000_PLAN%20TVX%20COURANT%20cl2-cl6\2025\130%20Suivi%20plan%20de%20travaux%202025\Classe%206\501%20E-MINGANT\MBC_LOT11%20SEA\0026" TargetMode="External"/><Relationship Id="rId148" Type="http://schemas.openxmlformats.org/officeDocument/2006/relationships/hyperlink" Target="file:///\\SRV-EPS-fai11.epsve.local\DPT\Services\SERVICE_DES_TRAVAUX\_NEW%20SERVEUR%20DPT\2000_PLAN%20TVX%20COURANT%20cl2-cl6\2025\130%20Suivi%20plan%20de%20travaux%202025\Classe%206\302%20M-ALEVEQUE\LOT%2007%20-%20SCHNEIDER%20-%20COUVERTURE\0153%20albatros" TargetMode="External"/><Relationship Id="rId355"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0365%20vercors%20fds" TargetMode="External"/><Relationship Id="rId562" Type="http://schemas.openxmlformats.org/officeDocument/2006/relationships/hyperlink" Target="file:///\\SRV-EPS-fai11.epsve.local\DPT\Services\SERVICE_DES_TRAVAUX\_NEW%20SERVEUR%20DPT\2000_PLAN%20TVX%20COURANT%20cl2-cl6\2024\00%20plan%202024\010%20Suivi%20Plan%202024\CLasse%202\T2024020%20Asinerie%20Toiture" TargetMode="External"/><Relationship Id="rId215"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220%20petit%20bureau" TargetMode="External"/><Relationship Id="rId422"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436%20Cristale%20WC%20%20hypnorelax" TargetMode="External"/><Relationship Id="rId867" Type="http://schemas.openxmlformats.org/officeDocument/2006/relationships/hyperlink" Target="file:///\\SRV-EPS-fai11.epsve.local\DPT\Services\SERVICE_DES_TRAVAUX\_NEW%20SERVEUR%20DPT\2000_PLAN%20TVX%20COURANT%20cl2-cl6\2025\130%20Suivi%20plan%20de%20travaux%202025\Classe%206\403%20S-GALOUL\889" TargetMode="External"/><Relationship Id="rId1052" Type="http://schemas.openxmlformats.org/officeDocument/2006/relationships/hyperlink" Target="file:///\\SRV-EPS-fai11.epsve.local\DPT\Services\SERVICE_DES_TRAVAUX\_NEW%20SERVEUR%20DPT\2000_PLAN%20TVX%20COURANT%20cl2-cl6\2025\130%20Suivi%20plan%20de%20travaux%202025\Classe%206\301%20P-DOMERCQ\LOT%2005%20-%20BSMG%20-%20CVC\1069" TargetMode="External"/><Relationship Id="rId299"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309" TargetMode="External"/><Relationship Id="rId727" Type="http://schemas.openxmlformats.org/officeDocument/2006/relationships/hyperlink" Target="file:///\\SRV-EPS-fai11.epsve.local\DPT\Services\SERVICE_DES_TRAVAUX\_NEW%20SERVEUR%20DPT\2000_PLAN%20TVX%20COURANT%20cl2-cl6\2025\130%20Suivi%20plan%20de%20travaux%202025\Classe%206\502%20A-CARPINTEIRO\MBC_LOT02%20AELB\0745" TargetMode="External"/><Relationship Id="rId934" Type="http://schemas.openxmlformats.org/officeDocument/2006/relationships/hyperlink" Target="file:///\\SRV-EPS-fai11.epsve.local\DPT\Services\SERVICE_DES_TRAVAUX\_NEW%20SERVEUR%20DPT\2000_PLAN%20TVX%20COURANT%20cl2-cl6\2025\130%20Suivi%20plan%20de%20travaux%202025\Classe%202\T2025017%20Internat%20Stockage%20Dahl\0953%20%20TBES%20Bandeaux%20Ventouses%20Internat" TargetMode="External"/><Relationship Id="rId63"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159" Type="http://schemas.openxmlformats.org/officeDocument/2006/relationships/hyperlink" Target="file:///\\SRV-EPS-fai11.epsve.local\DPT\Services\SERVICE_DES_TRAVAUX\_NEW%20SERVEUR%20DPT\2000_PLAN%20TVX%20COURANT%20cl2-cl6\2025\130%20Suivi%20plan%20de%20travaux%202025\Classe%206\302%20M-ALEVEQUE\LOT%2007%20-%20SCHNEIDER%20-%20COUVERTURE\0162%20Cours%20de%20communs" TargetMode="External"/><Relationship Id="rId366" Type="http://schemas.openxmlformats.org/officeDocument/2006/relationships/hyperlink" Target="file:///\\SRV-EPS-fai11.epsve.local\DPT\Services\SERVICE_DES_TRAVAUX\_NEW%20SERVEUR%20DPT\2000_PLAN%20TVX%20COURANT%20cl2-cl6\2025\130%20Suivi%20plan%20de%20travaux%202025\Classe%206\302%20M-ALEVEQUE\LOT%2007%20-%20SCHNEIDER%20-%20COUVERTURE\0363%20cedres" TargetMode="External"/><Relationship Id="rId573" Type="http://schemas.openxmlformats.org/officeDocument/2006/relationships/hyperlink" Target="file:///\\SRV-EPS-fai11.epsve.local\DPT\Services\SERVICE_DES_TRAVAUX\_NEW%20SERVEUR%20DPT\2000_PLAN%20TVX%20COURANT%20cl2-cl6\2025\130%20Suivi%20plan%20de%20travaux%202025\Classe%202\T2025005%20Appartement%20%20Unirre-Care\0592%20%20Devis%20AEB%20plinthes%20Bois" TargetMode="External"/><Relationship Id="rId780" Type="http://schemas.openxmlformats.org/officeDocument/2006/relationships/hyperlink" Target="file:///\\SRV-EPS-fai11.epsve.local\DPT\Services\SERVICE_DES_TRAVAUX\_NEW%20SERVEUR%20DPT\2000_PLAN%20TVX%20COURANT%20cl2-cl6\2025\130%20Suivi%20plan%20de%20travaux%202025\Classe%202\T2023035%20-%20ACACIAS\798%20Acacias" TargetMode="External"/><Relationship Id="rId226" Type="http://schemas.openxmlformats.org/officeDocument/2006/relationships/hyperlink" Target="file:///\\SRV-EPS-fai11.epsve.local\DPT\Services\SERVICE_DES_TRAVAUX\_NEW%20SERVEUR%20DPT\2000_PLAN%20TVX%20COURANT%20cl2-cl6\2025\130%20Suivi%20plan%20de%20travaux%202025\Classe%206\501%20E-MINGANT\CONT_190023_lot00_DALKIA\0231" TargetMode="External"/><Relationship Id="rId433" Type="http://schemas.openxmlformats.org/officeDocument/2006/relationships/hyperlink" Target="file:///\\SRV-EPS-fai11.epsve.local\DPT\Services\SERVICE_DES_TRAVAUX\_NEW%20SERVEUR%20DPT\2000_PLAN%20TVX%20COURANT%20cl2-cl6\2025\130%20Suivi%20plan%20de%20travaux%202025\Classe%202\T2025005%20Appartement%20%20Unirre-Care\335%20AEB%20cuisine%20int&#233;gr&#233;e" TargetMode="External"/><Relationship Id="rId878" Type="http://schemas.openxmlformats.org/officeDocument/2006/relationships/hyperlink" Target="file:///\\SRV-EPS-fai11.epsve.local\DPT\Services\SERVICE_DES_TRAVAUX\_NEW%20SERVEUR%20DPT\2000_PLAN%20TVX%20COURANT%20cl2-cl6\2025\130%20Suivi%20plan%20de%20travaux%202025\Classe%202\T2025028%20Travaux%20Magasin%20General\0898" TargetMode="External"/><Relationship Id="rId1063" Type="http://schemas.openxmlformats.org/officeDocument/2006/relationships/hyperlink" Target="file:///\\SRV-EPS-fai11.epsve.local\DPT\Services\SERVICE_DES_TRAVAUX\_NEW%20SERVEUR%20DPT\2000_PLAN%20TVX%20COURANT%20cl2-cl6\2025\130%20Suivi%20plan%20de%20travaux%202025\Classe%206\501%20E-MINGANT\MBC_LOT09%20SNTPP\1081" TargetMode="External"/><Relationship Id="rId640" Type="http://schemas.openxmlformats.org/officeDocument/2006/relationships/hyperlink" Target="file:///\\SRV-EPS-fai11.epsve.local\DPT\Services\SERVICE_DES_TRAVAUX\_NEW%20SERVEUR%20DPT\2000_PLAN%20TVX%20COURANT%20cl2-cl6\2025\130%20Suivi%20plan%20de%20travaux%202025\Classe%206\503%20P-EPIS\HM_\ATRP" TargetMode="External"/><Relationship Id="rId738"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757" TargetMode="External"/><Relationship Id="rId945" Type="http://schemas.openxmlformats.org/officeDocument/2006/relationships/hyperlink" Target="file:///\\SRV-EPS-fai11.epsve.local\DPT\Services\SERVICE_DES_TRAVAUX\_NEW%20SERVEUR%20DPT\2000_PLAN%20TVX%20COURANT%20cl2-cl6\2025\130%20Suivi%20plan%20de%20travaux%202025\Classe%202\T2025018-1%20appartement%20cours%20communs%20clos%20couvert" TargetMode="External"/><Relationship Id="rId74"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84%20noisy%20le%20grand%20dglacis" TargetMode="External"/><Relationship Id="rId377"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500" Type="http://schemas.openxmlformats.org/officeDocument/2006/relationships/hyperlink" Target="file:///L:\Services\SERVICE_DES_TRAVAUX\_NEW%20SERVEUR%20DPT\2000_PLAN%20TVX%20COURANT%20cl2-cl6\2025\130%20Suivi%20plan%20de%20travaux%202025\Classe%206\503%20P-EPIS\CONT_220024_lot08_VULCAIN%20Barriere-Porte%20Auto\D-0524%20%20NSM%20UCPA%20%20remplacement%20sectionneur%20et%20boitier%20complet%20de%20s&#233;curit&#233;" TargetMode="External"/><Relationship Id="rId584" Type="http://schemas.openxmlformats.org/officeDocument/2006/relationships/hyperlink" Target="file:///\\SRV-EPS-fai11.epsve.local\DPT\Services\SERVICE_DES_TRAVAUX\_NEW%20SERVEUR%20DPT\2000_PLAN%20TVX%20COURANT%20cl2-cl6\2025\130%20Suivi%20plan%20de%20travaux%202025\Classe%206\301%20P-DOMERCQ\LOT%2007%20-%20SCHNEIDER%20-%20COUVERTURE\0602%20adicto" TargetMode="External"/><Relationship Id="rId805" Type="http://schemas.openxmlformats.org/officeDocument/2006/relationships/hyperlink" Target="file:///\\SRV-EPS-fai11.epsve.local\DPT\Services\SERVICE_DES_TRAVAUX\_NEW%20SERVEUR%20DPT\2000_PLAN%20TVX%20COURANT%20cl2-cl6\2025\130%20Suivi%20plan%20de%20travaux%202025\Classe%202\op&#233;ration%20POLE%20SANTE\SEMOFI" TargetMode="External"/><Relationship Id="rId5" Type="http://schemas.openxmlformats.org/officeDocument/2006/relationships/hyperlink" Target="file:///\\SRV-EPS-fai11.epsve.local\DPT\Services\SERVICE_DES_TRAVAUX\_NEW%20SERVEUR%20DPT\2000_PLAN%20TVX%20COURANT%20cl2-cl6\2025\130%20Suivi%20plan%20de%20travaux%202025\Classe%206\502%20A-CARPINTEIRO\MBC_LOT08%20ABPSI" TargetMode="External"/><Relationship Id="rId237" Type="http://schemas.openxmlformats.org/officeDocument/2006/relationships/hyperlink" Target="file:///\\SRV-EPS-fai11.epsve.local\DPT\Services\SERVICE_DES_TRAVAUX\_NEW%20SERVEUR%20DPT\2000_PLAN%20TVX%20COURANT%20cl2-cl6\2024\00%20plan%202024\010%20Suivi%20Plan%202024\CLasse%202\T2024034%20R&#233;novation%20appartements%20GAGNY\LOT%2013%20-%20AC2P%20-%20CLOISONS%20FAUX%20PLAF\244" TargetMode="External"/><Relationship Id="rId791" Type="http://schemas.openxmlformats.org/officeDocument/2006/relationships/hyperlink" Target="file:///\\SRV-EPS-fai11.epsve.local\DPT\Services\SERVICE_DES_TRAVAUX\_NEW%20SERVEUR%20DPT\2000_PLAN%20TVX%20COURANT%20cl2-cl6\2025\130%20Suivi%20plan%20de%20travaux%202025\Classe%206\503%20P-EPIS\CONT_220027_lot06_Rougnon-AGS_GE" TargetMode="External"/><Relationship Id="rId889" Type="http://schemas.openxmlformats.org/officeDocument/2006/relationships/hyperlink" Target="file:///\\SRV-EPS-fai11.epsve.local\DPT\Services\SERVICE_DES_TRAVAUX\_NEW%20SERVEUR%20DPT\2000_PLAN%20TVX%20COURANT%20cl2-cl6\2025\130%20Suivi%20plan%20de%20travaux%202025\Classe%202\T2025013%20Mus&#233;e%20%20Serhep\Devis\0910%20%20AC2P%20Diag%20Amiante" TargetMode="External"/><Relationship Id="rId1074" Type="http://schemas.openxmlformats.org/officeDocument/2006/relationships/hyperlink" Target="file:///\\SRV-EPS-fai11.epsve.local\DPT\Services\SERVICE_DES_TRAVAUX\_NEW%20SERVEUR%20DPT\2000_PLAN%20TVX%20COURANT%20cl2-cl6\2025\130%20Suivi%20plan%20de%20travaux%202025\Classe%206\503%20P-EPIS\MBC_LOT04%20TBES" TargetMode="External"/><Relationship Id="rId444"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458hirondelle" TargetMode="External"/><Relationship Id="rId651" Type="http://schemas.openxmlformats.org/officeDocument/2006/relationships/hyperlink" Target="file:///\\SRV-EPS-fai11.epsve.local\DPT\Services\SERVICE_DES_TRAVAUX\_NEW%20SERVEUR%20DPT\2000_PLAN%20TVX%20COURANT%20cl2-cl6\2025\130%20Suivi%20plan%20de%20travaux%202025\Classe%206\403%20S-GALOUL\673" TargetMode="External"/><Relationship Id="rId749"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768" TargetMode="External"/><Relationship Id="rId290"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297" TargetMode="External"/><Relationship Id="rId304" Type="http://schemas.openxmlformats.org/officeDocument/2006/relationships/hyperlink" Target="file:///\\SRV-EPS-fai11.epsve.local\DPT\Services\SERVICE_DES_TRAVAUX\_NEW%20SERVEUR%20DPT\2000_PLAN%20TVX%20COURANT%20cl2-cl6\2025\130%20Suivi%20plan%20de%20travaux%202025\Classe%206\502%20A-CARPINTEIRO\MBC_LOT09%20SNTPP\0224" TargetMode="External"/><Relationship Id="rId388" Type="http://schemas.openxmlformats.org/officeDocument/2006/relationships/hyperlink" Target="file:///\\SRV-EPS-fai11.epsve.local\DPT\Services\SERVICE_DES_TRAVAUX\_NEW%20SERVEUR%20DPT\2000_PLAN%20TVX%20COURANT%20cl2-cl6\2025\130%20Suivi%20plan%20de%20travaux%202025\Classe%206\504%20D-PAQUIN\MBC_LOT11%20SEA" TargetMode="External"/><Relationship Id="rId511" Type="http://schemas.openxmlformats.org/officeDocument/2006/relationships/hyperlink" Target="file:///\\SRV-EPS-fai11.epsve.local\DPT\Services\SERVICE_DES_TRAVAUX\_NEW%20SERVEUR%20DPT\1000_OPE%20TVX%20STRAT\0005%20march&#233;%20socotec" TargetMode="External"/><Relationship Id="rId609" Type="http://schemas.openxmlformats.org/officeDocument/2006/relationships/hyperlink" Target="file:///\\SRV-EPS-fai11.epsve.local\DPT\Services\SERVICE_DES_TRAVAUX\_NEW%20SERVEUR%20DPT\2000_PLAN%20TVX%20COURANT%20cl2-cl6\2025\130%20Suivi%20plan%20de%20travaux%202025\Classe%202\T2025014%20%20Ex%20IFSI%20DAHL\DEVIS" TargetMode="External"/><Relationship Id="rId956"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782%20cuve%20fuel" TargetMode="External"/><Relationship Id="rId85"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90%20Dubreuil" TargetMode="External"/><Relationship Id="rId150" Type="http://schemas.openxmlformats.org/officeDocument/2006/relationships/hyperlink" Target="file:///\\SRV-EPS-fai11.epsve.local\DPT\Services\SERVICE_DES_TRAVAUX\_NEW%20SERVEUR%20DPT\2000_PLAN%20TVX%20COURANT%20cl2-cl6\2025\130%20Suivi%20plan%20de%20travaux%202025\Classe%206\303%20R-MERONI\LOT%2002%20-%20ARTETLEBOIS%20-MENUISERIE\157%20Montreuil%20secr&#233;tariat%20Film%20d&#233;poli" TargetMode="External"/><Relationship Id="rId595"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616%20%20Perinatalit&#233;%20Dalles%20ext" TargetMode="External"/><Relationship Id="rId816" Type="http://schemas.openxmlformats.org/officeDocument/2006/relationships/hyperlink" Target="file:///\\SRV-EPS-fai11.epsve.local\DPT\Services\SERVICE_DES_TRAVAUX\_NEW%20SERVEUR%20DPT\2000_PLAN%20TVX%20COURANT%20cl2-cl6\2025\130%20Suivi%20plan%20de%20travaux%202025\Classe%202\op&#233;ration%20POLE%20FORMATION%20(compte%202382312703)" TargetMode="External"/><Relationship Id="rId1001"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1017" TargetMode="External"/><Relationship Id="rId248"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55"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467%20montfermeil" TargetMode="External"/><Relationship Id="rId662"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689%20cedres" TargetMode="External"/><Relationship Id="rId108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2" Type="http://schemas.openxmlformats.org/officeDocument/2006/relationships/hyperlink" Target="file:///\\SRV-EPS-fai11.epsve.local\DPT\Services\SERVICE_DES_TRAVAUX\_NEW%20SERVEUR%20DPT\2000_PLAN%20TVX%20COURANT%20cl2-cl6\2025\130%20Suivi%20plan%20de%20travaux%202025\Classe%202\T2025005%20Appartement%20%20Unirre-Care\013" TargetMode="External"/><Relationship Id="rId108"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315" Type="http://schemas.openxmlformats.org/officeDocument/2006/relationships/hyperlink" Target="file:///\\SRV-EPS-fai11.epsve.local\DPT\Services\SERVICE_DES_TRAVAUX\_NEW%20SERVEUR%20DPT\2000_PLAN%20TVX%20COURANT%20cl2-cl6\2024\00%20plan%202024\010%20Suivi%20Plan%202024\CLasse%202\T2024034%20R&#233;novation%20appartements%20GAGNY\Nouveau%20dossier\300" TargetMode="External"/><Relationship Id="rId522"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967"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985%20%20Devis%20Bondy%20Chapelain%20Ch%2011" TargetMode="External"/><Relationship Id="rId96"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100%20Bondy%20Gallieni%20Vid&#233;ophone%205%20eme" TargetMode="External"/><Relationship Id="rId161"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399"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827"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845" TargetMode="External"/><Relationship Id="rId1012"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259"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66"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485%20Alize%20%20SDB%20Hommes" TargetMode="External"/><Relationship Id="rId673" Type="http://schemas.openxmlformats.org/officeDocument/2006/relationships/hyperlink" Target="file:///\\SRV-EPS-fai11.epsve.local\DPT\Services\SERVICE_DES_TRAVAUX\_NEW%20SERVEUR%20DPT\2000_PLAN%20TVX%20COURANT%20cl2-cl6\2025\130%20Suivi%20plan%20de%20travaux%202025\Classe%206\302%20M-ALEVEQUE\AC%20environnement\0695%20jardins" TargetMode="External"/><Relationship Id="rId880" Type="http://schemas.openxmlformats.org/officeDocument/2006/relationships/hyperlink" Target="file:///\\SRV-EPS-fai11.epsve.local\DPT\Services\SERVICE_DES_TRAVAUX\_NEW%20SERVEUR%20DPT\2000_PLAN%20TVX%20COURANT%20cl2-cl6\2025\130%20Suivi%20plan%20de%20travaux%202025\Classe%206\303%20R-MERONI\LOT%2002%20-%20ARTETLEBOIS%20-MENUISERIE\0900%20Archipel%20Plancher%20Bois" TargetMode="External"/><Relationship Id="rId1096"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23" Type="http://schemas.openxmlformats.org/officeDocument/2006/relationships/hyperlink" Target="file:///\\SRV-EPS-fai11.epsve.local\DPT\Services\SERVICE_DES_TRAVAUX\_NEW%20SERVEUR%20DPT\2000_PLAN%20TVX%20COURANT%20cl2-cl6\2025\130%20Suivi%20plan%20de%20travaux%202025\Classe%206\501%20E-MINGANT\CONT_220026_lot01_SCHINDLER\0027" TargetMode="External"/><Relationship Id="rId119"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123" TargetMode="External"/><Relationship Id="rId326"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533"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551" TargetMode="External"/><Relationship Id="rId978"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740" Type="http://schemas.openxmlformats.org/officeDocument/2006/relationships/hyperlink" Target="file:///\\SRV-EPS-fai11.epsve.local\DPT\Services\SERVICE_DES_TRAVAUX\_NEW%20SERVEUR%20DPT\2000_PLAN%20TVX%20COURANT%20cl2-cl6\2025\130%20Suivi%20plan%20de%20travaux%202025\Classe%202\T2025016%20Ch%20de%20Gardes\Montreuil%20Boissiere" TargetMode="External"/><Relationship Id="rId838" Type="http://schemas.openxmlformats.org/officeDocument/2006/relationships/hyperlink" Target="file:///\\SRV-EPS-fai11.epsve.local\DPT\Services\SERVICE_DES_TRAVAUX\_NEW%20SERVEUR%20DPT\2000_PLAN%20TVX%20COURANT%20cl2-cl6\2025\130%20Suivi%20plan%20de%20travaux%202025\Classe%206\303%20R-MERONI\LOT%2010%20-%20FDS%20CORPUS%20-%20METALLERIE\0859%20%20Adomontreuil%20Ch%208" TargetMode="External"/><Relationship Id="rId1023" Type="http://schemas.openxmlformats.org/officeDocument/2006/relationships/hyperlink" Target="file:///\\SRV-EPS-fai11.epsve.local\DPT\Services\SERVICE_DES_TRAVAUX\_NEW%20SERVEUR%20DPT\2000_PLAN%20TVX%20COURANT%20cl2-cl6\2025\130%20Suivi%20plan%20de%20travaux%202025\Classe%202\T2025023%20NSM%20caf&#233;t&#233;ria\DEVIS%20CAFETE%20%20PROVISOIRE\1041%20%20TBES" TargetMode="External"/><Relationship Id="rId172"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175%20Perinatalit&#233;%20Leds%20Dimmables" TargetMode="External"/><Relationship Id="rId477" Type="http://schemas.openxmlformats.org/officeDocument/2006/relationships/hyperlink" Target="file:///\\SRV-EPS-fai11.epsve.local\DPT\Services\SERVICE_DES_TRAVAUX\_NEW%20SERVEUR%20DPT\2000_PLAN%20TVX%20COURANT%20cl2-cl6\2025\130%20Suivi%20plan%20de%20travaux%202025\Classe%206\101%20C-DARRET\Ediflex%20Edidoc" TargetMode="External"/><Relationship Id="rId600" Type="http://schemas.openxmlformats.org/officeDocument/2006/relationships/hyperlink" Target="file:///\\SRV-EPS-fai11.epsve.local\DPT\Services\SERVICE_DES_TRAVAUX\_NEW%20SERVEUR%20DPT\2000_PLAN%20TVX%20COURANT%20cl2-cl6\2025\130%20Suivi%20plan%20de%20travaux%202025\Classe%206\504%20D-PAQUIN\CONT_220025_lot07_GULDAGIL-GILCAM%20Traitements%20eau" TargetMode="External"/><Relationship Id="rId684" Type="http://schemas.openxmlformats.org/officeDocument/2006/relationships/hyperlink" Target="file:///\\SRV-EPS-fai11.epsve.local\DPT\Services\SERVICE_DES_TRAVAUX\_NEW%20SERVEUR%20DPT\2000_PLAN%20TVX%20COURANT%20cl2-cl6\2025\130%20Suivi%20plan%20de%20travaux%202025\Classe%206\501%20E-MINGANT\CONT_190023_lot00_DALKIA\0706" TargetMode="External"/><Relationship Id="rId337"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348" TargetMode="External"/><Relationship Id="rId891" Type="http://schemas.openxmlformats.org/officeDocument/2006/relationships/hyperlink" Target="file:///\\SRV-EPS-fai11.epsve.local\DPT\Services\SERVICE_DES_TRAVAUX\_NEW%20SERVEUR%20DPT\2000_PLAN%20TVX%20COURANT%20cl2-cl6\2025\130%20Suivi%20plan%20de%20travaux%202025" TargetMode="External"/><Relationship Id="rId905" Type="http://schemas.openxmlformats.org/officeDocument/2006/relationships/hyperlink" Target="file:///\\SRV-EPS-fai11.epsve.local\DPT\Services\SERVICE_DES_TRAVAUX\_NEW%20SERVEUR%20DPT\2000_PLAN%20TVX%20COURANT%20cl2-cl6\2025\130%20Suivi%20plan%20de%20travaux%202025\Classe%206\501%20E-MINGANT\Cont_Jean_Mace_Eau+\0927" TargetMode="External"/><Relationship Id="rId989"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4"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544" Type="http://schemas.openxmlformats.org/officeDocument/2006/relationships/hyperlink" Target="file:///\\SRV-EPS-fai11.epsve.local\DPT\Services\SERVICE_DES_TRAVAUX\_NEW%20SERVEUR%20DPT\2000_PLAN%20TVX%20COURANT%20cl2-cl6\2025\130%20Suivi%20plan%20de%20travaux%202025\Classe%202\T2025014%20%20Ex%20IFSI%20DAHL\DEVIS" TargetMode="External"/><Relationship Id="rId751" Type="http://schemas.openxmlformats.org/officeDocument/2006/relationships/hyperlink" Target="file:///\\SRV-EPS-fai11.epsve.local\DPT\Services\SERVICE_DES_TRAVAUX\_NEW%20SERVEUR%20DPT\2000_PLAN%20TVX%20COURANT%20cl2-cl6\2025\130%20Suivi%20plan%20de%20travaux%202025\Classe%202\T2025025%20remise%20en%20etat%20G06%20ex%2013" TargetMode="External"/><Relationship Id="rId849"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76%20%20AUBER%20CB3" TargetMode="External"/><Relationship Id="rId183"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186" TargetMode="External"/><Relationship Id="rId390" Type="http://schemas.openxmlformats.org/officeDocument/2006/relationships/hyperlink" Target="file:///\\SRV-EPS-fai11.epsve.local\DPT\Services\SERVICE_DES_TRAVAUX\_NEW%20SERVEUR%20DPT\2000_PLAN%20TVX%20COURANT%20cl2-cl6\2025\130%20Suivi%20plan%20de%20travaux%202025\Classe%206\503%20P-EPIS\MBC_LOT08%20ABPSI\0403%20%20AUBER.%20%20CB1-G05%20%20R&#233;gule%20Inter%20du%2018-04-2025%20sur%20Ch%20217%20-1ET%20devi6527" TargetMode="External"/><Relationship Id="rId404" Type="http://schemas.openxmlformats.org/officeDocument/2006/relationships/hyperlink" Target="file:///\\SRV-EPS-fai11.epsve.local\DPT\Services\SERVICE_DES_TRAVAUX\_NEW%20SERVEUR%20DPT\2000_PLAN%20TVX%20COURANT%20cl2-cl6\2025\130%20Suivi%20plan%20de%20travaux%202025\Classe%202\T2025006%20-%20S&#233;curite%20IFSI%20-Pole%20formation\093%20SNTPP" TargetMode="External"/><Relationship Id="rId611" Type="http://schemas.openxmlformats.org/officeDocument/2006/relationships/hyperlink" Target="file:///\\SRV-EPS-fai11.epsve.local\DPT\Services\SERVICE_DES_TRAVAUX\_NEW%20SERVEUR%20DPT\2000_PLAN%20TVX%20COURANT%20cl2-cl6\2025\130%20Suivi%20plan%20de%20travaux%202025\Classe%202\op&#233;ration%20AMT\GPF_FM+MEOPA\631" TargetMode="External"/><Relationship Id="rId1034" Type="http://schemas.openxmlformats.org/officeDocument/2006/relationships/hyperlink" Target="file:///\\SRV-EPS-fai11.epsve.local\DPT\Services\SERVICE_DES_TRAVAUX\_NEW%20SERVEUR%20DPT\2000_PLAN%20TVX%20COURANT%20cl2-cl6\2025\130%20Suivi%20plan%20de%20travaux%202025\Classe%206\501%20E-MINGANT\CONT_190023_lot00_DALKIA\1051" TargetMode="External"/><Relationship Id="rId250"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88" Type="http://schemas.openxmlformats.org/officeDocument/2006/relationships/hyperlink" Target="file:///\\SRV-EPS-fai11.epsve.local\DPT\Services\SERVICE_DES_TRAVAUX\_NEW%20SERVEUR%20DPT\2000_PLAN%20TVX%20COURANT%20cl2-cl6\2025\130%20Suivi%20plan%20de%20travaux%202025\Classe%206\502%20A-CARPINTEIRO\MBC_LOT08%20ABPSI\0508" TargetMode="External"/><Relationship Id="rId695"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633%20TBES%20platine%20castel%20emile%20beaufils" TargetMode="External"/><Relationship Id="rId709" Type="http://schemas.openxmlformats.org/officeDocument/2006/relationships/hyperlink" Target="file:///\\SRV-EPS-fai11.epsve.local\DPT\Services\SERVICE_DES_TRAVAUX\_NEW%20SERVEUR%20DPT\2000_PLAN%20TVX%20COURANT%20cl2-cl6\2025\130%20Suivi%20plan%20de%20travaux%202025\Classe%206\101%20C-DARRET\Ediflex%20AMT" TargetMode="External"/><Relationship Id="rId916"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938" TargetMode="External"/><Relationship Id="rId1101" Type="http://schemas.openxmlformats.org/officeDocument/2006/relationships/hyperlink" Target="file:///\\SRV-EPS-fai11.epsve.local\DPT\Services\SERVICE_DES_TRAVAUX\_NEW%20SERVEUR%20DPT\2000_PLAN%20TVX%20COURANT%20cl2-cl6\2025\130%20Suivi%20plan%20de%20travaux%202025\Classe%206\301%20P-DOMERCQ\LOT%2005%20-%20BSMG%20-%20CVC\1120" TargetMode="External"/><Relationship Id="rId45" Type="http://schemas.openxmlformats.org/officeDocument/2006/relationships/hyperlink" Target="file:///\\SRV-EPS-fai11.epsve.local\DPT\Services\SERVICE_DES_TRAVAUX\_NEW%20SERVEUR%20DPT\2000_PLAN%20TVX%20COURANT%20cl2-cl6\2025\130%20Suivi%20plan%20de%20travaux%202025\Classe%206\302%20M-ALEVEQUE\LOT%2009%20-%20SNTPP%20-%20VRD\0050%20rosny%20sous%20bois" TargetMode="External"/><Relationship Id="rId110"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348" Type="http://schemas.openxmlformats.org/officeDocument/2006/relationships/hyperlink" Target="file:///\\SRV-EPS-fai11.epsve.local\DPT\Services\SERVICE_DES_TRAVAUX\_NEW%20SERVEUR%20DPT\2000_PLAN%20TVX%20COURANT%20cl2-cl6\2025\130%20Suivi%20plan%20de%20travaux%202025\Classe%206\302%20M-ALEVEQUE\LOT%2005%20-%20BSMG%20-%20CVC\0357%20DRH" TargetMode="External"/><Relationship Id="rId55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571%20MONTREUIL%20I03%20%20remplace.%20barri&#233;re" TargetMode="External"/><Relationship Id="rId762" Type="http://schemas.openxmlformats.org/officeDocument/2006/relationships/hyperlink" Target="file:///\\SRV-EPS-fai11.epsve.local\DPT\Services\SERVICE_DES_TRAVAUX\_NEW%20SERVEUR%20DPT\2000_PLAN%20TVX%20COURANT%20cl2-cl6\2025\130%20Suivi%20plan%20de%20travaux%202025\Classe%202\T2025018-1%20appartement%20cours%20communs%20clos%20couvert" TargetMode="External"/><Relationship Id="rId194"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208" Type="http://schemas.openxmlformats.org/officeDocument/2006/relationships/hyperlink" Target="file:///\\SRV-EPS-fai11.epsve.local\DPT\Services\SERVICE_DES_TRAVAUX\_NEW%20SERVEUR%20DPT\2000_PLAN%20TVX%20COURANT%20cl2-cl6\2025\130%20Suivi%20plan%20de%20travaux%202025\Classe%206\504%20D-PAQUIN\MBC_LOT11%20SEA" TargetMode="External"/><Relationship Id="rId415"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430%20Bornes%20transport" TargetMode="External"/><Relationship Id="rId622"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04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61"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267%20pantin%20Delizy" TargetMode="External"/><Relationship Id="rId499"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92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112" Type="http://schemas.microsoft.com/office/2019/04/relationships/namedSheetView" Target="../namedSheetViews/namedSheetView1.xml"/><Relationship Id="rId56"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59"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0369" TargetMode="External"/><Relationship Id="rId566"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773"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779" TargetMode="External"/><Relationship Id="rId121"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219" Type="http://schemas.openxmlformats.org/officeDocument/2006/relationships/hyperlink" Target="file:///\\SRV-EPS-fai11.epsve.local\DPT\Services\SERVICE_DES_TRAVAUX\_NEW%20SERVEUR%20DPT\1000_OPE%20TVX%20STRAT\2025.02%20CRUP%20AVICENNE\03%20SUIVI%20FNANCIER\038%20MOE\OS" TargetMode="External"/><Relationship Id="rId426" Type="http://schemas.openxmlformats.org/officeDocument/2006/relationships/hyperlink" Target="file:///\\SRV-EPS-fai11.epsve.local\DPT\Services\SERVICE_DES_TRAVAUX\_NEW%20SERVEUR%20DPT\2000_PLAN%20TVX%20COURANT%20cl2-cl6\2025\130%20Suivi%20plan%20de%20travaux%202025\Classe%202\T2025009%20%20CUISINE%20THERAPEUTIQUE\0418%20cuisine%20drancy%20la%20source" TargetMode="External"/><Relationship Id="rId633" Type="http://schemas.openxmlformats.org/officeDocument/2006/relationships/hyperlink" Target="file:///\\SRV-EPS-fai11.epsve.local\DPT\Services\SERVICE_DES_TRAVAUX\_NEW%20SERVEUR%20DPT\2000_PLAN%20TVX%20COURANT%20cl2-cl6\2025\130%20Suivi%20plan%20de%20travaux%202025\Classe%202\T2025017%20Internat%20Stockage%20Dahl\0650%20%20Devis%20TBES%20Cam&#233;ras%20+%20salto" TargetMode="External"/><Relationship Id="rId980"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056" Type="http://schemas.openxmlformats.org/officeDocument/2006/relationships/hyperlink" Target="file:///\\SRV-EPS-fai11.epsve.local\DPT\Services\SERVICE_DES_TRAVAUX\_NEW%20SERVEUR%20DPT\2000_PLAN%20TVX%20COURANT%20cl2-cl6\2025\130%20Suivi%20plan%20de%20travaux%202025\Classe%202\op&#233;ration%20POLE%20SANTE\AVENIR%20DECONSTRUCTION\Phase3" TargetMode="External"/><Relationship Id="rId840" Type="http://schemas.openxmlformats.org/officeDocument/2006/relationships/hyperlink" Target="file:///\\SRV-EPS-fai11.epsve.local\DPT\Services\SERVICE_DES_TRAVAUX\_NEW%20SERVEUR%20DPT\2000_PLAN%20TVX%20COURANT%20cl2-cl6\2025\130%20Suivi%20plan%20de%20travaux%202025\Classe%206\303%20R-MERONI\LOT%2008%20-%20ABPSI%20-STORES\0860%20Bagnolet%20Hugo%204%20gds%20Stores%20CMP" TargetMode="External"/><Relationship Id="rId938" Type="http://schemas.openxmlformats.org/officeDocument/2006/relationships/hyperlink" Target="file:///\\SRV-EPS-fai11.epsve.local\DPT\Services\SERVICE_DES_TRAVAUX\_NEW%20SERVEUR%20DPT\2000_PLAN%20TVX%20COURANT%20cl2-cl6\2025\130%20Suivi%20plan%20de%20travaux%202025\Classe%202\op&#233;ration%20AMT\AC2P\958" TargetMode="External"/><Relationship Id="rId67"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272"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577" Type="http://schemas.openxmlformats.org/officeDocument/2006/relationships/hyperlink" Target="file:///\\SRV-EPS-fai11.epsve.local\DPT\Services\SERVICE_DES_TRAVAUX\_NEW%20SERVEUR%20DPT\1000_OPE%20TVX%20STRAT\2019.11%20POLE%20SANTE\04%20SUIVI%20TECHNIQUE\049%20CHANTIER\0495%20CHANTIER\Degazage%20du%20reseau" TargetMode="External"/><Relationship Id="rId700" Type="http://schemas.openxmlformats.org/officeDocument/2006/relationships/hyperlink" Target="file:///\\SRV-EPS-fai11.epsve.local\DPT\Services\SERVICE_DES_TRAVAUX\_NEW%20SERVEUR%20DPT\2000_PLAN%20TVX%20COURANT%20cl2-cl6\2025\130%20Suivi%20plan%20de%20travaux%202025\Classe%206\502%20A-CARPINTEIRO\MBC_LOT02%20AELB\0720" TargetMode="External"/><Relationship Id="rId132" Type="http://schemas.openxmlformats.org/officeDocument/2006/relationships/hyperlink" Target="file:///\\SRV-EPS-fai11.epsve.local\DPT\Services\SERVICE_DES_TRAVAUX\_NEW%20SERVEUR%20DPT\2000_PLAN%20TVX%20COURANT%20cl2-cl6\2025\130%20Suivi%20plan%20de%20travaux%202025\Classe%206\503%20P-EPIS\HM_\ATRP" TargetMode="External"/><Relationship Id="rId784" Type="http://schemas.openxmlformats.org/officeDocument/2006/relationships/hyperlink" Target="file:///\\SRV-EPS-fai11.epsve.local\DPT\Services\SERVICE_DES_TRAVAUX\_NEW%20SERVEUR%20DPT\2000_PLAN%20TVX%20COURANT%20cl2-cl6\2025\130%20Suivi%20plan%20de%20travaux%202025\Classe%206\302%20M-ALEVEQUE\H%20MARCHES%20%20HSSA" TargetMode="External"/><Relationship Id="rId991"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067" Type="http://schemas.openxmlformats.org/officeDocument/2006/relationships/hyperlink" Target="file:///\\SRV-EPS-fai11.epsve.local\DPT\Services\SERVICE_DES_TRAVAUX\_NEW%20SERVEUR%20DPT\2000_PLAN%20TVX%20COURANT%20cl2-cl6\2025\130%20Suivi%20plan%20de%20travaux%202025\Classe%206\301%20P-DOMERCQ\LOT%2006%20-%20COBAT%20-%20ETANCHEITE\1085" TargetMode="External"/><Relationship Id="rId437" Type="http://schemas.openxmlformats.org/officeDocument/2006/relationships/hyperlink" Target="file:///\\SRV-EPS-fai11.epsve.local\DPT\Services\SERVICE_DES_TRAVAUX\_NEW%20SERVEUR%20DPT\2000_PLAN%20TVX%20COURANT%20cl2-cl6\2025\130%20Suivi%20plan%20de%20travaux%202025\Classe%206\502%20A-CARPINTEIRO\MBC_LOT02%20AELB\0432" TargetMode="External"/><Relationship Id="rId644"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851"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68%20%20AUBER%20CB3" TargetMode="External"/><Relationship Id="rId283" Type="http://schemas.openxmlformats.org/officeDocument/2006/relationships/hyperlink" Target="file:///\\SRV-EPS-fai11.epsve.local\DPT\Services\SERVICE_DES_TRAVAUX\_NEW%20SERVEUR%20DPT\2000_PLAN%20TVX%20COURANT%20cl2-cl6\2025\130%20Suivi%20plan%20de%20travaux%202025\Classe%206\501%20E-MINGANT\CONT_190023_lot00_DALKIA\0290" TargetMode="External"/><Relationship Id="rId490"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510%20%20Montreuil%20Archipel%20Mac&#233;" TargetMode="External"/><Relationship Id="rId504" Type="http://schemas.openxmlformats.org/officeDocument/2006/relationships/hyperlink" Target="file:///\\SRV-EPS-fai11.epsve.local\DPT\Services\SERVICE_DES_TRAVAUX\_NEW%20SERVEUR%20DPT\2000_PLAN%20TVX%20COURANT%20cl2-cl6\2025\130%20Suivi%20plan%20de%20travaux%202025\Classe%206\501%20E-MINGANT\CONT_190023_lot00_DALKIA\0532" TargetMode="External"/><Relationship Id="rId711" Type="http://schemas.openxmlformats.org/officeDocument/2006/relationships/hyperlink" Target="file:///\\SRV-EPS-fai11.epsve.local\DPT\Services\SERVICE_DES_TRAVAUX\_NEW%20SERVEUR%20DPT\2000_PLAN%20TVX%20COURANT%20cl2-cl6\2025\130%20Suivi%20plan%20de%20travaux%202025\Classe%206\303%20R-MERONI\LOT%2002%20-%20ARTETLEBOIS%20-MENUISERIE\0732%20%20Amicale%20plinthes" TargetMode="External"/><Relationship Id="rId949" Type="http://schemas.openxmlformats.org/officeDocument/2006/relationships/hyperlink" Target="file:///\\SRV-EPS-fai11.epsve.local\DPT\Services\SERVICE_DES_TRAVAUX\_NEW%20SERVEUR%20DPT\2000_PLAN%20TVX%20COURANT%20cl2-cl6\2025\130%20Suivi%20plan%20de%20travaux%202025\Classe%206\501%20E-MINGANT\CONT_220026_lot01_SCHINDLER\0969" TargetMode="External"/><Relationship Id="rId78"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43" Type="http://schemas.openxmlformats.org/officeDocument/2006/relationships/hyperlink" Target="file:///\\SRV-EPS-fai11.epsve.local\DPT\Services\SERVICE_DES_TRAVAUX\_NEW%20SERVEUR%20DPT\2000_PLAN%20TVX%20COURANT%20cl2-cl6\2025\130%20Suivi%20plan%20de%20travaux%202025\Classe%206\502%20A-CARPINTEIRO\MBC_LOT02%20AELB\0148" TargetMode="External"/><Relationship Id="rId350" Type="http://schemas.openxmlformats.org/officeDocument/2006/relationships/hyperlink" Target="file:///\\SRV-EPS-fai11.epsve.local\DPT\Services\SERVICE_DES_TRAVAUX\_NEW%20SERVEUR%20DPT\2000_PLAN%20TVX%20COURANT%20cl2-cl6\2025\130%20Suivi%20plan%20de%20travaux%202025\Classe%206\302%20M-ALEVEQUE\LOT%2013%20-%20AC2P%20-%20CLOISONS%20FAUX%20PLAF\0359%20drh" TargetMode="External"/><Relationship Id="rId588"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95" Type="http://schemas.openxmlformats.org/officeDocument/2006/relationships/hyperlink" Target="file:///\\SRV-EPS-fai11.epsve.local\DPT\Services\SERVICE_DES_TRAVAUX\_NEW%20SERVEUR%20DPT\2000_PLAN%20TVX%20COURANT%20cl2-cl6\2025\130%20Suivi%20plan%20de%20travaux%202025\Classe%206\403%20S-GALOUL\813" TargetMode="External"/><Relationship Id="rId809" Type="http://schemas.openxmlformats.org/officeDocument/2006/relationships/hyperlink" Target="file:///\\SRV-EPS-fai11.epsve.local\DPT\Services\SERVICE_DES_TRAVAUX\_NEW%20SERVEUR%20DPT\2000_PLAN%20TVX%20COURANT%20cl2-cl6\2025\130%20Suivi%20plan%20de%20travaux%202025\Classe%206\302%20M-ALEVEQUE\LOT%2009%20-%20SNTPP%20-%20VRD\825%20gestion%20commune" TargetMode="External"/><Relationship Id="rId9" Type="http://schemas.openxmlformats.org/officeDocument/2006/relationships/hyperlink" Target="file:///\\SRV-EPS-fai11.epsve.local\DPT\Services\SERVICE_DES_TRAVAUX\_NEW%20SERVEUR%20DPT\2000_PLAN%20TVX%20COURANT%20cl2-cl6\2025\130%20Suivi%20plan%20de%20travaux%202025\Classe%206\301%20P-DOMERCQ\LOT%2002%20-%20ARTETLEBOIS%20-MENUISERIE" TargetMode="External"/><Relationship Id="rId210"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205%20dauphine" TargetMode="External"/><Relationship Id="rId448" Type="http://schemas.openxmlformats.org/officeDocument/2006/relationships/hyperlink" Target="file:///\\SRV-EPS-fai11.epsve.local\DPT\Services\SERVICE_DES_TRAVAUX\_NEW%20SERVEUR%20DPT\2000_PLAN%20TVX%20COURANT%20cl2-cl6\2025\130%20Suivi%20plan%20de%20travaux%202025\Classe%206\101%20C-DARRET\Ediflex%20P&#244;le%20Sant&#233;" TargetMode="External"/><Relationship Id="rId655"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677%20CEDRES" TargetMode="External"/><Relationship Id="rId862" Type="http://schemas.openxmlformats.org/officeDocument/2006/relationships/hyperlink" Target="file:///\\SRV-EPS-fai11.epsve.local\DPT\Services\SERVICE_DES_TRAVAUX\_NEW%20SERVEUR%20DPT\2000_PLAN%20TVX%20COURANT%20cl2-cl6\2025\130%20Suivi%20plan%20de%20travaux%202025\Classe%206\403%20S-GALOUL\882" TargetMode="External"/><Relationship Id="rId1078"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94" Type="http://schemas.openxmlformats.org/officeDocument/2006/relationships/hyperlink" Target="file:///\\SRV-EPS-fai11.epsve.local\DPT\Services\SERVICE_DES_TRAVAUX\_NEW%20SERVEUR%20DPT\2000_PLAN%20TVX%20COURANT%20cl2-cl6\2025\130%20Suivi%20plan%20de%20travaux%202025\Classe%206\302%20M-ALEVEQUE\LOT%2002%20-%20ARTETLEBOIS%20-MENUISERIE\0304%20DRH" TargetMode="External"/><Relationship Id="rId308" Type="http://schemas.openxmlformats.org/officeDocument/2006/relationships/hyperlink" Target="file:///\\SRV-EPS-fai11.epsve.local\DPT\Services\SERVICE_DES_TRAVAUX\_NEW%20SERVEUR%20DPT\2000_PLAN%20TVX%20COURANT%20cl2-cl6\2024\00%20plan%202024\010%20Suivi%20Plan%202024\CLasse%202\T2024029%20MAISON%20DES%20USAGERS\Devis%202025\318%20%20LPP" TargetMode="External"/><Relationship Id="rId515" Type="http://schemas.openxmlformats.org/officeDocument/2006/relationships/hyperlink" Target="file:///\\SRV-EPS-fai11.epsve.local\DPT\Services\SERVICE_DES_TRAVAUX\_NEW%20SERVEUR%20DPT\2000_PLAN%20TVX%20COURANT%20cl2-cl6\2025\130%20Suivi%20plan%20de%20travaux%202025\Classe%202\T2025003%20-%20Accessibilite\0501" TargetMode="External"/><Relationship Id="rId722" Type="http://schemas.openxmlformats.org/officeDocument/2006/relationships/hyperlink" Target="file:///\\SRV-EPS-fai11.epsve.local\DPT\Services\SERVICE_DES_TRAVAUX\_NEW%20SERVEUR%20DPT\2000_PLAN%20TVX%20COURANT%20cl2-cl6\2025\130%20Suivi%20plan%20de%20travaux%202025\Classe%206\503%20P-EPIS\MBC_LOT08%20ABPSI\0740" TargetMode="External"/><Relationship Id="rId89" Type="http://schemas.openxmlformats.org/officeDocument/2006/relationships/hyperlink" Target="file:///\\SRV-EPS-fai11.epsve.local\DPT\Services\SERVICE_DES_TRAVAUX\_NEW%20SERVEUR%20DPT\2000_PLAN%20TVX%20COURANT%20cl2-cl6\2025\130%20Suivi%20plan%20de%20travaux%202025\Classe%202\T2025005%20Appartement%20%20Unirre-Care\092%20Desamiantage" TargetMode="External"/><Relationship Id="rId154"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361" Type="http://schemas.openxmlformats.org/officeDocument/2006/relationships/hyperlink" Target="file:///\\SRV-EPS-fai11.epsve.local\DPT\Services\SERVICE_DES_TRAVAUX\_NEW%20SERVEUR%20DPT\2000_PLAN%20TVX%20COURANT%20cl2-cl6\2025\130%20Suivi%20plan%20de%20travaux%202025\Classe%206\302%20M-ALEVEQUE\LOT%2008%20-%20ABPSI%20-STORES\0371%20DAUPHINE" TargetMode="External"/><Relationship Id="rId599" Type="http://schemas.openxmlformats.org/officeDocument/2006/relationships/hyperlink" Target="file:///\\SRV-EPS-fai11.epsve.local\DPT\Services\SERVICE_DES_TRAVAUX\_NEW%20SERVEUR%20DPT\2000_PLAN%20TVX%20COURANT%20cl2-cl6\2025\130%20Suivi%20plan%20de%20travaux%202025\Classe%206\504%20D-PAQUIN\CONT_220025_lot07_GULDAGIL-GILCAM%20Traitements%20eau" TargetMode="External"/><Relationship Id="rId1005" Type="http://schemas.openxmlformats.org/officeDocument/2006/relationships/hyperlink" Target="file:///\\SRV-EPS-fai11.epsve.local\DPT\Services\SERVICE_DES_TRAVAUX\_NEW%20SERVEUR%20DPT\2000_PLAN%20TVX%20COURANT%20cl2-cl6\2025\130%20Suivi%20plan%20de%20travaux%202025\Classe%206\303%20R-MERONI\LOT%2005%20-%20BSMG%20-%20CVC\BONDY%20Chapelain\1021%20Bondy%20Ch%20217" TargetMode="External"/><Relationship Id="rId459" Type="http://schemas.openxmlformats.org/officeDocument/2006/relationships/hyperlink" Target="file:///\\SRV-EPS-fai11.epsve.local\DPT\Services\SERVICE_DES_TRAVAUX\_NEW%20SERVEUR%20DPT\2000_PLAN%20TVX%20COURANT%20cl2-cl6\2025\130%20Suivi%20plan%20de%20travaux%202025\Classe%202\T2025016%20Ch%20de%20Gardes\CB1" TargetMode="External"/><Relationship Id="rId666" Type="http://schemas.openxmlformats.org/officeDocument/2006/relationships/hyperlink" Target="file:///\\SRV-EPS-fai11.epsve.local\DPT\Services\SERVICE_DES_TRAVAUX\_NEW%20SERVEUR%20DPT\2000_PLAN%20TVX%20COURANT%20cl2-cl6\2025\130%20Suivi%20plan%20de%20travaux%202025\Classe%206\503%20P-EPIS\HM_\ATRP\D-0688%20%20St%20DENIS" TargetMode="External"/><Relationship Id="rId873" Type="http://schemas.openxmlformats.org/officeDocument/2006/relationships/hyperlink" Target="file:///\\SRV-EPS-fai11.epsve.local\DPT\Services\SERVICE_DES_TRAVAUX\_NEW%20SERVEUR%20DPT\2000_PLAN%20TVX%20COURANT%20cl2-cl6\2025\130%20Suivi%20plan%20de%20travaux%202025\Classe%206\303%20R-MERONI\LOT%2002%20-%20ARTETLEBOIS%20-MENUISERIE\0893%20Mielerie" TargetMode="External"/><Relationship Id="rId1089" Type="http://schemas.openxmlformats.org/officeDocument/2006/relationships/hyperlink" Target="file:///\\SRV-EPS-fai11.epsve.local\DPT\Services\SERVICE_DES_TRAVAUX\_NEW%20SERVEUR%20DPT\2000_PLAN%20TVX%20COURANT%20cl2-cl6\2025\130%20Suivi%20plan%20de%20travaux%202025\Classe%206\501%20E-MINGANT\CONT_190023_lot00_DALKIA\1107" TargetMode="External"/><Relationship Id="rId16" Type="http://schemas.openxmlformats.org/officeDocument/2006/relationships/hyperlink" Target="file:///\\SRV-EPS-fai11.epsve.local\DPT\Services\SERVICE_DES_TRAVAUX\_NEW%20SERVEUR%20DPT\2000_PLAN%20TVX%20COURANT%20cl2-cl6\2025\130%20Suivi%20plan%20de%20travaux%202025\Classe%206\301%20P-DOMERCQ\CMP" TargetMode="External"/><Relationship Id="rId221"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0226" TargetMode="External"/><Relationship Id="rId319"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526" Type="http://schemas.openxmlformats.org/officeDocument/2006/relationships/hyperlink" Target="file:///\\SRV-EPS-fai11.epsve.local\DPT\Services\SERVICE_DES_TRAVAUX\_NEW%20SERVEUR%20DPT\2000_PLAN%20TVX%20COURANT%20cl2-cl6\2025\130%20Suivi%20plan%20de%20travaux%202025\Classe%202\T2025005%20Appartement%20%20Unirre-Care\0544%20sanicotherm%20Coffrage%20SDB" TargetMode="External"/><Relationship Id="rId733" Type="http://schemas.openxmlformats.org/officeDocument/2006/relationships/hyperlink" Target="file:///\\SRV-EPS-fai11.epsve.local\DPT\Services\SERVICE_DES_TRAVAUX\_NEW%20SERVEUR%20DPT\2000_PLAN%20TVX%20COURANT%20cl2-cl6\2025\130%20Suivi%20plan%20de%20travaux%202025\Classe%206\502%20A-CARPINTEIRO\MBC_LOT02%20AELB\0751" TargetMode="External"/><Relationship Id="rId940" Type="http://schemas.openxmlformats.org/officeDocument/2006/relationships/hyperlink" Target="file:///\\SRV-EPS-fai11.epsve.local\DPT\Services\SERVICE_DES_TRAVAUX\_NEW%20SERVEUR%20DPT\2000_PLAN%20TVX%20COURANT%20cl2-cl6\2025\130%20Suivi%20plan%20de%20travaux%202025\Classe%206\403%20S-GALOUL\960" TargetMode="External"/><Relationship Id="rId1016" Type="http://schemas.openxmlformats.org/officeDocument/2006/relationships/hyperlink" Target="file:///\\SRV-EPS-fai11.epsve.local\DPT\Services\SERVICE_DES_TRAVAUX\_NEW%20SERVEUR%20DPT\2000_PLAN%20TVX%20COURANT%20cl2-cl6\2025\130%20Suivi%20plan%20de%20travaux%202025\Classe%206\403%20S-GALOUL\1036" TargetMode="External"/><Relationship Id="rId165" Type="http://schemas.openxmlformats.org/officeDocument/2006/relationships/hyperlink" Target="file:///\\SRV-EPS-fai11.epsve.local\DPT\Services\SERVICE_DES_TRAVAUX\_NEW%20SERVEUR%20DPT\2000_PLAN%20TVX%20COURANT%20cl2-cl6\2025\130%20Suivi%20plan%20de%20travaux%202025\Classe%206\501%20E-MINGANT\CONT_220023_lot04_CLIMATER%20clim\0168" TargetMode="External"/><Relationship Id="rId372" Type="http://schemas.openxmlformats.org/officeDocument/2006/relationships/hyperlink" Target="file:///\\SRV-EPS-fai11.epsve.local\DPT\Services\SERVICE_DES_TRAVAUX\_NEW%20SERVEUR%20DPT\2000_PLAN%20TVX%20COURANT%20cl2-cl6\2025\130%20Suivi%20plan%20de%20travaux%202025\Classe%206\302%20M-ALEVEQUE\LOT%2009%20-%20SNTPP%20-%20VRD\0834%20noisy%20glacis%20TS" TargetMode="External"/><Relationship Id="rId677" Type="http://schemas.openxmlformats.org/officeDocument/2006/relationships/hyperlink" Target="file:///\\SRV-EPS-fai11.epsve.local\DPT\Services\SERVICE_DES_TRAVAUX\_NEW%20SERVEUR%20DPT\2000_PLAN%20TVX%20COURANT%20cl2-cl6\2025\130%20Suivi%20plan%20de%20travaux%202025\Classe%202\op&#233;ration%20AMT\Veolia" TargetMode="External"/><Relationship Id="rId800"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20%20%20NSM%20%20barrieres%20sortie%20travaux%20voirie" TargetMode="External"/><Relationship Id="rId232"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237%20gascogne%20albatros" TargetMode="External"/><Relationship Id="rId884" Type="http://schemas.openxmlformats.org/officeDocument/2006/relationships/hyperlink" Target="file:///\\SRV-EPS-fai11.epsve.local\DPT\Services\SERVICE_DES_TRAVAUX\_NEW%20SERVEUR%20DPT\2000_PLAN%20TVX%20COURANT%20cl2-cl6\2025\130%20Suivi%20plan%20de%20travaux%202025\Classe%202\T2025029%20Cr&#233;ation%20Bx%20Mal%20BAGNOLET\0905%20TBES%20%20Eclairage" TargetMode="External"/><Relationship Id="rId27" Type="http://schemas.openxmlformats.org/officeDocument/2006/relationships/hyperlink" Target="file:///\\SRV-EPS-fai11.epsve.local\DPT\Services\SERVICE_DES_TRAVAUX\_NEW%20SERVEUR%20DPT\2000_PLAN%20TVX%20COURANT%20cl2-cl6\2025\130%20Suivi%20plan%20de%20travaux%202025\Classe%202\T2025007-%20Portes%20DAS%20CB2" TargetMode="External"/><Relationship Id="rId537"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555%20Boindy%20gallieni%20alim%20rideaux%20parking" TargetMode="External"/><Relationship Id="rId744" Type="http://schemas.openxmlformats.org/officeDocument/2006/relationships/hyperlink" Target="file:///\\SRV-EPS-fai11.epsve.local\DPT\Services\SERVICE_DES_TRAVAUX\_NEW%20SERVEUR%20DPT\2000_PLAN%20TVX%20COURANT%20cl2-cl6\2025\130%20Suivi%20plan%20de%20travaux%202025\Classe%202\T2025017%20Internat%20Stockage%20Dahl" TargetMode="External"/><Relationship Id="rId951" Type="http://schemas.openxmlformats.org/officeDocument/2006/relationships/hyperlink" Target="file:///\\SRV-EPS-fai11.epsve.local\DPT\Services\SERVICE_DES_TRAVAUX\_NEW%20SERVEUR%20DPT\2000_PLAN%20TVX%20COURANT%20cl2-cl6\2025\130%20Suivi%20plan%20de%20travaux%202025\Classe%206\302%20M-ALEVEQUE\LOT%2002%20-%20ARTETLEBOIS%20-MENUISERIE\943%20Rosny" TargetMode="External"/><Relationship Id="rId80"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176" Type="http://schemas.openxmlformats.org/officeDocument/2006/relationships/hyperlink" Target="file:///\\SRV-EPS-fai11.epsve.local\DPT\Services\SERVICE_DES_TRAVAUX\_NEW%20SERVEUR%20DPT\2000_PLAN%20TVX%20COURANT%20cl2-cl6\2025\130%20Suivi%20plan%20de%20travaux%202025\Classe%206\301%20P-DOMERCQ\LOT%2013%20-%20AC2P%20-%20CLOISONS%20FAUX%20PLAF\0179" TargetMode="External"/><Relationship Id="rId383" Type="http://schemas.openxmlformats.org/officeDocument/2006/relationships/hyperlink" Target="file:///\\SRV-EPS-fai11.epsve.local\DPT\Services\SERVICE_DES_TRAVAUX\_NEW%20SERVEUR%20DPT\2000_PLAN%20TVX%20COURANT%20cl2-cl6\2025\130%20Suivi%20plan%20de%20travaux%202025\Classe%206\501%20E-MINGANT\RESHA_APAVE\0387" TargetMode="External"/><Relationship Id="rId590"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604"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624%20%20Montreuil%20Jean%20Mac&#233;%20&#233;mile%20Beaufils" TargetMode="External"/><Relationship Id="rId811" Type="http://schemas.openxmlformats.org/officeDocument/2006/relationships/hyperlink" Target="file:///\\SRV-EPS-fai11.epsve.local\DPT\Services\SERVICE_DES_TRAVAUX\_NEW%20SERVEUR%20DPT\2000_PLAN%20TVX%20COURANT%20cl2-cl6\2025\130%20Suivi%20plan%20de%20travaux%202025\Classe%202\T2025014%20%20Ex%20IFSI%20DAHL\DEVIS\0830%20Cloison%20mobile%20AC2P" TargetMode="External"/><Relationship Id="rId102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43"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450"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464" TargetMode="External"/><Relationship Id="rId688" Type="http://schemas.openxmlformats.org/officeDocument/2006/relationships/hyperlink" Target="file:///\\SRV-EPS-fai11.epsve.local\DPT\Services\SERVICE_DES_TRAVAUX\_NEW%20SERVEUR%20DPT\2000_PLAN%20TVX%20COURANT%20cl2-cl6\2025\130%20Suivi%20plan%20de%20travaux%202025\Classe%206\501%20E-MINGANT\CONT_190023_lot00_DALKIA\0710" TargetMode="External"/><Relationship Id="rId895" Type="http://schemas.openxmlformats.org/officeDocument/2006/relationships/hyperlink" Target="file:///\\SRV-EPS-fai11.epsve.local\DPT\Services\SERVICE_DES_TRAVAUX\_NEW%20SERVEUR%20DPT\2000_PLAN%20TVX%20COURANT%20cl2-cl6\2025\130%20Suivi%20plan%20de%20travaux%202025\Classe%206\403%20S-GALOUL\916" TargetMode="External"/><Relationship Id="rId909"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932%20verdun" TargetMode="External"/><Relationship Id="rId1080"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8" Type="http://schemas.openxmlformats.org/officeDocument/2006/relationships/hyperlink" Target="file:///\\SRV-EPS-fai11.epsve.local\DPT\Services\SERVICE_DES_TRAVAUX\_NEW%20SERVEUR%20DPT\2000_PLAN%20TVX%20COURANT%20cl2-cl6\2024\00%20plan%202024\010%20Suivi%20Plan%202024\CLasse%202\T2024039%20renov%202024%2025%20%20CB2%20RDC%20ex%20G06\planchers%20chauffants%20cs%20et%202%20ci" TargetMode="External"/><Relationship Id="rId103" Type="http://schemas.openxmlformats.org/officeDocument/2006/relationships/hyperlink" Target="file:///\\SRV-EPS-fai11.epsve.local\DPT\Services\SERVICE_DES_TRAVAUX\_NEW%20SERVEUR%20DPT\2000_PLAN%20TVX%20COURANT%20cl2-cl6\2025\130%20Suivi%20plan%20de%20travaux%202025\Classe%202\T2025001%20-%20Montreuil%20boissi&#232;re" TargetMode="External"/><Relationship Id="rId310"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320" TargetMode="External"/><Relationship Id="rId548"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755" Type="http://schemas.openxmlformats.org/officeDocument/2006/relationships/hyperlink" Target="file:///\\SRV-EPS-fai11.epsve.local\DPT\Services\SERVICE_DES_TRAVAUX\_NEW%20SERVEUR%20DPT\2000_PLAN%20TVX%20COURANT%20cl2-cl6\2025\130%20Suivi%20plan%20de%20travaux%202025\Classe%202\T2025018%20appartement%20cours%20communs\Art%20et%20bois" TargetMode="External"/><Relationship Id="rId962" Type="http://schemas.openxmlformats.org/officeDocument/2006/relationships/hyperlink" Target="file:///\\SRV-EPS-fai11.epsve.local\DPT\Services\SERVICE_DES_TRAVAUX\_NEW%20SERVEUR%20DPT\2000_PLAN%20TVX%20COURANT%20cl2-cl6\2025\130%20Suivi%20plan%20de%20travaux%202025\Classe%206\301%20P-DOMERCQ\LOT%2005%20-%20BSMG%20-%20CVC\0980" TargetMode="External"/><Relationship Id="rId91" Type="http://schemas.openxmlformats.org/officeDocument/2006/relationships/hyperlink" Target="file:///\\SRV-EPS-fai11.epsve.local\DPT\Services\SERVICE_DES_TRAVAUX\_NEW%20SERVEUR%20DPT\2000_PLAN%20TVX%20COURANT%20cl2-cl6\2025\130%20Suivi%20plan%20de%20travaux%202025\Classe%206\501%20E-MINGANT\CONT_220023_lot04_CLIMATER%20clim\0095" TargetMode="External"/><Relationship Id="rId187" Type="http://schemas.openxmlformats.org/officeDocument/2006/relationships/hyperlink" Target="file:///\\SRV-EPS-fai11.epsve.local\DPT\Services\SERVICE_DES_TRAVAUX\_NEW%20SERVEUR%20DPT\2000_PLAN%20TVX%20COURANT%20cl2-cl6\2025\130%20Suivi%20plan%20de%20travaux%202025\Classe%206\501%20E-MINGANT\CONT_220026_lot01_SCHINDLER\0190" TargetMode="External"/><Relationship Id="rId394" Type="http://schemas.openxmlformats.org/officeDocument/2006/relationships/hyperlink" Target="file:///\\SRV-EPS-fai11.epsve.local\DPT\Services\SERVICE_DES_TRAVAUX\_NEW%20SERVEUR%20DPT\2000_PLAN%20TVX%20COURANT%20cl2-cl6\2025\130%20Suivi%20plan%20de%20travaux%202025\Classe%206\503%20P-EPIS\HM_\ATRP\0406%20%20AUBER.%20CB1%20G05%20%20PTI%20N&#176;85005" TargetMode="External"/><Relationship Id="rId408" Type="http://schemas.openxmlformats.org/officeDocument/2006/relationships/hyperlink" Target="file:///\\SRV-EPS-fai11.epsve.local\DPT\Services\SERVICE_DES_TRAVAUX\_NEW%20SERVEUR%20DPT\2000_PLAN%20TVX%20COURANT%20cl2-cl6\2025\130%20Suivi%20plan%20de%20travaux%202025\Classe%206\504%20D-PAQUIN\MBC_LOT09%20SNTPP\0420" TargetMode="External"/><Relationship Id="rId615" Type="http://schemas.openxmlformats.org/officeDocument/2006/relationships/hyperlink" Target="file:///\\SRV-EPS-fai11.epsve.local\DPT\Services\SERVICE_DES_TRAVAUX\_NEW%20SERVEUR%20DPT\2000_PLAN%20TVX%20COURANT%20cl2-cl6\2025\130%20Suivi%20plan%20de%20travaux%202025\Classe%202\T2025017%20Internat%20Stockage%20Dahl\0595%20BSMG%203%20eme%20Box" TargetMode="External"/><Relationship Id="rId822" Type="http://schemas.openxmlformats.org/officeDocument/2006/relationships/hyperlink" Target="file:///\\SRV-EPS-fai11.epsve.local\DPT\Services\SERVICE_DES_TRAVAUX\_NEW%20SERVEUR%20DPT\2000_PLAN%20TVX%20COURANT%20cl2-cl6\2025\130%20Suivi%20plan%20de%20travaux%202025\Classe%206\301%20P-DOMERCQ\LOT%2005%20-%20BSMG%20-%20CVC\0840" TargetMode="External"/><Relationship Id="rId1038" Type="http://schemas.openxmlformats.org/officeDocument/2006/relationships/hyperlink" Target="file:///\\SRV-EPS-fai11.epsve.local\DPT\Services\SERVICE_DES_TRAVAUX\_NEW%20SERVEUR%20DPT\2000_PLAN%20TVX%20COURANT%20cl2-cl6\2025\130%20Suivi%20plan%20de%20travaux%202025\Classe%206\303%20R-MERONI\AC%20ENVIRONNEMENT\1055%20%20Audiences%20Foraine%20Bureau%20Suppl&#233;mentaire%20Ch&#226;teau" TargetMode="External"/><Relationship Id="rId254"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699" Type="http://schemas.openxmlformats.org/officeDocument/2006/relationships/hyperlink" Target="file:///\\SRV-EPS-fai11.epsve.local\DPT\Services\SERVICE_DES_TRAVAUX\_NEW%20SERVEUR%20DPT\2000_PLAN%20TVX%20COURANT%20cl2-cl6\2025\130%20Suivi%20plan%20de%20travaux%202025\Classe%206\303%20R-MERONI\LOT%2002%20-%20ARTETLEBOIS%20-MENUISERIE\718%20Mas%20SPM-D&#233;cochoc%2011%20portes%20circulation" TargetMode="External"/><Relationship Id="rId1091" Type="http://schemas.openxmlformats.org/officeDocument/2006/relationships/hyperlink" Target="file:///\\SRV-EPS-fai11.epsve.local\DPT\Services\SERVICE_DES_TRAVAUX\_NEW%20SERVEUR%20DPT\2000_PLAN%20TVX%20COURANT%20cl2-cl6\2025\130%20Suivi%20plan%20de%20travaux%202025\Classe%206\403%20S-GALOUL\1109" TargetMode="External"/><Relationship Id="rId1105" Type="http://schemas.openxmlformats.org/officeDocument/2006/relationships/hyperlink" Target="file:///\\SRV-EPS-fai11.epsve.local\DPT\Services\SERVICE_DES_TRAVAUX\_NEW%20SERVEUR%20DPT\2000_PLAN%20TVX%20COURANT%20cl2-cl6\2025\130%20Suivi%20plan%20de%20travaux%202025\Classe%202\T2025017%20Internat%20Stockage%20Dahl\0475%20AEB" TargetMode="External"/><Relationship Id="rId49"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14"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118%20CLOS%20%202%20RJ" TargetMode="External"/><Relationship Id="rId461" Type="http://schemas.openxmlformats.org/officeDocument/2006/relationships/hyperlink" Target="file:///\\SRV-EPS-fai11.epsve.local\DPT\Services\SERVICE_DES_TRAVAUX\_NEW%20SERVEUR%20DPT\2000_PLAN%20TVX%20COURANT%20cl2-cl6\2025\130%20Suivi%20plan%20de%20travaux%202025\Classe%206\303%20R-MERONI\LOT%2001%20-%20SANICOTHERM%20-%20MACONNERIE\0476%20Bac%20Potager%20MONTREUIL" TargetMode="External"/><Relationship Id="rId559" Type="http://schemas.openxmlformats.org/officeDocument/2006/relationships/hyperlink" Target="file:///\\SRV-EPS-fai11.epsve.local\DPT\Services\SERVICE_DES_TRAVAUX\_NEW%20SERVEUR%20DPT\2000_PLAN%20TVX%20COURANT%20cl2-cl6\2025\130%20Suivi%20plan%20de%20travaux%202025\Classe%206\303%20R-MERONI\LOT%2001%20-%20SANICOTHERM%20-%20MACONNERIE\0577%20Parement%20P&#233;rinatalit&#233;" TargetMode="External"/><Relationship Id="rId766" Type="http://schemas.openxmlformats.org/officeDocument/2006/relationships/hyperlink" Target="file:///\\SRV-EPS-fai11.epsve.local\DPT\Services\SERVICE_DES_TRAVAUX\_NEW%20SERVEUR%20DPT\2000_PLAN%20TVX%20COURANT%20cl2-cl6\2025\130%20Suivi%20plan%20de%20travaux%202025\Classe%202\T2025018-1%20appartement%20cours%20communs%20clos%20couvert" TargetMode="External"/><Relationship Id="rId198" Type="http://schemas.openxmlformats.org/officeDocument/2006/relationships/hyperlink" Target="file:///\\SRV-EPS-fai11.epsve.local\DPT\Services\SERVICE_DES_TRAVAUX\_NEW%20SERVEUR%20DPT\2000_PLAN%20TVX%20COURANT%20cl2-cl6\2025\130%20Suivi%20plan%20de%20travaux%202025\Classe%206\302%20M-ALEVEQUE\CREOBOIS" TargetMode="External"/><Relationship Id="rId321"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419" Type="http://schemas.openxmlformats.org/officeDocument/2006/relationships/hyperlink" Target="file:///\\SRV-EPS-fai11.epsve.local\DPT\Services\SERVICE_DES_TRAVAUX\_NEW%20SERVEUR%20DPT\2000_PLAN%20TVX%20COURANT%20cl2-cl6\2025\130%20Suivi%20plan%20de%20travaux%202025\Classe%206\503%20P-EPIS\HM_\ATRP\0434%20%20AUBER.%20CB2%20Ex-G06%20%20PTI%20N&#176;86005" TargetMode="External"/><Relationship Id="rId626" Type="http://schemas.openxmlformats.org/officeDocument/2006/relationships/hyperlink" Target="file:///\\SRV-EPS-fai11.epsve.local\DPT\Services\SERVICE_DES_TRAVAUX\_NEW%20SERVEUR%20DPT\2000_PLAN%20TVX%20COURANT%20cl2-cl6\2025\130%20Suivi%20plan%20de%20travaux%202025\Classe%206\301%20P-DOMERCQ\LOT%2008%20-%20ABPSI%20-STORES\0644" TargetMode="External"/><Relationship Id="rId973" Type="http://schemas.openxmlformats.org/officeDocument/2006/relationships/hyperlink" Target="file:///\\SRV-EPS-fai11.epsve.local\DPT\Services\SERVICE_DES_TRAVAUX\_NEW%20SERVEUR%20DPT\2000_PLAN%20TVX%20COURANT%20cl2-cl6\2025\130%20Suivi%20plan%20de%20travaux%202025\Classe%206\403%20S-GALOUL\1011" TargetMode="External"/><Relationship Id="rId1049" Type="http://schemas.openxmlformats.org/officeDocument/2006/relationships/hyperlink" Target="file:///\\SRV-EPS-fai11.epsve.local\DPT\Services\SERVICE_DES_TRAVAUX\_NEW%20SERVEUR%20DPT\2000_PLAN%20TVX%20COURANT%20cl2-cl6\2025\130%20Suivi%20plan%20de%20travaux%202025\Classe%206\504%20D-PAQUIN\MBC_LOT09%20SNTPP" TargetMode="External"/><Relationship Id="rId833" Type="http://schemas.openxmlformats.org/officeDocument/2006/relationships/hyperlink" Target="file:///\\SRV-EPS-fai11.epsve.local\DPT\Services\SERVICE_DES_TRAVAUX\_NEW%20SERVEUR%20DPT\2000_PLAN%20TVX%20COURANT%20cl2-cl6\2025\130%20Suivi%20plan%20de%20travaux%202025\Classe%202\T2023035%20-%20ACACIAS\LPP2025" TargetMode="External"/><Relationship Id="rId265" Type="http://schemas.openxmlformats.org/officeDocument/2006/relationships/hyperlink" Target="file:///\\SRV-EPS-fai11.epsve.local\DPT\Services\SERVICE_DES_TRAVAUX\_NEW%20SERVEUR%20DPT\2000_PLAN%20TVX%20COURANT%20cl2-cl6\2025\130%20Suivi%20plan%20de%20travaux%202025\Classe%206\504%20D-PAQUIN\MBC_LOT11%20SEA" TargetMode="External"/><Relationship Id="rId472" Type="http://schemas.openxmlformats.org/officeDocument/2006/relationships/hyperlink" Target="file:///L:\Services\SERVICE_DES_TRAVAUX\_NEW%20SERVEUR%20DPT\2000_PLAN%20TVX%20COURANT%20cl2-cl6\2025\130%20Suivi%20plan%20de%20travaux%202025\Classe%206\503%20P-EPIS\CONT_220024_lot08_VULCAIN%20Barriere-Porte%20Auto\D-0491%20%20AUBER%20Charles%20TILLON%20%20r&#233;gule%20inetrevention%2014-05-25" TargetMode="External"/><Relationship Id="rId900"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921" TargetMode="External"/><Relationship Id="rId12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32"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777" Type="http://schemas.openxmlformats.org/officeDocument/2006/relationships/hyperlink" Target="file:///\\SRV-EPS-fai11.epsve.local\DPT\Services\SERVICE_DES_TRAVAUX\_NEW%20SERVEUR%20DPT\2000_PLAN%20TVX%20COURANT%20cl2-cl6\2025\130%20Suivi%20plan%20de%20travaux%202025\Classe%202\T2025003%20-%20Accessibilite\Bondy%20SDB%20G11" TargetMode="External"/><Relationship Id="rId984"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637" Type="http://schemas.openxmlformats.org/officeDocument/2006/relationships/hyperlink" Target="file:///\\SRV-EPS-fai11.epsve.local\DPT\Services\SERVICE_DES_TRAVAUX\_NEW%20SERVEUR%20DPT\2000_PLAN%20TVX%20COURANT%20cl2-cl6\2025\130%20Suivi%20plan%20de%20travaux%202025\Classe%206\302%20M-ALEVEQUE\LOT%2013%20-%20AC2P%20-%20CLOISONS%20FAUX%20PLAF\0660tamaris" TargetMode="External"/><Relationship Id="rId844" Type="http://schemas.openxmlformats.org/officeDocument/2006/relationships/hyperlink" Target="file:///\\SRV-EPS-fai11.epsve.local\DPT\Services\SERVICE_DES_TRAVAUX\_NEW%20SERVEUR%20DPT\2000_PLAN%20TVX%20COURANT%20cl2-cl6\2025\130%20Suivi%20plan%20de%20travaux%202025\Classe%206\403%20S-GALOUL\864" TargetMode="External"/><Relationship Id="rId276" Type="http://schemas.openxmlformats.org/officeDocument/2006/relationships/hyperlink" Target="file:///\\SRV-EPS-fai11.epsve.local\DPT\Services\SERVICE_DES_TRAVAUX\_NEW%20SERVEUR%20DPT\2000_PLAN%20TVX%20COURANT%20cl2-cl6\2025\130%20Suivi%20plan%20de%20travaux%202025\Classe%202\T2025009%20cuisine%20therapeutique\0271%20cuisine%20suresnes" TargetMode="External"/><Relationship Id="rId483"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690" Type="http://schemas.openxmlformats.org/officeDocument/2006/relationships/hyperlink" Target="file:///\\SRV-EPS-fai11.epsve.local\DPT\Services\SERVICE_DES_TRAVAUX\_NEW%20SERVEUR%20DPT\2000_PLAN%20TVX%20COURANT%20cl2-cl6\2025\130%20Suivi%20plan%20de%20travaux%202025\Classe%206\503%20P-EPIS\MBC_LOT08%20ABPSI\0712" TargetMode="External"/><Relationship Id="rId704"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0722" TargetMode="External"/><Relationship Id="rId911"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934%20champagne" TargetMode="External"/><Relationship Id="rId40" Type="http://schemas.openxmlformats.org/officeDocument/2006/relationships/hyperlink" Target="file:///\\SRV-EPS-fai11.epsve.local\DPT\Services\SERVICE_DES_TRAVAUX\_NEW%20SERVEUR%20DPT\2000_PLAN%20TVX%20COURANT%20cl2-cl6\2024\00%20plan%202024\010%20Suivi%20Plan%202024\CLasse%202\T2024015%20BUREAUX%20POLE%20TECHNIQUE\AMENAGEMENT%20DES%20LOCAUX%20DU%20POLE%20TECHNIQUE\DEVIS" TargetMode="External"/><Relationship Id="rId136"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43"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354%20rep&#233;rage%20RJ%20et%20baie%20%20Montreuil%20Beaufils" TargetMode="External"/><Relationship Id="rId550" Type="http://schemas.openxmlformats.org/officeDocument/2006/relationships/hyperlink" Target="file:///\\SRV-EPS-fai11.epsve.local\DPT\Services\SERVICE_DES_TRAVAUX\_NEW%20SERVEUR%20DPT\2000_PLAN%20TVX%20COURANT%20cl2-cl6\2025\130%20Suivi%20plan%20de%20travaux%202025\Classe%202\T2025007-%20Portes%20DAS%20CB2\0565" TargetMode="External"/><Relationship Id="rId788" Type="http://schemas.openxmlformats.org/officeDocument/2006/relationships/hyperlink" Target="file:///\\SRV-EPS-fai11.epsve.local\DPT\Services\SERVICE_DES_TRAVAUX\_NEW%20SERVEUR%20DPT\2000_PLAN%20TVX%20COURANT%20cl2-cl6\2025\130%20Suivi%20plan%20de%20travaux%202025\Classe%206\403%20S-GALOUL\807" TargetMode="External"/><Relationship Id="rId99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03" Type="http://schemas.openxmlformats.org/officeDocument/2006/relationships/hyperlink" Target="file:///\\SRV-EPS-fai11.epsve.local\DPT\Services\SERVICE_DES_TRAVAUX\_NEW%20SERVEUR%20DPT\2000_PLAN%20TVX%20COURANT%20cl2-cl6\2025\130%20Suivi%20plan%20de%20travaux%202025\Classe%206\503%20P-EPIS\HM_\ATRP" TargetMode="External"/><Relationship Id="rId648"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85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72%20%20NSM%20Transp" TargetMode="External"/><Relationship Id="rId1040" Type="http://schemas.openxmlformats.org/officeDocument/2006/relationships/hyperlink" Target="file:///\\SRV-EPS-fai11.epsve.local\DPT\Services\SERVICE_DES_TRAVAUX\_NEW%20SERVEUR%20DPT\2000_PLAN%20TVX%20COURANT%20cl2-cl6\2025\130%20Suivi%20plan%20de%20travaux%202025\Classe%206\301%20P-DOMERCQ\LOT%2002%20-%20ARTETLEBOIS%20-MENUISERIE\1057" TargetMode="External"/><Relationship Id="rId287"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294%20Dauphine%20couloir" TargetMode="External"/><Relationship Id="rId410" Type="http://schemas.openxmlformats.org/officeDocument/2006/relationships/hyperlink" Target="file:///\\SRV-EPS-fai11.epsve.local\DPT\Services\SERVICE_DES_TRAVAUX\_NEW%20SERVEUR%20DPT\2000_PLAN%20TVX%20COURANT%20cl2-cl6\2025\130%20Suivi%20plan%20de%20travaux%202025\Classe%206\501%20E-MINGANT\CONT_220026_lot01_SCHINDLER\0421" TargetMode="External"/><Relationship Id="rId494" Type="http://schemas.openxmlformats.org/officeDocument/2006/relationships/hyperlink" Target="file:///\\SRV-EPS-fai11.epsve.local\DPT\Services\SERVICE_DES_TRAVAUX\_NEW%20SERVEUR%20DPT\2000_PLAN%20TVX%20COURANT%20cl2-cl6\2025\130%20Suivi%20plan%20de%20travaux%202025\Classe%206\502%20A-CARPINTEIRO\MBC_LOT09%20SNTPP\0515" TargetMode="External"/><Relationship Id="rId508" Type="http://schemas.openxmlformats.org/officeDocument/2006/relationships/hyperlink" Target="file:///\\SRV-EPS-fai11.epsve.local\DPT\Services\SERVICE_DES_TRAVAUX\_NEW%20SERVEUR%20DPT\2000_PLAN%20TVX%20COURANT%20cl2-cl6\2025\130%20Suivi%20plan%20de%20travaux%202025\Classe%202\T2025016%20Ch%20de%20Gardes\Montreuil%20Boissiere\0480%20LPP%20Ch%20Garde%20Montreuil" TargetMode="External"/><Relationship Id="rId715" Type="http://schemas.openxmlformats.org/officeDocument/2006/relationships/hyperlink" Target="file:///\\SRV-EPS-fai11.epsve.local\DPT\Services\SERVICE_DES_TRAVAUX\_NEW%20SERVEUR%20DPT\2000_PLAN%20TVX%20COURANT%20cl2-cl6\2025\130%20Suivi%20plan%20de%20travaux%202025\Classe%206\504%20D-PAQUIN\CONT_220025_lot07_GULDAGIL-GILCAM%20Traitements%20eau" TargetMode="External"/><Relationship Id="rId922" Type="http://schemas.openxmlformats.org/officeDocument/2006/relationships/hyperlink" Target="file:///\\SRV-EPS-fai11.epsve.local\DPT\Services\SERVICE_DES_TRAVAUX\_NEW%20SERVEUR%20DPT\2000_PLAN%20TVX%20COURANT%20cl2-cl6\2025\130%20Suivi%20plan%20de%20travaux%202025\Classe%202\T2025029%20Cr&#233;ation%20Bx%20Mal%20BAGNOLET\0930%20%20AC2P%20Porte" TargetMode="External"/><Relationship Id="rId147" Type="http://schemas.openxmlformats.org/officeDocument/2006/relationships/hyperlink" Target="file:///\\SRV-EPS-fai11.epsve.local\DPT\Services\SERVICE_DES_TRAVAUX\_NEW%20SERVEUR%20DPT\2000_PLAN%20TVX%20COURANT%20cl2-cl6\2025\130%20Suivi%20plan%20de%20travaux%202025\Classe%206\301%20P-DOMERCQ\LOT%2011%20-%20SEA%20-%20CURAGE%20RESEAUX\0152" TargetMode="External"/><Relationship Id="rId354"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364" TargetMode="External"/><Relationship Id="rId799" Type="http://schemas.openxmlformats.org/officeDocument/2006/relationships/hyperlink" Target="file:///\\SRV-EPS-fai11.epsve.local\DPT\Services\SERVICE_DES_TRAVAUX\_NEW%20SERVEUR%20DPT\2000_PLAN%20TVX%20COURANT%20cl2-cl6\2025\130%20Suivi%20plan%20de%20travaux%202025\Classe%206\403%20S-GALOUL\819" TargetMode="External"/><Relationship Id="rId51" Type="http://schemas.openxmlformats.org/officeDocument/2006/relationships/hyperlink" Target="file:///\\SRV-EPS-fai11.epsve.local\DPT\Services\SERVICE_DES_TRAVAUX\_NEW%20SERVEUR%20DPT\2000_PLAN%20TVX%20COURANT%20cl2-cl6\2025\130%20Suivi%20plan%20de%20travaux%202025\Classe%206\102%20JC-HONART\Siemens%20GTC\Upgrade%20GTC" TargetMode="External"/><Relationship Id="rId561"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659"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681%20barrieres%20IFSI" TargetMode="External"/><Relationship Id="rId866" Type="http://schemas.openxmlformats.org/officeDocument/2006/relationships/hyperlink" Target="file:///\\SRV-EPS-fai11.epsve.local\DPT\Services\SERVICE_DES_TRAVAUX\_NEW%20SERVEUR%20DPT\2000_PLAN%20TVX%20COURANT%20cl2-cl6\2025\130%20Suivi%20plan%20de%20travaux%202025\Classe%206\403%20S-GALOUL\885" TargetMode="External"/><Relationship Id="rId214"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219%20bureau" TargetMode="External"/><Relationship Id="rId298"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0308" TargetMode="External"/><Relationship Id="rId421"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435%20Peinture%20escalier%20Direction%20+%20velux" TargetMode="External"/><Relationship Id="rId519" Type="http://schemas.openxmlformats.org/officeDocument/2006/relationships/hyperlink" Target="file:///\\SRV-EPS-fai11.epsve.local\DPT\Services\SERVICE_DES_TRAVAUX\_NEW%20SERVEUR%20DPT\2000_PLAN%20TVX%20COURANT%20cl2-cl6\2024\00%20plan%202024\010%20Suivi%20Plan%202024\CLasse%202\T2024034%20R&#233;novation%20appartements%20GAGNY\LOT%2002%20-%20ART%20ET%20LE%20BOIS%20-MENUISERIE\538" TargetMode="External"/><Relationship Id="rId1051"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58"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726" Type="http://schemas.openxmlformats.org/officeDocument/2006/relationships/hyperlink" Target="file:///\\SRV-EPS-fai11.epsve.local\DPT\Services\SERVICE_DES_TRAVAUX\_NEW%20SERVEUR%20DPT\2000_PLAN%20TVX%20COURANT%20cl2-cl6\2025\130%20Suivi%20plan%20de%20travaux%202025\Classe%206\502%20A-CARPINTEIRO\MBC_LOT08%20ABPSI\0744" TargetMode="External"/><Relationship Id="rId933"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954" TargetMode="External"/><Relationship Id="rId1009"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1025%20orion" TargetMode="External"/><Relationship Id="rId62"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 TargetMode="External"/><Relationship Id="rId365" Type="http://schemas.openxmlformats.org/officeDocument/2006/relationships/hyperlink" Target="file:///\\SRV-EPS-fai11.epsve.local\DPT\Services\SERVICE_DES_TRAVAUX\_NEW%20SERVEUR%20DPT\2000_PLAN%20TVX%20COURANT%20cl2-cl6\2025\130%20Suivi%20plan%20de%20travaux%202025\Classe%206\501%20E-MINGANT\CONT_190023_lot00_DALKIA\0378" TargetMode="External"/><Relationship Id="rId572" Type="http://schemas.openxmlformats.org/officeDocument/2006/relationships/hyperlink" Target="file:///\\SRV-EPS-fai11.epsve.local\DPT\Services\SERVICE_DES_TRAVAUX\_NEW%20SERVEUR%20DPT\2000_PLAN%20TVX%20COURANT%20cl2-cl6\2025\130%20Suivi%20plan%20de%20travaux%202025\Classe%206\303%20R-MERONI\LOT%2008%20-%20ABPSI%20-STORES\0591%20%20Montreuil%202%20e%20etge%20%20Films%20Thermiques" TargetMode="External"/><Relationship Id="rId225" Type="http://schemas.openxmlformats.org/officeDocument/2006/relationships/hyperlink" Target="file:///\\SRV-EPS-fai11.epsve.local\DPT\Services\SERVICE_DES_TRAVAUX\_NEW%20SERVEUR%20DPT\2000_PLAN%20TVX%20COURANT%20cl2-cl6\2025\130%20Suivi%20plan%20de%20travaux%202025\Classe%206\501%20E-MINGANT\CONT_190023_lot00_DALKIA\0230" TargetMode="External"/><Relationship Id="rId432" Type="http://schemas.openxmlformats.org/officeDocument/2006/relationships/hyperlink" Target="file:///\\SRV-EPS-fai11.epsve.local\DPT\Services\SERVICE_DES_TRAVAUX\_NEW%20SERVEUR%20DPT\2000_PLAN%20TVX%20COURANT%20cl2-cl6\2025\130%20Suivi%20plan%20de%20travaux%202025\Classe%206\503%20P-EPIS\HM_\ATRP\0449%20%20BONDY%20Remplacement%20a71N&#176;31%20ASH%20%20irr&#233;parrable%20par%20%20PTI%20a72" TargetMode="External"/><Relationship Id="rId877"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897" TargetMode="External"/><Relationship Id="rId1062" Type="http://schemas.openxmlformats.org/officeDocument/2006/relationships/hyperlink" Target="file:///\\SRV-EPS-fai11.epsve.local\DPT\Services\SERVICE_DES_TRAVAUX\_NEW%20SERVEUR%20DPT\2000_PLAN%20TVX%20COURANT%20cl2-cl6\2025\130%20Suivi%20plan%20de%20travaux%202025\Classe%206\501%20E-MINGANT\CONT_190023_lot00_DALKIA\1080" TargetMode="External"/><Relationship Id="rId737"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756" TargetMode="External"/><Relationship Id="rId944" Type="http://schemas.openxmlformats.org/officeDocument/2006/relationships/hyperlink" Target="file:///\\SRV-EPS-fai11.epsve.local\DPT\Services\SERVICE_DES_TRAVAUX\_NEW%20SERVEUR%20DPT\2000_PLAN%20TVX%20COURANT%20cl2-cl6\2025\130%20Suivi%20plan%20de%20travaux%202025\Classe%202\T2025014%20%20Ex%20IFSI%20DAHL\DEVIS\0963%20%20Digicode" TargetMode="External"/><Relationship Id="rId73" Type="http://schemas.openxmlformats.org/officeDocument/2006/relationships/hyperlink" Target="file:///\\SRV-EPS-fai11.epsve.local\DPT\Services\SERVICE_DES_TRAVAUX\_NEW%20SERVEUR%20DPT\2000_PLAN%20TVX%20COURANT%20cl2-cl6\2025\130%20Suivi%20plan%20de%20travaux%202025\Classe%206\302%20M-ALEVEQUE\LOT%2013%20-%20AC2P%20-%20CLOISONS%20FAUX%20PLAF\083%20albatros%20gascogne" TargetMode="External"/><Relationship Id="rId169" Type="http://schemas.openxmlformats.org/officeDocument/2006/relationships/hyperlink" Target="file:///\\SRV-EPS-fai11.epsve.local\DPT\Services\SERVICE_DES_TRAVAUX\_NEW%20SERVEUR%20DPT\2000_PLAN%20TVX%20COURANT%20cl2-cl6\2025\130%20Suivi%20plan%20de%20travaux%202025\Classe%206\501%20E-MINGANT\CONT_220022_lot03_UTB_Insta%20thermiques\0172" TargetMode="External"/><Relationship Id="rId376"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583" Type="http://schemas.openxmlformats.org/officeDocument/2006/relationships/hyperlink" Target="file:///\\SRV-EPS-fai11.epsve.local\DPT\Services\SERVICE_DES_TRAVAUX\_NEW%20SERVEUR%20DPT\2000_PLAN%20TVX%20COURANT%20cl2-cl6\2025\130%20Suivi%20plan%20de%20travaux%202025\Classe%206\504%20D-PAQUIN\MBC_LOT09%20SNTPP" TargetMode="External"/><Relationship Id="rId790"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808" TargetMode="External"/><Relationship Id="rId804"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 TargetMode="External"/><Relationship Id="rId236" Type="http://schemas.openxmlformats.org/officeDocument/2006/relationships/hyperlink" Target="file:///\\SRV-EPS-fai11.epsve.local\DPT\Services\SERVICE_DES_TRAVAUX\_NEW%20SERVEUR%20DPT\2000_PLAN%20TVX%20COURANT%20cl2-cl6\2024\00%20plan%202024\010%20Suivi%20Plan%202024\CLasse%202\T2024034%20R&#233;novation%20appartements%20GAGNY\LOT%2013%20-%20AC2P%20-%20CLOISONS%20FAUX%20PLAF\243" TargetMode="External"/><Relationship Id="rId443"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457%20CMP%20neuilly%20sur%20marne" TargetMode="External"/><Relationship Id="rId650"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672%20St%20Denis" TargetMode="External"/><Relationship Id="rId888" Type="http://schemas.openxmlformats.org/officeDocument/2006/relationships/hyperlink" Target="file:///\\SRV-EPS-fai11.epsve.local\DPT\Services\SERVICE_DES_TRAVAUX\_NEW%20SERVEUR%20DPT\2000_PLAN%20TVX%20COURANT%20cl2-cl6\2025\130%20Suivi%20plan%20de%20travaux%202025\Classe%206\303%20R-MERONI\LOT%2009%20-%20SNTPP%20-%20VRD\909%20regard%20piezom&#233;trique" TargetMode="External"/><Relationship Id="rId1073" Type="http://schemas.openxmlformats.org/officeDocument/2006/relationships/hyperlink" Target="file:///\\SRV-EPS-fai11.epsve.local\DPT\Services\SERVICE_DES_TRAVAUX\_NEW%20SERVEUR%20DPT\2000_PLAN%20TVX%20COURANT%20cl2-cl6\2025\130%20Suivi%20plan%20de%20travaux%202025\Classe%206\102%20JC-HONART\Belbeoch" TargetMode="External"/><Relationship Id="rId303" Type="http://schemas.openxmlformats.org/officeDocument/2006/relationships/hyperlink" Target="file:///\\SRV-EPS-fai11.epsve.local\DPT\Services\SERVICE_DES_TRAVAUX\_NEW%20SERVEUR%20DPT\2000_PLAN%20TVX%20COURANT%20cl2-cl6\2025\130%20Suivi%20plan%20de%20travaux%202025\Classe%206\301%20P-DOMERCQ\LOT%2013%20-%20AC2P%20-%20CLOISONS%20FAUX%20PLAF\0313" TargetMode="External"/><Relationship Id="rId748" Type="http://schemas.openxmlformats.org/officeDocument/2006/relationships/hyperlink" Target="file:///\\SRV-EPS-fai11.epsve.local\DPT\Services\SERVICE_DES_TRAVAUX\_NEW%20SERVEUR%20DPT\2000_PLAN%20TVX%20COURANT%20cl2-cl6\2025\130%20Suivi%20plan%20de%20travaux%202025\Classe%206\501%20E-MINGANT\CONT_220026_lot01_SCHINDLER\0767" TargetMode="External"/><Relationship Id="rId955" Type="http://schemas.openxmlformats.org/officeDocument/2006/relationships/hyperlink" Target="file:///\\SRV-EPS-fai11.epsve.local\DPT\Services\SERVICE_DES_TRAVAUX\_NEW%20SERVEUR%20DPT\2000_PLAN%20TVX%20COURANT%20cl2-cl6\2025\130%20Suivi%20plan%20de%20travaux%202025\Classe%206\501%20E-MINGANT\CONT_190023_lot00_DALKIA\0974" TargetMode="External"/><Relationship Id="rId84"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0087" TargetMode="External"/><Relationship Id="rId387" Type="http://schemas.openxmlformats.org/officeDocument/2006/relationships/hyperlink" Target="file:///\\Srv-eps-fai11\dpt\Services\SERVICE_DES_TRAVAUX\_NEW%20SERVEUR%20DPT\2000_PLAN%20TVX%20COURANT%20cl2-cl6\2025\130%20Suivi%20plan%20de%20travaux%202025\Classe%206\502%20A-CARPINTEIRO\MBC_LOT08%20ABPSI\0399" TargetMode="External"/><Relationship Id="rId510"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516" TargetMode="External"/><Relationship Id="rId594" Type="http://schemas.openxmlformats.org/officeDocument/2006/relationships/hyperlink" Target="file:///\\SRV-EPS-fai11.epsve.local\DPT\Services\SERVICE_DES_TRAVAUX\_NEW%20SERVEUR%20DPT\2000_PLAN%20TVX%20COURANT%20cl2-cl6\2025\130%20Suivi%20plan%20de%20travaux%202025\Classe%206\502%20A-CARPINTEIRO\MBC_LOT02%20AELB\0615" TargetMode="External"/><Relationship Id="rId608" Type="http://schemas.openxmlformats.org/officeDocument/2006/relationships/hyperlink" Target="file:///\\SRV-EPS-fai11.epsve.local\DPT\Services\SERVICE_DES_TRAVAUX\_NEW%20SERVEUR%20DPT\2000_PLAN%20TVX%20COURANT%20cl2-cl6\2025\130%20Suivi%20plan%20de%20travaux%202025\Classe%202\T2025018%20appartement%20cours%20communs\TBES" TargetMode="External"/><Relationship Id="rId815"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834" TargetMode="External"/><Relationship Id="rId247"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899" Type="http://schemas.openxmlformats.org/officeDocument/2006/relationships/hyperlink" Target="file:///\\SRV-EPS-fai11.epsve.local\DPT\Services\SERVICE_DES_TRAVAUX\_NEW%20SERVEUR%20DPT\2000_PLAN%20TVX%20COURANT%20cl2-cl6\2025\130%20Suivi%20plan%20de%20travaux%202025\Classe%202\T2025028%20Travaux%20Magasin%20General\0920" TargetMode="External"/><Relationship Id="rId1000" Type="http://schemas.openxmlformats.org/officeDocument/2006/relationships/hyperlink" Target="file:///\\SRV-EPS-fai11.epsve.local\DPT\Services\SERVICE_DES_TRAVAUX\_NEW%20SERVEUR%20DPT\2000_PLAN%20TVX%20COURANT%20cl2-cl6\2025\130%20Suivi%20plan%20de%20travaux%202025\Classe%206\302%20M-ALEVEQUE\AC%20environnement\1016%20champagne" TargetMode="External"/><Relationship Id="rId1084"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07" Type="http://schemas.openxmlformats.org/officeDocument/2006/relationships/hyperlink" Target="file:///\\SRV-EPS-fai11.epsve.local\DPT\Services\SERVICE_DES_TRAVAUX\_NEW%20SERVEUR%20DPT\2000_PLAN%20TVX%20COURANT%20cl2-cl6\2025\130%20Suivi%20plan%20de%20travaux%202025\Classe%206\303%20R-MERONI\LOT%2005%20-%20BSMG%20-%20CVC\G10\Tilleuls" TargetMode="External"/><Relationship Id="rId454"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469%20orion" TargetMode="External"/><Relationship Id="rId661" Type="http://schemas.openxmlformats.org/officeDocument/2006/relationships/hyperlink" Target="file:///\\SRV-EPS-fai11.epsve.local\DPT\Services\SERVICE_DES_TRAVAUX\_NEW%20SERVEUR%20DPT\2000_PLAN%20TVX%20COURANT%20cl2-cl6\2025\130%20Suivi%20plan%20de%20travaux%202025\Classe%206\502%20A-CARPINTEIRO" TargetMode="External"/><Relationship Id="rId759"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777" TargetMode="External"/><Relationship Id="rId966" Type="http://schemas.openxmlformats.org/officeDocument/2006/relationships/hyperlink" Target="file:///\\SRV-EPS-fai11.epsve.local\DPT\Services\SERVICE_DES_TRAVAUX\_NEW%20SERVEUR%20DPT\2000_PLAN%20TVX%20COURANT%20cl2-cl6\2025\130%20Suivi%20plan%20de%20travaux%202025\Classe%202\T2025017%20Internat%20Stockage%20Dahl\0984%20%20Devis%20Ragr&#233;age%203%20box" TargetMode="External"/><Relationship Id="rId11"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012" TargetMode="External"/><Relationship Id="rId314" Type="http://schemas.openxmlformats.org/officeDocument/2006/relationships/hyperlink" Target="file:///\\SRV-EPS-fai11.epsve.local\DPT\Services\SERVICE_DES_TRAVAUX\_NEW%20SERVEUR%20DPT\2000_PLAN%20TVX%20COURANT%20cl2-cl6\2024\00%20plan%202024\010%20Suivi%20Plan%202024\CLasse%202\T2024034%20R&#233;novation%20appartements%20GAGNY\Nouveau%20dossier\298" TargetMode="External"/><Relationship Id="rId398"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521"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619"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95" Type="http://schemas.openxmlformats.org/officeDocument/2006/relationships/hyperlink" Target="file:///\\SRV-EPS-fai11.epsve.local\DPT\Services\SERVICE_DES_TRAVAUX\_NEW%20SERVEUR%20DPT\2000_PLAN%20TVX%20COURANT%20cl2-cl6\2025\130%20Suivi%20plan%20de%20travaux%202025\Classe%206\501%20E-MINGANT\CONT_190023_lot00_DALKIA\0099" TargetMode="External"/><Relationship Id="rId160"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826" Type="http://schemas.openxmlformats.org/officeDocument/2006/relationships/hyperlink" Target="file:///\\SRV-EPS-fai11.epsve.local\DPT\Services\SERVICE_DES_TRAVAUX\_NEW%20SERVEUR%20DPT\2000_PLAN%20TVX%20COURANT%20cl2-cl6\2025\130%20Suivi%20plan%20de%20travaux%202025\Classe%202\op&#233;ration%20POLE%20FORMATION%20(compte%202382312703)" TargetMode="External"/><Relationship Id="rId1011" Type="http://schemas.openxmlformats.org/officeDocument/2006/relationships/hyperlink" Target="file:///\\SRV-EPS-fai11.epsve.local\DPT\Services\SERVICE_DES_TRAVAUX\_NEW%20SERVEUR%20DPT\2000_PLAN%20TVX%20COURANT%20cl2-cl6\2025\130%20Suivi%20plan%20de%20travaux%202025\Classe%206\303%20R-MERONI\LOT%2001%20-%20SANICOTHERM%20-%20MACONNERIE\1026%20%20Noisy%20Le%20sec%20Raccords%20douche" TargetMode="External"/><Relationship Id="rId1109" Type="http://schemas.openxmlformats.org/officeDocument/2006/relationships/ctrlProp" Target="../ctrlProps/ctrlProp1.xml"/><Relationship Id="rId258"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65" Type="http://schemas.openxmlformats.org/officeDocument/2006/relationships/hyperlink" Target="file:///L:\Services\SERVICE_DES_TRAVAUX\_NEW%20SERVEUR%20DPT\2000_PLAN%20TVX%20COURANT%20cl2-cl6\2025\130%20Suivi%20plan%20de%20travaux%202025\Classe%206\503%20P-EPIS\CONT_220024_lot08_VULCAIN%20Barriere-Porte%20Auto\D-0484%20%20AUBER%20CB3%20%20remplacement%20convertisseur%20de%20fr&#233;quense%20portail-CB3" TargetMode="External"/><Relationship Id="rId672" Type="http://schemas.openxmlformats.org/officeDocument/2006/relationships/hyperlink" Target="file:///\\SRV-EPS-fai11.epsve.local\DPT\Services\SERVICE_DES_TRAVAUX\_NEW%20SERVEUR%20DPT\2000_PLAN%20TVX%20COURANT%20cl2-cl6\2025\130%20Suivi%20plan%20de%20travaux%202025\Classe%202\T2025018-1%20appartement%20cours%20communs%20clos%20couvert" TargetMode="External"/><Relationship Id="rId1095"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22" Type="http://schemas.openxmlformats.org/officeDocument/2006/relationships/hyperlink" Target="file:///\\SRV-EPS-fai11.epsve.local\DPT\Services\SERVICE_DES_TRAVAUX\_NEW%20SERVEUR%20DPT\2000_PLAN%20TVX%20COURANT%20cl2-cl6\2025\130%20Suivi%20plan%20de%20travaux%202025\Classe%202\T2025006%20-%20S&#233;curite%20IFSI%20-Pole%20formation" TargetMode="External"/><Relationship Id="rId118"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122" TargetMode="External"/><Relationship Id="rId325"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532"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550" TargetMode="External"/><Relationship Id="rId97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71" Type="http://schemas.openxmlformats.org/officeDocument/2006/relationships/hyperlink" Target="file:///\\SRV-EPS-fai11.epsve.local\DPT\Services\SERVICE_DES_TRAVAUX\_NEW%20SERVEUR%20DPT\2000_PLAN%20TVX%20COURANT%20cl2-cl6\2025\130%20Suivi%20plan%20de%20travaux%202025\Classe%206\303%20R-MERONI\LOT%2005%20-%20BSMG%20-%20CVC\G12\174%20Morvan%20douches%20fuyardes" TargetMode="External"/><Relationship Id="rId837" Type="http://schemas.openxmlformats.org/officeDocument/2006/relationships/hyperlink" Target="file:///\\SRV-EPS-fai11.epsve.local\DPT\Services\SERVICE_DES_TRAVAUX\_NEW%20SERVEUR%20DPT\2000_PLAN%20TVX%20COURANT%20cl2-cl6\2025\130%20Suivi%20plan%20de%20travaux%202025\Classe%206\303%20R-MERONI\LOT%2010%20-%20FDS%20CORPUS%20-%20METALLERIE\0857%20Dubreuil" TargetMode="External"/><Relationship Id="rId1022" Type="http://schemas.openxmlformats.org/officeDocument/2006/relationships/hyperlink" Target="file:///\\SRV-EPS-fai11.epsve.local\DPT\Services\SERVICE_DES_TRAVAUX\_NEW%20SERVEUR%20DPT\2000_PLAN%20TVX%20COURANT%20cl2-cl6\2025\130%20Suivi%20plan%20de%20travaux%202025\Classe%206\101%20C-DARRET\Film%20UMD" TargetMode="External"/><Relationship Id="rId269" Type="http://schemas.openxmlformats.org/officeDocument/2006/relationships/hyperlink" Target="file:///\\SRV-EPS-fai11.epsve.local\DPT\Services\SERVICE_DES_TRAVAUX\_NEW%20SERVEUR%20DPT\2000_PLAN%20TVX%20COURANT%20cl2-cl6\2025\130%20Suivi%20plan%20de%20travaux%202025\Classe%206\302%20M-ALEVEQUE\LOT%2008%20-%20ABPSI%20-STORES\0282mederic" TargetMode="External"/><Relationship Id="rId476" Type="http://schemas.openxmlformats.org/officeDocument/2006/relationships/hyperlink" Target="file:///\\SRV-EPS-fai11.epsve.local\DPT\Services\SERVICE_DES_TRAVAUX\_NEW%20SERVEUR%20DPT\2000_PLAN%20TVX%20COURANT%20cl2-cl6\2025\130%20Suivi%20plan%20de%20travaux%202025\Classe%206\101%20C-DARRET\Dekra%20Blanchisserie" TargetMode="External"/><Relationship Id="rId683" Type="http://schemas.openxmlformats.org/officeDocument/2006/relationships/hyperlink" Target="file:///\\SRV-EPS-fai11.epsve.local\DPT\Services\SERVICE_DES_TRAVAUX\_NEW%20SERVEUR%20DPT\2000_PLAN%20TVX%20COURANT%20cl2-cl6\2025\130%20Suivi%20plan%20de%20travaux%202025\Classe%206\501%20E-MINGANT\CONT_220022_lot03_UTB_Insta%20thermiques\0705" TargetMode="External"/><Relationship Id="rId890" Type="http://schemas.openxmlformats.org/officeDocument/2006/relationships/hyperlink" Target="file:///\\SRV-EPS-fai11.epsve.local\DPT\Services\SERVICE_DES_TRAVAUX\_NEW%20SERVEUR%20DPT\2000_PLAN%20TVX%20COURANT%20cl2-cl6\2025\130%20Suivi%20plan%20de%20travaux%202025\Classe%206\302%20M-ALEVEQUE\LOT%2013%20-%20AC2P%20-%20CLOISONS%20FAUX%20PLAF\0911%20hirondelles" TargetMode="External"/><Relationship Id="rId904" Type="http://schemas.openxmlformats.org/officeDocument/2006/relationships/hyperlink" Target="file:///\\SRV-EPS-fai11.epsve.local\DPT\Services\SERVICE_DES_TRAVAUX\_NEW%20SERVEUR%20DPT\2000_PLAN%20TVX%20COURANT%20cl2-cl6\2025\130%20Suivi%20plan%20de%20travaux%202025\Classe%206\501%20E-MINGANT\CONT_220026_lot01_SCHINDLER\0926" TargetMode="External"/><Relationship Id="rId33"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129"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134" TargetMode="External"/><Relationship Id="rId336"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347" TargetMode="External"/><Relationship Id="rId543" Type="http://schemas.openxmlformats.org/officeDocument/2006/relationships/hyperlink" Target="file:///\\SRV-EPS-fai11.epsve.local\DPT\Services\SERVICE_DES_TRAVAUX\_NEW%20SERVEUR%20DPT\2000_PLAN%20TVX%20COURANT%20cl2-cl6\2025\130%20Suivi%20plan%20de%20travaux%202025\Classe%202\T2025014%20%20Ex%20IFSI%20DAHL\DEVIS" TargetMode="External"/><Relationship Id="rId988"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82"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403" Type="http://schemas.openxmlformats.org/officeDocument/2006/relationships/hyperlink" Target="file:///L:\Services\SERVICE_DES_TRAVAUX\_NEW%20SERVEUR%20DPT\2000_PLAN%20TVX%20COURANT%20cl2-cl6\2025\130%20Suivi%20plan%20de%20travaux%202025\Classe%206\503%20P-EPIS\CONT_220024_lot08_VULCAIN%20Barriere-Porte%20Auto\D-0414%20%20MONTREUIL%20I03%20%20Remplacement%20lisse%20barri&#233;re%20articul&#233;e%20barri&#233;re%2050-05" TargetMode="External"/><Relationship Id="rId750"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769" TargetMode="External"/><Relationship Id="rId848"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67%20%20St%20Denis%20Gluzman" TargetMode="External"/><Relationship Id="rId1033" Type="http://schemas.openxmlformats.org/officeDocument/2006/relationships/hyperlink" Target="file:///\\SRV-EPS-fai11.epsve.local\DPT\Services\SERVICE_DES_TRAVAUX\_NEW%20SERVEUR%20DPT\2000_PLAN%20TVX%20COURANT%20cl2-cl6\2025\130%20Suivi%20plan%20de%20travaux%202025\Classe%206\501%20E-MINGANT\CONT_190023_lot00_DALKIA\1050" TargetMode="External"/><Relationship Id="rId487" Type="http://schemas.openxmlformats.org/officeDocument/2006/relationships/hyperlink" Target="file:///\\SRV-EPS-fai11.epsve.local\DPT\Services\SERVICE_DES_TRAVAUX\_NEW%20SERVEUR%20DPT\2000_PLAN%20TVX%20COURANT%20cl2-cl6\2025\130%20Suivi%20plan%20de%20travaux%202025\Classe%202\T2025016%20Ch%20de%20Gardes\Montreuil%20Boissiere" TargetMode="External"/><Relationship Id="rId610" Type="http://schemas.openxmlformats.org/officeDocument/2006/relationships/hyperlink" Target="file:///\\SRV-EPS-fai11.epsve.local\DPT\Services\SERVICE_DES_TRAVAUX\_NEW%20SERVEUR%20DPT\2000_PLAN%20TVX%20COURANT%20cl2-cl6\2025\130%20Suivi%20plan%20de%20travaux%202025\Classe%206\303%20R-MERONI\LOT%2005%20-%20BSMG%20-%20CVC\I03\0630%20Devis%20BSMG%20mitigeur%20Salle%20de%20soins" TargetMode="External"/><Relationship Id="rId694" Type="http://schemas.openxmlformats.org/officeDocument/2006/relationships/hyperlink" Target="file:///\\SRV-EPS-fai11.epsve.local\DPT\Services\SERVICE_DES_TRAVAUX\_NEW%20SERVEUR%20DPT\2000_PLAN%20TVX%20COURANT%20cl2-cl6\2025\130%20Suivi%20plan%20de%20travaux%202025\Classe%206\503%20P-EPIS\MBC_LOT08%20ABPSI\0684%20%20BONDY%20Chapelain%20Volet%20elec%20G11%20CH207" TargetMode="External"/><Relationship Id="rId708"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0726" TargetMode="External"/><Relationship Id="rId915"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937" TargetMode="External"/><Relationship Id="rId347" Type="http://schemas.openxmlformats.org/officeDocument/2006/relationships/hyperlink" Target="file:///\\SRV-EPS-fai11.epsve.local\DPT\Services\SERVICE_DES_TRAVAUX\_NEW%20SERVEUR%20DPT\2000_PLAN%20TVX%20COURANT%20cl2-cl6\2025\130%20Suivi%20plan%20de%20travaux%202025\Classe%202\T2025006%20-%20S&#233;curite%20IFSI%20-Pole%20formation\0356%20CTL%20ACCES%20IFSI" TargetMode="External"/><Relationship Id="rId999" Type="http://schemas.openxmlformats.org/officeDocument/2006/relationships/hyperlink" Target="file:///\\SRV-EPS-fai11.epsve.local\DPT\Services\SERVICE_DES_TRAVAUX\_NEW%20SERVEUR%20DPT\2000_PLAN%20TVX%20COURANT%20cl2-cl6\2025\130%20Suivi%20plan%20de%20travaux%202025\Classe%206\301%20P-DOMERCQ\LOT%2005%20-%20BSMG%20-%20CVC\1015" TargetMode="External"/><Relationship Id="rId1100" Type="http://schemas.openxmlformats.org/officeDocument/2006/relationships/hyperlink" Target="file:///\\SRV-EPS-fai11.epsve.local\DPT\Services\SERVICE_DES_TRAVAUX\_NEW%20SERVEUR%20DPT\2000_PLAN%20TVX%20COURANT%20cl2-cl6\2025\130%20Suivi%20plan%20de%20travaux%202025\Classe%206\301%20P-DOMERCQ\LOT%2007%20-%20SCHNEIDER%20-%20COUVERTURE\1119%20depannage%20schneider%20%20st%20ouen" TargetMode="External"/><Relationship Id="rId44" Type="http://schemas.openxmlformats.org/officeDocument/2006/relationships/hyperlink" Target="file:///\\SRV-EPS-fai11.epsve.local\DPT\Services\SERVICE_DES_TRAVAUX\_NEW%20SERVEUR%20DPT\2000_PLAN%20TVX%20COURANT%20cl2-cl6\2025\130%20Suivi%20plan%20de%20travaux%202025\Classe%206\302%20M-ALEVEQUE\LOT%2009%20-%20SNTPP%20-%20VRD\0048%20rue%20jean%20jaures" TargetMode="External"/><Relationship Id="rId554" Type="http://schemas.openxmlformats.org/officeDocument/2006/relationships/hyperlink" Target="file:///L:\Services\SERVICE_DES_TRAVAUX\_NEW%20SERVEUR%20DPT\2000_PLAN%20TVX%20COURANT%20cl2-cl6\2025\130%20Suivi%20plan%20de%20travaux%202025\Classe%206\503%20P-EPIS\CONT_220024_lot08_VULCAIN%20Barriere-Porte%20Auto\D-0572%20MONTREUIL%20barri&#233;re%20touch&#233;%20par%20ambulance%20s&#233;curisation" TargetMode="External"/><Relationship Id="rId761" Type="http://schemas.openxmlformats.org/officeDocument/2006/relationships/hyperlink" Target="file:///\\SRV-EPS-fai11.epsve.local\DPT\Services\SERVICE_DES_TRAVAUX\_NEW%20SERVEUR%20DPT\2000_PLAN%20TVX%20COURANT%20cl2-cl6\2025\130%20Suivi%20plan%20de%20travaux%202025\Classe%202\T2025018%20appartement%20cours%20communs\Art%20et%20bois" TargetMode="External"/><Relationship Id="rId859" Type="http://schemas.openxmlformats.org/officeDocument/2006/relationships/hyperlink" Target="file:///\\SRV-EPS-fai11.epsve.local\DPT\Services\SERVICE_DES_TRAVAUX\_NEW%20SERVEUR%20DPT\2000_PLAN%20TVX%20COURANT%20cl2-cl6\2025\130%20Suivi%20plan%20de%20travaux%202025\Classe%206\403%20S-GALOUL\879" TargetMode="External"/><Relationship Id="rId193"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197" TargetMode="External"/><Relationship Id="rId207" Type="http://schemas.openxmlformats.org/officeDocument/2006/relationships/hyperlink" Target="file:///\\SRV-EPS-fai11.epsve.local\DPT\Services\SERVICE_DES_TRAVAUX\_NEW%20SERVEUR%20DPT\2000_PLAN%20TVX%20COURANT%20cl2-cl6\2025\130%20Suivi%20plan%20de%20travaux%202025\Classe%206\504%20D-PAQUIN\MBC_LOT11%20SEA" TargetMode="External"/><Relationship Id="rId414" Type="http://schemas.openxmlformats.org/officeDocument/2006/relationships/hyperlink" Target="file:///\\SRV-EPS-fai11.epsve.local\DPT\Services\SERVICE_DES_TRAVAUX\_NEW%20SERVEUR%20DPT\2000_PLAN%20TVX%20COURANT%20cl2-cl6\2025\130%20Suivi%20plan%20de%20travaux%202025\Classe%206\302%20M-ALEVEQUE\LOT%2002%20-%20ARTETLEBOIS%20-MENUISERIE\0429%20UCP" TargetMode="External"/><Relationship Id="rId498" Type="http://schemas.openxmlformats.org/officeDocument/2006/relationships/hyperlink" Target="file:///\\SRV-EPS-fai11.epsve.local\DPT\Services\SERVICE_DES_TRAVAUX\_NEW%20SERVEUR%20DPT\2000_PLAN%20TVX%20COURANT%20cl2-cl6\2025\130%20Suivi%20plan%20de%20travaux%202025\Classe%206\502%20A-CARPINTEIRO\MBC_LOT02%20AELB\0523" TargetMode="External"/><Relationship Id="rId621"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044"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60"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268%20lpp%20cattp%20la%20source%20drancy" TargetMode="External"/><Relationship Id="rId719" Type="http://schemas.openxmlformats.org/officeDocument/2006/relationships/hyperlink" Target="file:///\\SRV-EPS-fai11.epsve.local\DPT\Services\SERVICE_DES_TRAVAUX\_NEW%20SERVEUR%20DPT\2000_PLAN%20TVX%20COURANT%20cl2-cl6\2025\130%20Suivi%20plan%20de%20travaux%202025\Classe%206\403%20S-GALOUL\737" TargetMode="External"/><Relationship Id="rId926" Type="http://schemas.openxmlformats.org/officeDocument/2006/relationships/hyperlink" Target="file:///\\SRV-EPS-fai11.epsve.local\DPT\Services\SERVICE_DES_TRAVAUX\_NEW%20SERVEUR%20DPT\2000_PLAN%20TVX%20COURANT%20cl2-cl6\2025\130%20Suivi%20plan%20de%20travaux%202025\Classe%202\op&#233;ration%20POLE%20SANTE\AVENIR%20DECONSTRUCTION\phase2" TargetMode="External"/><Relationship Id="rId1111" Type="http://schemas.openxmlformats.org/officeDocument/2006/relationships/comments" Target="../comments1.xml"/><Relationship Id="rId5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20"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358" Type="http://schemas.openxmlformats.org/officeDocument/2006/relationships/hyperlink" Target="file:///\\SRV-EPS-fai11.epsve.local\DPT\Services\SERVICE_DES_TRAVAUX\_NEW%20SERVEUR%20DPT\2000_PLAN%20TVX%20COURANT%20cl2-cl6\2025\130%20Suivi%20plan%20de%20travaux%202025\Classe%206\501%20E-MINGANT\CONT_220026_lot01_SCHINDLER\0368" TargetMode="External"/><Relationship Id="rId565"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574%20%20BONDY%20portillon" TargetMode="External"/><Relationship Id="rId772"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791%20picardie" TargetMode="External"/><Relationship Id="rId218" Type="http://schemas.openxmlformats.org/officeDocument/2006/relationships/hyperlink" Target="file:///\\SRV-EPS-fai11.epsve.local\DPT\Services\SERVICE_DES_TRAVAUX\_NEW%20SERVEUR%20DPT\1000_OPE%20TVX%20STRAT\2025_02%20REHABILIATION%20R%20ROLLAND\03%20SUIVI%20FNANCIER\038%20MOE\OS" TargetMode="External"/><Relationship Id="rId425"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442%20Dentiste" TargetMode="External"/><Relationship Id="rId632"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649%20hirondelle%20local%20hypnostimulation" TargetMode="External"/><Relationship Id="rId1055" Type="http://schemas.openxmlformats.org/officeDocument/2006/relationships/hyperlink" Target="file:///\\SRV-EPS-fai11.epsve.local\DPT\Services\SERVICE_DES_TRAVAUX\_NEW%20SERVEUR%20DPT\2000_PLAN%20TVX%20COURANT%20cl2-cl6\2025\130%20Suivi%20plan%20de%20travaux%202025\Classe%206\403%20S-GALOUL\1072" TargetMode="External"/><Relationship Id="rId271"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937" Type="http://schemas.openxmlformats.org/officeDocument/2006/relationships/hyperlink" Target="file:///\\SRV-EPS-fai11.epsve.local\DPT\Services\SERVICE_DES_TRAVAUX\_NEW%20SERVEUR%20DPT\2000_PLAN%20TVX%20COURANT%20cl2-cl6\2025\130%20Suivi%20plan%20de%20travaux%202025\Classe%206\101%20C-DARRET\Bilan%20carbone%20NEPSEN%20mar-25" TargetMode="External"/><Relationship Id="rId66"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131" Type="http://schemas.openxmlformats.org/officeDocument/2006/relationships/hyperlink" Target="file:///\\SRV-EPS-fai11.epsve.local\DPT\Services\SERVICE_DES_TRAVAUX\_NEW%20SERVEUR%20DPT\2000_PLAN%20TVX%20COURANT%20cl2-cl6\2025\130%20Suivi%20plan%20de%20travaux%202025\Classe%206\504%20D-PAQUIN\MBC_LOT05%20BSMG-LTDf" TargetMode="External"/><Relationship Id="rId369"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381" TargetMode="External"/><Relationship Id="rId576" Type="http://schemas.openxmlformats.org/officeDocument/2006/relationships/hyperlink" Target="file:///\\SRV-EPS-fai11.epsve.local\DPT\Services\SERVICE_DES_TRAVAUX\_NEW%20SERVEUR%20DPT\2000_PLAN%20TVX%20COURANT%20cl2-cl6\2025\130%20Suivi%20plan%20de%20travaux%202025\Classe%202\T2025017%20Internat%20Stockage%20Dahl\0439%20TBES" TargetMode="External"/><Relationship Id="rId783" Type="http://schemas.openxmlformats.org/officeDocument/2006/relationships/hyperlink" Target="file:///\\SRV-EPS-fai11.epsve.local\DPT\Services\SERVICE_DES_TRAVAUX\_NEW%20SERVEUR%20DPT\2000_PLAN%20TVX%20COURANT%20cl2-cl6\2025\130%20Suivi%20plan%20de%20travaux%202025\Classe%206\301%20P-DOMERCQ\LOT%2005%20-%20BSMG%20-%20CVC\0802" TargetMode="External"/><Relationship Id="rId990"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29" Type="http://schemas.openxmlformats.org/officeDocument/2006/relationships/hyperlink" Target="file:///\\SRV-EPS-fai11.epsve.local\DPT\Services\SERVICE_DES_TRAVAUX\_NEW%20SERVEUR%20DPT\2000_PLAN%20TVX%20COURANT%20cl2-cl6\2025\130%20Suivi%20plan%20de%20travaux%202025\Classe%206\302%20M-ALEVEQUE\PICHARD\0234%20UCP" TargetMode="External"/><Relationship Id="rId436"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451%20coffrage%20stains" TargetMode="External"/><Relationship Id="rId643"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1066" Type="http://schemas.openxmlformats.org/officeDocument/2006/relationships/hyperlink" Target="file:///\\SRV-EPS-fai11.epsve.local\DPT\Services\SERVICE_DES_TRAVAUX\_NEW%20SERVEUR%20DPT\2000_PLAN%20TVX%20COURANT%20cl2-cl6\2025\130%20Suivi%20plan%20de%20travaux%202025\Classe%202\T2025014%20%20Ex%20IFSI%20DAHL\DEVIS" TargetMode="External"/><Relationship Id="rId850"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75%20%20NSM%20%20Gar.%20M&#233;ca" TargetMode="External"/><Relationship Id="rId948" Type="http://schemas.openxmlformats.org/officeDocument/2006/relationships/hyperlink" Target="file:///\\SRV-EPS-fai11.epsve.local\DPT\Services\SERVICE_DES_TRAVAUX\_NEW%20SERVEUR%20DPT\2000_PLAN%20TVX%20COURANT%20cl2-cl6\2025\130%20Suivi%20plan%20de%20travaux%202025\Classe%206\501%20E-MINGANT\CONT_220026_lot01_SCHINDLER\0968" TargetMode="External"/><Relationship Id="rId7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82" Type="http://schemas.openxmlformats.org/officeDocument/2006/relationships/hyperlink" Target="file:///\\SRV-EPS-fai11.epsve.local\DPT\Services\SERVICE_DES_TRAVAUX\_NEW%20SERVEUR%20DPT\2000_PLAN%20TVX%20COURANT%20cl2-cl6\2025\130%20Suivi%20plan%20de%20travaux%202025\Classe%206\501%20E-MINGANT\CONT_190023_lot00_DALKIA\0289" TargetMode="External"/><Relationship Id="rId503" Type="http://schemas.openxmlformats.org/officeDocument/2006/relationships/hyperlink" Target="file:///\\SRV-EPS-fai11.epsve.local\DPT\Services\SERVICE_DES_TRAVAUX\_NEW%20SERVEUR%20DPT\2000_PLAN%20TVX%20COURANT%20cl2-cl6\2025\130%20Suivi%20plan%20de%20travaux%202025\Classe%206\501%20E-MINGANT\CONT_190023_lot00_DALKIA\0531" TargetMode="External"/><Relationship Id="rId587" Type="http://schemas.openxmlformats.org/officeDocument/2006/relationships/hyperlink" Target="file:///\\SRV-EPS-fai11.epsve.local\DPT\Services\SERVICE_DES_TRAVAUX\_NEW%20SERVEUR%20DPT\2000_PLAN%20TVX%20COURANT%20cl2-cl6\2025\130%20Suivi%20plan%20de%20travaux%202025\Classe%206\302%20M-ALEVEQUE\LOT%2008%20-%20ABPSI%20-STORES\608%20DAUPHINE" TargetMode="External"/><Relationship Id="rId710" Type="http://schemas.openxmlformats.org/officeDocument/2006/relationships/hyperlink" Target="file:///\\SRV-EPS-fai11.epsve.local\DPT\Services\SERVICE_DES_TRAVAUX\_NEW%20SERVEUR%20DPT\2000_PLAN%20TVX%20COURANT%20cl2-cl6\2025\130%20Suivi%20plan%20de%20travaux%202025\Classe%206\403%20S-GALOUL\728" TargetMode="External"/><Relationship Id="rId808" Type="http://schemas.openxmlformats.org/officeDocument/2006/relationships/hyperlink" Target="file:///\\SRV-EPS-fai11.epsve.local\DPT\Services\SERVICE_DES_TRAVAUX\_NEW%20SERVEUR%20DPT\2000_PLAN%20TVX%20COURANT%20cl2-cl6\2025\130%20Suivi%20plan%20de%20travaux%202025\Classe%206\302%20M-ALEVEQUE\LOT%2013%20-%20AC2P%20-%20CLOISONS%20FAUX%20PLAF\0829%20creche" TargetMode="External"/><Relationship Id="rId8" Type="http://schemas.openxmlformats.org/officeDocument/2006/relationships/hyperlink" Target="file:///\\SRV-EPS-fai11.epsve.local\DPT\Services\SERVICE_DES_TRAVAUX\_NEW%20SERVEUR%20DPT\2000_PLAN%20TVX%20COURANT%20cl2-cl6\2025\130%20Suivi%20plan%20de%20travaux%202025\Classe%206\301%20P-DOMERCQ\LOT%2002%20-%20ARTETLEBOIS%20-MENUISERIE" TargetMode="External"/><Relationship Id="rId142"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447"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461%20Regis%20Informattique" TargetMode="External"/><Relationship Id="rId794" Type="http://schemas.openxmlformats.org/officeDocument/2006/relationships/hyperlink" Target="file:///\\SRV-EPS-fai11.epsve.local\DPT\Services\SERVICE_DES_TRAVAUX\_NEW%20SERVEUR%20DPT\2000_PLAN%20TVX%20COURANT%20cl2-cl6\2025\130%20Suivi%20plan%20de%20travaux%202025\Classe%202\T2025014%20%20Ex%20IFSI%20DAHL" TargetMode="External"/><Relationship Id="rId107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654" Type="http://schemas.openxmlformats.org/officeDocument/2006/relationships/hyperlink" Target="file:///\\SRV-EPS-fai11.epsve.local\DPT\Services\SERVICE_DES_TRAVAUX\_NEW%20SERVEUR%20DPT\2000_PLAN%20TVX%20COURANT%20cl2-cl6\2025\130%20Suivi%20plan%20de%20travaux%202025\Classe%206\403%20S-GALOUL\676" TargetMode="External"/><Relationship Id="rId861" Type="http://schemas.openxmlformats.org/officeDocument/2006/relationships/hyperlink" Target="file:///\\SRV-EPS-fai11.epsve.local\DPT\Services\SERVICE_DES_TRAVAUX\_NEW%20SERVEUR%20DPT\2000_PLAN%20TVX%20COURANT%20cl2-cl6\2025\130%20Suivi%20plan%20de%20travaux%202025\Classe%206\303%20R-MERONI\LOT%2013%20-%20AC2P%20-%20CLOISONS%20FAUX%20PLAF\0881%20Amicale%20Fx%20Pld" TargetMode="External"/><Relationship Id="rId959" Type="http://schemas.openxmlformats.org/officeDocument/2006/relationships/hyperlink" Target="file:///\\SRV-EPS-fai11.epsve.local\DPT\Services\SERVICE_DES_TRAVAUX\_NEW%20SERVEUR%20DPT\2000_PLAN%20TVX%20COURANT%20cl2-cl6\2025\130%20Suivi%20plan%20de%20travaux%202025\Classe%206\501%20E-MINGANT\CONT_190023_lot00_DALKIA\0977" TargetMode="External"/><Relationship Id="rId293"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303%20DRH" TargetMode="External"/><Relationship Id="rId307" Type="http://schemas.openxmlformats.org/officeDocument/2006/relationships/hyperlink" Target="file:///\\SRV-EPS-fai11.epsve.local\DPT\Services\SERVICE_DES_TRAVAUX\_NEW%20SERVEUR%20DPT\2000_PLAN%20TVX%20COURANT%20cl2-cl6\2024\00%20plan%202024\010%20Suivi%20Plan%202024\CLasse%202\T2024029%20MAISON%20DES%20USAGERS\Devis%202025\317%20TBES" TargetMode="External"/><Relationship Id="rId514" Type="http://schemas.openxmlformats.org/officeDocument/2006/relationships/hyperlink" Target="file:///\\SRV-EPS-fai11.epsve.local\DPT\Services\SERVICE_DES_TRAVAUX\_NEW%20SERVEUR%20DPT\1000_OPE%20TVX%20STRAT\0005%20march&#233;%20socotec" TargetMode="External"/><Relationship Id="rId721" Type="http://schemas.openxmlformats.org/officeDocument/2006/relationships/hyperlink" Target="file:///\\SRV-EPS-fai11.epsve.local\DPT\Services\SERVICE_DES_TRAVAUX\_NEW%20SERVEUR%20DPT\2000_PLAN%20TVX%20COURANT%20cl2-cl6\2025\130%20Suivi%20plan%20de%20travaux%202025\Classe%206\503%20P-EPIS\MBC_LOT08%20ABPSI\0739" TargetMode="External"/><Relationship Id="rId88"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0091\Bag%20Hugo" TargetMode="External"/><Relationship Id="rId153" Type="http://schemas.openxmlformats.org/officeDocument/2006/relationships/hyperlink" Target="file:///\\SRV-EPS-fai11.epsve.local\DPT\Services\SERVICE_DES_TRAVAUX\_NEW%20SERVEUR%20DPT\2000_PLAN%20TVX%20COURANT%20cl2-cl6\2025\130%20Suivi%20plan%20de%20travaux%202025\Classe%202\T2025010%20Patio%20G06" TargetMode="External"/><Relationship Id="rId360" Type="http://schemas.openxmlformats.org/officeDocument/2006/relationships/hyperlink" Target="file:///L:\Services\SERVICE_DES_TRAVAUX\_NEW%20SERVEUR%20DPT\2000_PLAN%20TVX%20COURANT%20cl2-cl6\2025\130%20Suivi%20plan%20de%20travaux%202025\Classe%206\503%20P-EPIS\MBC_LOT08%20ABPSI\0370%20%20NSM%20B&#226;t.%20Direction%20%20r&#233;gule%20inter%20sur%20volet%20salle%20de%20r&#233;union%20bleu%20%201%20ET%20%20devi6482epsve%20%20.pdf" TargetMode="External"/><Relationship Id="rId598" Type="http://schemas.openxmlformats.org/officeDocument/2006/relationships/hyperlink" Target="file:///\\SRV-EPS-fai11.epsve.local\DPT\Services\SERVICE_DES_TRAVAUX\_NEW%20SERVEUR%20DPT\2000_PLAN%20TVX%20COURANT%20cl2-cl6\2025\130%20Suivi%20plan%20de%20travaux%202025\Classe%206\504%20D-PAQUIN\CONT_220025_lot07_GULDAGIL-GILCAM%20Traitements%20eau" TargetMode="External"/><Relationship Id="rId819" Type="http://schemas.openxmlformats.org/officeDocument/2006/relationships/hyperlink" Target="file:///\\SRV-EPS-fai11.epsve.local\DPT\Services\SERVICE_DES_TRAVAUX\_NEW%20SERVEUR%20DPT\2000_PLAN%20TVX%20COURANT%20cl2-cl6\2025\130%20Suivi%20plan%20de%20travaux%202025\Classe%206\403%20S-GALOUL\838" TargetMode="External"/><Relationship Id="rId1004" Type="http://schemas.openxmlformats.org/officeDocument/2006/relationships/hyperlink" Target="file:///\\SRV-EPS-fai11.epsve.local\DPT\Services\SERVICE_DES_TRAVAUX\_NEW%20SERVEUR%20DPT\2000_PLAN%20TVX%20COURANT%20cl2-cl6\2025\130%20Suivi%20plan%20de%20travaux%202025\Classe%206\301%20P-DOMERCQ\LOT%2013%20-%20AC2P%20-%20CLOISONS%20FAUX%20PLAF\1020" TargetMode="External"/><Relationship Id="rId220" Type="http://schemas.openxmlformats.org/officeDocument/2006/relationships/hyperlink" Target="file:///\\SRV-EPS-fai11.epsve.local\DPT\Services\SERVICE_DES_TRAVAUX\_NEW%20SERVEUR%20DPT\1000_OPE%20TVX%20STRAT\2025_02%20RENOVATION%20PLH%20PEUPLIERS\03%20SUIVI%20FNANCIER\038%20MOE\OS" TargetMode="External"/><Relationship Id="rId458" Type="http://schemas.openxmlformats.org/officeDocument/2006/relationships/hyperlink" Target="file:///\\SRV-EPS-fai11.epsve.local\DPT\Services\SERVICE_DES_TRAVAUX\_NEW%20SERVEUR%20DPT\2000_PLAN%20TVX%20COURANT%20cl2-cl6\2025\130%20Suivi%20plan%20de%20travaux%202025\Classe%202\T2025016%20Ch%20de%20Gardes\CB1" TargetMode="External"/><Relationship Id="rId665" Type="http://schemas.openxmlformats.org/officeDocument/2006/relationships/hyperlink" Target="file:///\\SRV-EPS-fai11.epsve.local\DPT\Services\SERVICE_DES_TRAVAUX\_NEW%20SERVEUR%20DPT\2000_PLAN%20TVX%20COURANT%20cl2-cl6\2025\130%20Suivi%20plan%20de%20travaux%202025\Classe%206\503%20P-EPIS\HM_\ATRP\D-0687%20Auber%20C.B" TargetMode="External"/><Relationship Id="rId872" Type="http://schemas.openxmlformats.org/officeDocument/2006/relationships/hyperlink" Target="file:///\\SRV-EPS-fai11.epsve.local\DPT\Services\SERVICE_DES_TRAVAUX\_NEW%20SERVEUR%20DPT\2000_PLAN%20TVX%20COURANT%20cl2-cl6\2025\130%20Suivi%20plan%20de%20travaux%202025\Classe%206\303%20R-MERONI\LOT%2005%20-%20BSMG%20-%20CVC\Mielerie" TargetMode="External"/><Relationship Id="rId1088" Type="http://schemas.openxmlformats.org/officeDocument/2006/relationships/hyperlink" Target="file:///\\SRV-EPS-fai11.epsve.local\DPT\Services\SERVICE_DES_TRAVAUX\_NEW%20SERVEUR%20DPT\2000_PLAN%20TVX%20COURANT%20cl2-cl6\2025\130%20Suivi%20plan%20de%20travaux%202025\Classe%206\501%20E-MINGANT\CONT_190023_lot00_DALKIA\1106" TargetMode="External"/><Relationship Id="rId15" Type="http://schemas.openxmlformats.org/officeDocument/2006/relationships/hyperlink" Target="file:///\\SRV-EPS-fai11.epsve.local\DPT\Services\SERVICE_DES_TRAVAUX\_NEW%20SERVEUR%20DPT\2000_PLAN%20TVX%20COURANT%20cl2-cl6\2024\00%20plan%202024\010%20Suivi%20Plan%202024\CLasse%202\T2024012%20Romain%20Roland%20-%20Saint%20Denis\LOT%2014%20-%20PINEAPPLE%20-%20AGENCEMENT\0014" TargetMode="External"/><Relationship Id="rId318" Type="http://schemas.openxmlformats.org/officeDocument/2006/relationships/hyperlink" Target="file:///\\SRV-EPS-fai11.epsve.local\DPT\Services\SERVICE_DES_TRAVAUX\_NEW%20SERVEUR%20DPT\2000_PLAN%20TVX%20COURANT%20cl2-cl6\2023\2023%20cl2%20Demat\T20230041%20terrasse%20aile%20droite%20St%20Denis%20R.Rolland\326" TargetMode="External"/><Relationship Id="rId525" Type="http://schemas.openxmlformats.org/officeDocument/2006/relationships/hyperlink" Target="file:///\\SRV-EPS-fai11.epsve.local\DPT\Services\SERVICE_DES_TRAVAUX\_NEW%20SERVEUR%20DPT\2000_PLAN%20TVX%20COURANT%20cl2-cl6\2025\130%20Suivi%20plan%20de%20travaux%202025\Classe%206\303%20R-MERONI\LOT%2005%20-%20BSMG%20-%20CVC\G12\544%20%20Devis%20BSMG%20Siphon%20+%20VMC" TargetMode="External"/><Relationship Id="rId732" Type="http://schemas.openxmlformats.org/officeDocument/2006/relationships/hyperlink" Target="file:///\\SRV-EPS-fai11.epsve.local\DPT\Services\SERVICE_DES_TRAVAUX\_NEW%20SERVEUR%20DPT\2000_PLAN%20TVX%20COURANT%20cl2-cl6\2025\130%20Suivi%20plan%20de%20travaux%202025\Classe%206\502%20A-CARPINTEIRO\MBC_LOT10%20FDS%20CORPUS\0750" TargetMode="External"/><Relationship Id="rId99" Type="http://schemas.openxmlformats.org/officeDocument/2006/relationships/hyperlink" Target="file:///\\SRV-EPS-fai11.epsve.local\DPT\Services\SERVICE_DES_TRAVAUX\_NEW%20SERVEUR%20DPT\2000_PLAN%20TVX%20COURANT%20cl2-cl6\2025\130%20Suivi%20plan%20de%20travaux%202025\Classe%206\301%20P-DOMERCQ\LOT%2005%20-%20BSMG%20-%20CVC\0103" TargetMode="External"/><Relationship Id="rId164" Type="http://schemas.openxmlformats.org/officeDocument/2006/relationships/hyperlink" Target="file:///\\SRV-EPS-fai11.epsve.local\DPT\Services\SERVICE_DES_TRAVAUX\_NEW%20SERVEUR%20DPT\2000_PLAN%20TVX%20COURANT%20cl2-cl6\2024\00%20plan%202024\010%20Suivi%20Plan%202024\CLasse%202\T2024039%20renov%202024%2025%20%20CB2%20RDC%20ex%20G06\0167" TargetMode="External"/><Relationship Id="rId371"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1015"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1035" TargetMode="External"/><Relationship Id="rId469" Type="http://schemas.openxmlformats.org/officeDocument/2006/relationships/hyperlink" Target="file:///\\SRV-EPS-fai11.epsve.local\DPT\Services\SERVICE_DES_TRAVAUX\_NEW%20SERVEUR%20DPT\1000_OPE%20TVX%20STRAT\0010%20MOE%20multiattributaire%202025-2028\2025.02%20SDT\Fibre" TargetMode="External"/><Relationship Id="rId676" Type="http://schemas.openxmlformats.org/officeDocument/2006/relationships/hyperlink" Target="file:///\\SRV-EPS-fai11.epsve.local\DPT\Services\SERVICE_DES_TRAVAUX\_NEW%20SERVEUR%20DPT\2000_PLAN%20TVX%20COURANT%20cl2-cl6\2025\130%20Suivi%20plan%20de%20travaux%202025\Classe%206\503%20P-EPIS\MBC_LOT08%20ABPSI\D-0697%20%20BONDY%20Volet%20bur-7" TargetMode="External"/><Relationship Id="rId883" Type="http://schemas.openxmlformats.org/officeDocument/2006/relationships/hyperlink" Target="file:///\\SRV-EPS-fai11.epsve.local\DPT\Services\SERVICE_DES_TRAVAUX\_NEW%20SERVEUR%20DPT\2000_PLAN%20TVX%20COURANT%20cl2-cl6\2025\130%20Suivi%20plan%20de%20travaux%202025\Classe%202\T2025029%20Cr&#233;ation%20Bx%20Mal%20BAGNOLET\0904%20TBES%20CFO" TargetMode="External"/><Relationship Id="rId1099" Type="http://schemas.openxmlformats.org/officeDocument/2006/relationships/hyperlink" Target="file:///\\SRV-EPS-fai11.epsve.local\DPT\Services\SERVICE_DES_TRAVAUX\_NEW%20SERVEUR%20DPT\2000_PLAN%20TVX%20COURANT%20cl2-cl6\2025\130%20Suivi%20plan%20de%20travaux%202025\Classe%206\501%20E-MINGANT\Cont_Jean_Mace_Eau+\1117" TargetMode="External"/><Relationship Id="rId26"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 TargetMode="External"/><Relationship Id="rId231"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329" Type="http://schemas.openxmlformats.org/officeDocument/2006/relationships/hyperlink" Target="file:///\\SRV-EPS-fai11.epsve.local\DPT\Services\SERVICE_DES_TRAVAUX\_NEW%20SERVEUR%20DPT\2000_PLAN%20TVX%20COURANT%20cl2-cl6\2025\130%20Suivi%20plan%20de%20travaux%202025\Classe%202\T2025012%20Maison%20famille%20CB1" TargetMode="External"/><Relationship Id="rId536" Type="http://schemas.openxmlformats.org/officeDocument/2006/relationships/hyperlink" Target="file:///\\SRV-EPS-fai11.epsve.local\DPT\Services\SERVICE_DES_TRAVAUX\_NEW%20SERVEUR%20DPT\2000_PLAN%20TVX%20COURANT%20cl2-cl6\2025\130%20Suivi%20plan%20de%20travaux%202025\Classe%206\301%20P-DOMERCQ\LOT%2010%20-%20FDS%20CORPUS%20-%20METALLERIE\0554" TargetMode="External"/><Relationship Id="rId175" Type="http://schemas.openxmlformats.org/officeDocument/2006/relationships/hyperlink" Target="file:///\\SRV-EPS-fai11.epsve.local\DPT\Services\SERVICE_DES_TRAVAUX\_NEW%20SERVEUR%20DPT\2000_PLAN%20TVX%20COURANT%20cl2-cl6\2024\00%20plan%202024\010%20Suivi%20Plan%202024\CLasse%202\T2024020%20Asinerie%20Toiture" TargetMode="External"/><Relationship Id="rId743" Type="http://schemas.openxmlformats.org/officeDocument/2006/relationships/hyperlink" Target="file:///\\SRV-EPS-fai11.epsve.local\DPT\Services\SERVICE_DES_TRAVAUX\_NEW%20SERVEUR%20DPT\2000_PLAN%20TVX%20COURANT%20cl2-cl6\2025\130%20Suivi%20plan%20de%20travaux%202025\Classe%206\303%20R-MERONI\LOT%2008%20-%20ABPSI%20-STORES" TargetMode="External"/><Relationship Id="rId950" Type="http://schemas.openxmlformats.org/officeDocument/2006/relationships/hyperlink" Target="file:///\\SRV-EPS-fai11.epsve.local\DPT\Services\SERVICE_DES_TRAVAUX\_NEW%20SERVEUR%20DPT\2000_PLAN%20TVX%20COURANT%20cl2-cl6\2025\130%20Suivi%20plan%20de%20travaux%202025\Classe%206\501%20E-MINGANT\CONT_220026_lot01_SCHINDLER\0970" TargetMode="External"/><Relationship Id="rId1026" Type="http://schemas.openxmlformats.org/officeDocument/2006/relationships/hyperlink" Target="file:///\\SRV-EPS-fai11.epsve.local\DPT\Services\SERVICE_DES_TRAVAUX\_NEW%20SERVEUR%20DPT\2000_PLAN%20TVX%20COURANT%20cl2-cl6\2025\130%20Suivi%20plan%20de%20travaux%202025\Classe%202\T2025018%20appartement%20cours%20communs\Art%20et%20bois" TargetMode="External"/><Relationship Id="rId382" Type="http://schemas.openxmlformats.org/officeDocument/2006/relationships/hyperlink" Target="file:///\\SRV-EPS-fai11.epsve.local\DPT\Services\SERVICE_DES_TRAVAUX\_NEW%20SERVEUR%20DPT\2000_PLAN%20TVX%20COURANT%20cl2-cl6\2025\130%20Suivi%20plan%20de%20travaux%202025\Classe%206\303%20R-MERONI\LOT%2001%20-%20SANICOTHERM%20-%20MACONNERIE\395%20regis%20Sanitaires%201%20er%20&#233;tage" TargetMode="External"/><Relationship Id="rId603"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687" Type="http://schemas.openxmlformats.org/officeDocument/2006/relationships/hyperlink" Target="file:///\\SRV-EPS-fai11.epsve.local\DPT\Services\SERVICE_DES_TRAVAUX\_NEW%20SERVEUR%20DPT\2000_PLAN%20TVX%20COURANT%20cl2-cl6\2025\130%20Suivi%20plan%20de%20travaux%202025\Classe%206\501%20E-MINGANT\CONT_190023_lot00_DALKIA\0709" TargetMode="External"/><Relationship Id="rId810" Type="http://schemas.openxmlformats.org/officeDocument/2006/relationships/hyperlink" Target="file:///\\SRV-EPS-fai11.epsve.local\DPT\Services\SERVICE_DES_TRAVAUX\_NEW%20SERVEUR%20DPT\2000_PLAN%20TVX%20COURANT%20cl2-cl6\2025\130%20Suivi%20plan%20de%20travaux%202025\Classe%206\302%20M-ALEVEQUE\LOT%2009%20-%20SNTPP%20-%20VRD\0829%20parking" TargetMode="External"/><Relationship Id="rId908" Type="http://schemas.openxmlformats.org/officeDocument/2006/relationships/hyperlink" Target="file:///\\SRV-EPS-fai11.epsve.local\DPT\Services\SERVICE_DES_TRAVAUX\_NEW%20SERVEUR%20DPT\2000_PLAN%20TVX%20COURANT%20cl2-cl6\2025\130%20Suivi%20plan%20de%20travaux%202025\Classe%206\402%20F-BRESSAN\852%20Cameras%20entr&#233;e%20h&#244;pital" TargetMode="External"/><Relationship Id="rId242" Type="http://schemas.openxmlformats.org/officeDocument/2006/relationships/hyperlink" Target="file:///\\SRV-EPS-fai11.epsve.local\DPT\Services\SERVICE_DES_TRAVAUX\_NEW%20SERVEUR%20DPT\2000_PLAN%20TVX%20COURANT%20cl2-cl6\2025\130%20Suivi%20plan%20de%20travaux%202025\Classe%206\302%20M-ALEVEQUE\LOT%2009%20-%20SNTPP%20-%20VRD\0239%20galieni" TargetMode="External"/><Relationship Id="rId894" Type="http://schemas.openxmlformats.org/officeDocument/2006/relationships/hyperlink" Target="file:///\\SRV-EPS-fai11.epsve.local\DPT\Services\SERVICE_DES_TRAVAUX\_NEW%20SERVEUR%20DPT\2000_PLAN%20TVX%20COURANT%20cl2-cl6\2025\130%20Suivi%20plan%20de%20travaux%202025\Classe%206\402%20F-BRESSAN\0915" TargetMode="External"/><Relationship Id="rId37" Type="http://schemas.openxmlformats.org/officeDocument/2006/relationships/hyperlink" Target="file:///\\SRV-EPS-fai11.epsve.local\DPT\Services\SERVICE_DES_TRAVAUX\_NEW%20SERVEUR%20DPT\2000_PLAN%20TVX%20COURANT%20cl2-cl6\2024\00%20plan%202024\010%20Suivi%20Plan%202024\CLasse%202\T2024039%20renov%202024%2025%20%20CB2%20RDC%20ex%20G06\planchers%20chauffants%20cs%20et%202%20ci" TargetMode="External"/><Relationship Id="rId102" Type="http://schemas.openxmlformats.org/officeDocument/2006/relationships/hyperlink" Target="file:///\\SRV-EPS-fai11.epsve.local\DPT\Services\SERVICE_DES_TRAVAUX\_NEW%20SERVEUR%20DPT\2000_PLAN%20TVX%20COURANT%20cl2-cl6\2025\130%20Suivi%20plan%20de%20travaux%202025\Classe%206\301%20P-DOMERCQ\CMP" TargetMode="External"/><Relationship Id="rId547"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754" Type="http://schemas.openxmlformats.org/officeDocument/2006/relationships/hyperlink" Target="file:///\\SRV-EPS-fai11.epsve.local\DPT\Services\SERVICE_DES_TRAVAUX\_NEW%20SERVEUR%20DPT\2000_PLAN%20TVX%20COURANT%20cl2-cl6\2025\130%20Suivi%20plan%20de%20travaux%202025\Classe%206\302%20M-ALEVEQUE\LOT%2006%20-%20COBAT%20-%20ETANCHEITE\773%20dauphine" TargetMode="External"/><Relationship Id="rId961" Type="http://schemas.openxmlformats.org/officeDocument/2006/relationships/hyperlink" Target="file:///\\SRV-EPS-fai11.epsve.local\DPT\Services\SERVICE_DES_TRAVAUX\_NEW%20SERVEUR%20DPT\2000_PLAN%20TVX%20COURANT%20cl2-cl6\2025\130%20Suivi%20plan%20de%20travaux%202025\Classe%206\301%20P-DOMERCQ\LOT%2005%20-%20BSMG%20-%20CVC\0979" TargetMode="External"/><Relationship Id="rId90" Type="http://schemas.openxmlformats.org/officeDocument/2006/relationships/hyperlink" Target="file:///\\SRV-EPS-fai11.epsve.local\DPT\Services\SERVICE_DES_TRAVAUX\_NEW%20SERVEUR%20DPT\2000_PLAN%20TVX%20COURANT%20cl2-cl6\2025\130%20Suivi%20plan%20de%20travaux%202025\Classe%206\303%20R-MERONI\LOT%2002%20-%20ARTETLEBOIS%20-MENUISERIE\0091%20Claustra%20Montreuil%20RDC" TargetMode="External"/><Relationship Id="rId186" Type="http://schemas.openxmlformats.org/officeDocument/2006/relationships/hyperlink" Target="file:///\\SRV-EPS-fai11.epsve.local\DPT\Services\SERVICE_DES_TRAVAUX\_NEW%20SERVEUR%20DPT\2000_PLAN%20TVX%20COURANT%20cl2-cl6\2025\130%20Suivi%20plan%20de%20travaux%202025\Classe%206\501%20E-MINGANT\CONT_220026_lot01_SCHINDLER\0189" TargetMode="External"/><Relationship Id="rId393" Type="http://schemas.openxmlformats.org/officeDocument/2006/relationships/hyperlink" Target="file:///\\SRV-EPS-fai11.epsve.local\DPT\Services\SERVICE_DES_TRAVAUX\_NEW%20SERVEUR%20DPT\2000_PLAN%20TVX%20COURANT%20cl2-cl6\2025\130%20Suivi%20plan%20de%20travaux%202025\Classe%206\503%20P-EPIS\HM_\ATRP\0405%20%20AUBER.%20CB1%20G02%20%20PTI%20N&#176;%2082006" TargetMode="External"/><Relationship Id="rId407"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419" TargetMode="External"/><Relationship Id="rId614" Type="http://schemas.openxmlformats.org/officeDocument/2006/relationships/hyperlink" Target="file:///\\SRV-EPS-fai11.epsve.local\DPT\Services\SERVICE_DES_TRAVAUX\_NEW%20SERVEUR%20DPT\2000_PLAN%20TVX%20COURANT%20cl2-cl6\2025\130%20Suivi%20plan%20de%20travaux%202025\Classe%206\504%20D-PAQUIN\CONT_220023_lot04_CLIMATER%20clim" TargetMode="External"/><Relationship Id="rId821" Type="http://schemas.openxmlformats.org/officeDocument/2006/relationships/hyperlink" Target="file:///\\SRV-EPS-fai11.epsve.local\DPT\Services\SERVICE_DES_TRAVAUX\_NEW%20SERVEUR%20DPT\2000_PLAN%20TVX%20COURANT%20cl2-cl6\2025\130%20Suivi%20plan%20de%20travaux%202025\Classe%202\T2025008%20-%20Montreuil%20Pasteur%20toiture\046" TargetMode="External"/><Relationship Id="rId103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53"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60" Type="http://schemas.openxmlformats.org/officeDocument/2006/relationships/hyperlink" Target="file:///\\SRV-EPS-fai11.epsve.local\DPT\Services\SERVICE_DES_TRAVAUX\_NEW%20SERVEUR%20DPT\2000_PLAN%20TVX%20COURANT%20cl2-cl6\2025\130%20Suivi%20plan%20de%20travaux%202025\Classe%202\T2025016%20Ch%20de%20Gardes\CB1" TargetMode="External"/><Relationship Id="rId698" Type="http://schemas.openxmlformats.org/officeDocument/2006/relationships/hyperlink" Target="file:///\\SRV-EPS-fai11.epsve.local\DPT\Services\SERVICE_DES_TRAVAUX\_NEW%20SERVEUR%20DPT\2000_PLAN%20TVX%20COURANT%20cl2-cl6\2025\130%20Suivi%20plan%20de%20travaux%202025\Classe%202\T2025016%20Ch%20de%20Gardes\Montreuil%20Boissiere\0717%20Sanicotherm%20ch%20Garde" TargetMode="External"/><Relationship Id="rId919" Type="http://schemas.openxmlformats.org/officeDocument/2006/relationships/hyperlink" Target="file:///\\SRV-EPS-fai11.epsve.local\DPT\Services\SERVICE_DES_TRAVAUX\_NEW%20SERVEUR%20DPT\2000_PLAN%20TVX%20COURANT%20cl2-cl6\2025\130%20Suivi%20plan%20de%20travaux%202025\Classe%206\402%20F-BRESSAN\0850%20salto%20badges%20frequence" TargetMode="External"/><Relationship Id="rId1090" Type="http://schemas.openxmlformats.org/officeDocument/2006/relationships/hyperlink" Target="file:///\\SRV-EPS-fai11.epsve.local\DPT\Services\SERVICE_DES_TRAVAUX\_NEW%20SERVEUR%20DPT\2000_PLAN%20TVX%20COURANT%20cl2-cl6\2025\130%20Suivi%20plan%20de%20travaux%202025\Classe%206\403%20S-GALOUL\1108" TargetMode="External"/><Relationship Id="rId1104"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48"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13" Type="http://schemas.openxmlformats.org/officeDocument/2006/relationships/hyperlink" Target="file:///\\SRV-EPS-fai11.epsve.local\DPT\Services\SERVICE_DES_TRAVAUX\_NEW%20SERVEUR%20DPT\2000_PLAN%20TVX%20COURANT%20cl2-cl6\2025\130%20Suivi%20plan%20de%20travaux%202025\Classe%206\201%20M-CHEVALIER\MEGADEL" TargetMode="External"/><Relationship Id="rId320" Type="http://schemas.openxmlformats.org/officeDocument/2006/relationships/hyperlink" Target="file:///\\SRV-EPS-fai11.epsve.local\DPT\Services\SERVICE_DES_TRAVAUX\_NEW%20SERVEUR%20DPT\2000_PLAN%20TVX%20COURANT%20cl2-cl6\2025\130%20Suivi%20plan%20de%20travaux%202025\Classe%206\302%20M-ALEVEQUE\LOT%2004-%20TBES%20-%20ELECTRICITE%20CFO-CFA\0327Drh" TargetMode="External"/><Relationship Id="rId558"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65" Type="http://schemas.openxmlformats.org/officeDocument/2006/relationships/hyperlink" Target="file:///\\SRV-EPS-fai11.epsve.local\DPT\Services\SERVICE_DES_TRAVAUX\_NEW%20SERVEUR%20DPT\2000_PLAN%20TVX%20COURANT%20cl2-cl6\2025\130%20Suivi%20plan%20de%20travaux%202025\Classe%206\302%20M-ALEVEQUE\LOT%2005%20-%20BSMG%20-%20CVC\755%20acacias" TargetMode="External"/><Relationship Id="rId972" Type="http://schemas.openxmlformats.org/officeDocument/2006/relationships/hyperlink" Target="file:///\\SRV-EPS-fai11.epsve.local\DPT\Services\SERVICE_DES_TRAVAUX\_NEW%20SERVEUR%20DPT\2000_PLAN%20TVX%20COURANT%20cl2-cl6\2025\130%20Suivi%20plan%20de%20travaux%202025\Classe%206\403%20S-GALOUL\1010" TargetMode="External"/><Relationship Id="rId197"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418" Type="http://schemas.openxmlformats.org/officeDocument/2006/relationships/hyperlink" Target="file:///\\SRV-EPS-fai11.epsve.local\DPT\Services\SERVICE_DES_TRAVAUX\_NEW%20SERVEUR%20DPT\2000_PLAN%20TVX%20COURANT%20cl2-cl6\2025\130%20Suivi%20plan%20de%20travaux%202025\Classe%206\503%20P-EPIS\HM_\ATRP\0433%20%20AUBER.%20CB2%20Ex-G06%20%20PTI%20N&#176;86004" TargetMode="External"/><Relationship Id="rId625"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645" TargetMode="External"/><Relationship Id="rId832" Type="http://schemas.openxmlformats.org/officeDocument/2006/relationships/hyperlink" Target="file:///\\SRV-EPS-fai11.epsve.local\DPT\Services\SERVICE_DES_TRAVAUX\_NEW%20SERVEUR%20DPT\1000_OPE%20TVX%20STRAT\2025.02%20BATIMENT%20COUR%20DES%20COMMUNS\03%20SUIVI%20FNANCIER\038%20MOE\P.MARCHAND%202025" TargetMode="External"/><Relationship Id="rId1048" Type="http://schemas.openxmlformats.org/officeDocument/2006/relationships/hyperlink" Target="file:///\\SRV-EPS-fai11.epsve.local\DPT\Services\SERVICE_DES_TRAVAUX\_NEW%20SERVEUR%20DPT\2000_PLAN%20TVX%20COURANT%20cl2-cl6\2025\130%20Suivi%20plan%20de%20travaux%202025\Classe%206\504%20D-PAQUIN\MBC_LOT09%20SNTPP" TargetMode="External"/><Relationship Id="rId264" Type="http://schemas.openxmlformats.org/officeDocument/2006/relationships/hyperlink" Target="file:///\\SRV-EPS-fai11.epsve.local\DPT\Services\SERVICE_DES_TRAVAUX\_NEW%20SERVEUR%20DPT\2000_PLAN%20TVX%20COURANT%20cl2-cl6\2025\130%20Suivi%20plan%20de%20travaux%202025\Classe%206\504%20D-PAQUIN\MBC_LOT11%20SEA" TargetMode="External"/><Relationship Id="rId471" Type="http://schemas.openxmlformats.org/officeDocument/2006/relationships/hyperlink" Target="file:///\\SRV-EPS-fai11.epsve.local\DPT\Services\SERVICE_DES_TRAVAUX\_NEW%20SERVEUR%20DPT\2000_PLAN%20TVX%20COURANT%20cl2-cl6\2025\130%20Suivi%20plan%20de%20travaux%202025\Classe%206\502%20A-CARPINTEIRO" TargetMode="External"/><Relationship Id="rId59"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24"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569" Type="http://schemas.openxmlformats.org/officeDocument/2006/relationships/hyperlink" Target="file:///\\SRV-EPS-fai11.epsve.local\DPT\Services\SERVICE_DES_TRAVAUX\_NEW%20SERVEUR%20DPT\2000_PLAN%20TVX%20COURANT%20cl2-cl6\2025\130%20Suivi%20plan%20de%20travaux%202025\Classe%206\503%20P-EPIS\MBC_LOT04%20TBES" TargetMode="External"/><Relationship Id="rId776" Type="http://schemas.openxmlformats.org/officeDocument/2006/relationships/hyperlink" Target="file:///\\SRV-EPS-fai11.epsve.local\DPT\Services\SERVICE_DES_TRAVAUX\_NEW%20SERVEUR%20DPT\2000_PLAN%20TVX%20COURANT%20cl2-cl6\2025\130%20Suivi%20plan%20de%20travaux%202025\Classe%202\T2025003%20-%20Accessibilite\Bondy%20SDB%20G11" TargetMode="External"/><Relationship Id="rId983"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31" Type="http://schemas.openxmlformats.org/officeDocument/2006/relationships/hyperlink" Target="file:///\\SRV-EPS-fai11.epsve.local\DPT\Services\SERVICE_DES_TRAVAUX\_NEW%20SERVEUR%20DPT\2000_PLAN%20TVX%20COURANT%20cl2-cl6\2025\130%20Suivi%20plan%20de%20travaux%202025\Classe%206\504%20D-PAQUIN\CONT_JM-EAU-PLUS" TargetMode="External"/><Relationship Id="rId429" Type="http://schemas.openxmlformats.org/officeDocument/2006/relationships/hyperlink" Target="file:///\\SRV-EPS-fai11.epsve.local\DPT\Services\SERVICE_DES_TRAVAUX\_NEW%20SERVEUR%20DPT\1000_OPE%20TVX%20STRAT\2020.06%20POLE%20ENSEIGNT%20FORMATION\03%20SUIVI%20FINANCIER\038%20MOE\audiovisuel" TargetMode="External"/><Relationship Id="rId636" Type="http://schemas.openxmlformats.org/officeDocument/2006/relationships/hyperlink" Target="file:///\\SRV-EPS-fai11.epsve.local\DPT\Services\SERVICE_DES_TRAVAUX\_NEW%20SERVEUR%20DPT\2000_PLAN%20TVX%20COURANT%20cl2-cl6\2025\130%20Suivi%20plan%20de%20travaux%202025\Classe%206\301%20P-DOMERCQ\LOT%2003%20-%20LES%20PEINTURES%20PARISIENNES\0659%20peinture%20magnetique%20%20chd" TargetMode="External"/><Relationship Id="rId1059" Type="http://schemas.openxmlformats.org/officeDocument/2006/relationships/hyperlink" Target="file:///\\SRV-EPS-fai11.epsve.local\DPT\Services\SERVICE_DES_TRAVAUX\_NEW%20SERVEUR%20DPT\2000_PLAN%20TVX%20COURANT%20cl2-cl6\2025\130%20Suivi%20plan%20de%20travaux%202025\Classe%206\501%20E-MINGANT\CONT_190023_lot00_DALKIA\1077" TargetMode="External"/><Relationship Id="rId843" Type="http://schemas.openxmlformats.org/officeDocument/2006/relationships/hyperlink" Target="file:///\\SRV-EPS-fai11.epsve.local\DPT\Services\SERVICE_DES_TRAVAUX\_NEW%20SERVEUR%20DPT\2000_PLAN%20TVX%20COURANT%20cl2-cl6\2025\130%20Suivi%20plan%20de%20travaux%202025\Classe%206\403%20S-GALOUL\863" TargetMode="External"/><Relationship Id="rId275"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482"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03" Type="http://schemas.openxmlformats.org/officeDocument/2006/relationships/hyperlink" Target="file:///\\SRV-EPS-fai11.epsve.local\DPT\Services\SERVICE_DES_TRAVAUX\_NEW%20SERVEUR%20DPT\2000_PLAN%20TVX%20COURANT%20cl2-cl6\2025\130%20Suivi%20plan%20de%20travaux%202025\Classe%202\T2025017%20Internat%20Stockage%20Dahl\0441%20BSMG" TargetMode="External"/><Relationship Id="rId910"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933%20villemomble" TargetMode="External"/><Relationship Id="rId135" Type="http://schemas.openxmlformats.org/officeDocument/2006/relationships/hyperlink" Target="file:///\\SRV-EPS-fai11.epsve.local\DPT\Services\SERVICE_DES_TRAVAUX\_NEW%20SERVEUR%20DPT\1000_OPE%20TVX%20STRAT\2019.11%20POLE%20SANTE\00%20ETU%20PREALABLES\002%20AMIANTE\Avenir%20deconstruction\PLOMB%20complement" TargetMode="External"/><Relationship Id="rId342" Type="http://schemas.openxmlformats.org/officeDocument/2006/relationships/hyperlink" Target="file:///\\SRV-EPS-fai11.epsve.local\DPT\Services\SERVICE_DES_TRAVAUX\_NEW%20SERVEUR%20DPT\2000_PLAN%20TVX%20COURANT%20cl2-cl6\2025\130%20Suivi%20plan%20de%20travaux%202025\Classe%206\303%20R-MERONI\LOT%2005%20-%20BSMG%20-%20CVC\MONTREUIL%20Boissiere\352%20Robinet%20puisage%20%20Jardin%20enfants" TargetMode="External"/><Relationship Id="rId787" Type="http://schemas.openxmlformats.org/officeDocument/2006/relationships/hyperlink" Target="file:///\\SRV-EPS-fai11.epsve.local\DPT\Services\SERVICE_DES_TRAVAUX\_NEW%20SERVEUR%20DPT\2000_PLAN%20TVX%20COURANT%20cl2-cl6\2025\130%20Suivi%20plan%20de%20travaux%202025\Classe%206\102%20JC-HONART\ac%20environnement" TargetMode="External"/><Relationship Id="rId994"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02" Type="http://schemas.openxmlformats.org/officeDocument/2006/relationships/hyperlink" Target="file:///\\SRV-EPS-fai11.epsve.local\DPT\Services\SERVICE_DES_TRAVAUX\_NEW%20SERVEUR%20DPT\2000_PLAN%20TVX%20COURANT%20cl2-cl6\2025\130%20Suivi%20plan%20de%20travaux%202025\Classe%206\503%20P-EPIS\HM_\ATRP" TargetMode="External"/><Relationship Id="rId647"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854"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871%20%20AUBER%20CB3" TargetMode="External"/><Relationship Id="rId286"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493"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D-0492%20%20St%20DENIS%20%20r&#233;gule%20inter%20Portail%20ambulance" TargetMode="External"/><Relationship Id="rId507" Type="http://schemas.openxmlformats.org/officeDocument/2006/relationships/hyperlink" Target="file:///\\SRV-EPS-fai11.epsve.local\DPT\Services\SERVICE_DES_TRAVAUX\_NEW%20SERVEUR%20DPT\2000_PLAN%20TVX%20COURANT%20cl2-cl6\2025\130%20Suivi%20plan%20de%20travaux%202025\Classe%206\501%20E-MINGANT\MBC_LOT13%20AC2P\0533" TargetMode="External"/><Relationship Id="rId714"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731%20Amicale%20Repas" TargetMode="External"/><Relationship Id="rId921"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50" Type="http://schemas.openxmlformats.org/officeDocument/2006/relationships/hyperlink" Target="file:///\\SRV-EPS-fai11.epsve.local\DPT\Services\SERVICE_DES_TRAVAUX\_NEW%20SERVEUR%20DPT\2000_PLAN%20TVX%20COURANT%20cl2-cl6\2025\130%20Suivi%20plan%20de%20travaux%202025\Classe%206\504%20D-PAQUIN\CONT_220025_lot07_GULDAGIL-GILCAM%20Traitements%20eau" TargetMode="External"/><Relationship Id="rId146"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353"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362" TargetMode="External"/><Relationship Id="rId560"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98"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213"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218%20Couloir%20%20reprographie" TargetMode="External"/><Relationship Id="rId420"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658" Type="http://schemas.openxmlformats.org/officeDocument/2006/relationships/hyperlink" Target="file:///\\SRV-EPS-fai11.epsve.local\DPT\Services\SERVICE_DES_TRAVAUX\_NEW%20SERVEUR%20DPT\2000_PLAN%20TVX%20COURANT%20cl2-cl6\2025\130%20Suivi%20plan%20de%20travaux%202025\Classe%202\T2025023%20NSM%20caf&#233;t&#233;ria\DEVIS%20METALLERIE%20PORTE%20FENETRE\CMP" TargetMode="External"/><Relationship Id="rId865" Type="http://schemas.openxmlformats.org/officeDocument/2006/relationships/hyperlink" Target="file:///\\SRV-EPS-fai11.epsve.local\DPT\Services\SERVICE_DES_TRAVAUX\_NEW%20SERVEUR%20DPT\2000_PLAN%20TVX%20COURANT%20cl2-cl6\2025\130%20Suivi%20plan%20de%20travaux%202025\Classe%206\403%20S-GALOUL\884" TargetMode="External"/><Relationship Id="rId1050"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297" Type="http://schemas.openxmlformats.org/officeDocument/2006/relationships/hyperlink" Target="file:///\\SRV-EPS-fai11.epsve.local\DPT\Services\SERVICE_DES_TRAVAUX\_NEW%20SERVEUR%20DPT\2000_PLAN%20TVX%20COURANT%20cl2-cl6\2025\130%20Suivi%20plan%20de%20travaux%202025\Classe%206\501%20E-MINGANT\CONT_190023_lot00_DALKIA\0307" TargetMode="External"/><Relationship Id="rId518"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25"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743" TargetMode="External"/><Relationship Id="rId932" Type="http://schemas.openxmlformats.org/officeDocument/2006/relationships/hyperlink" Target="file:///\\SRV-EPS-fai11.epsve.local\DPT\Services\SERVICE_DES_TRAVAUX\_NEW%20SERVEUR%20DPT\2000_PLAN%20TVX%20COURANT%20cl2-cl6\2025\130%20Suivi%20plan%20de%20travaux%202025\Classe%206\301%20P-DOMERCQ\LOT%2005%20-%20BSMG%20-%20CVC\0922" TargetMode="External"/><Relationship Id="rId157" Type="http://schemas.openxmlformats.org/officeDocument/2006/relationships/hyperlink" Target="file:///\\SRV-EPS-fai11.epsve.local\DPT\Services\SERVICE_DES_TRAVAUX\_NEW%20SERVEUR%20DPT\2000_PLAN%20TVX%20COURANT%20cl2-cl6\2025\130%20Suivi%20plan%20de%20travaux%202025\Classe%206\302%20M-ALEVEQUE\LOT%2009%20-%20SNTPP%20-%20VRD\0047%20noisy%20le%20grand" TargetMode="External"/><Relationship Id="rId364" Type="http://schemas.openxmlformats.org/officeDocument/2006/relationships/hyperlink" Target="file:///\\SRV-EPS-fai11.epsve.local\DPT\Services\SERVICE_DES_TRAVAUX\_NEW%20SERVEUR%20DPT\2000_PLAN%20TVX%20COURANT%20cl2-cl6\2025\130%20Suivi%20plan%20de%20travaux%202025\Classe%206\501%20E-MINGANT\CONT_190023_lot00_DALKIA\0377" TargetMode="External"/><Relationship Id="rId1008" Type="http://schemas.openxmlformats.org/officeDocument/2006/relationships/hyperlink" Target="file:///\\SRV-EPS-fai11.epsve.local\DPT\Services\SERVICE_DES_TRAVAUX\_NEW%20SERVEUR%20DPT\2000_PLAN%20TVX%20COURANT%20cl2-cl6\2025\130%20Suivi%20plan%20de%20travaux%202025\Classe%202\T2025016%20Ch%20de%20Gardes\Montreuil%20Boissiere\1023%20%202%20&#233;tag&#232;res%20d&#233;corative" TargetMode="External"/><Relationship Id="rId61"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571" Type="http://schemas.openxmlformats.org/officeDocument/2006/relationships/hyperlink" Target="file:///\\SRV-EPS-fai11.epsve.local\DPT\Services\SERVICE_DES_TRAVAUX\_NEW%20SERVEUR%20DPT\2000_PLAN%20TVX%20COURANT%20cl2-cl6\2025\130%20Suivi%20plan%20de%20travaux%202025\Classe%206\303%20R-MERONI\LOT%2008%20-%20ABPSI%20-STORES\0590%20%20Montfermeil%20Bargue%20Urgence" TargetMode="External"/><Relationship Id="rId669" Type="http://schemas.openxmlformats.org/officeDocument/2006/relationships/hyperlink" Target="file:///\\SRV-EPS-fai11.epsve.local\DPT\Services\SERVICE_DES_TRAVAUX\_NEW%20SERVEUR%20DPT\2000_PLAN%20TVX%20COURANT%20cl2-cl6\2025\130%20Suivi%20plan%20de%20travaux%202025\Classe%206\503%20P-EPIS\MBC_LOT04%20TBES" TargetMode="External"/><Relationship Id="rId876" Type="http://schemas.openxmlformats.org/officeDocument/2006/relationships/hyperlink" Target="file:///\\SRV-EPS-fai11.epsve.local\DPT\Services\SERVICE_DES_TRAVAUX\_NEW%20SERVEUR%20DPT\2000_PLAN%20TVX%20COURANT%20cl2-cl6\2025\130%20Suivi%20plan%20de%20travaux%202025\Classe%202\T2025028%20Travaux%20Magasin%20General\0896" TargetMode="External"/><Relationship Id="rId19" Type="http://schemas.openxmlformats.org/officeDocument/2006/relationships/hyperlink" Target="file:///\\SRV-EPS-fai11.epsve.local\DPT\Services\SERVICE_DES_TRAVAUX\_NEW%20SERVEUR%20DPT\2000_PLAN%20TVX%20COURANT%20cl2-cl6\2025\130%20Suivi%20plan%20de%20travaux%202025\Classe%206\303%20R-MERONI\LOT%2007%20-%20SCHNEIDER%20-%20COUVERTURE\23%20Devis%20Schneider%20Velux%20Direction%203%20eme%20&#233;tage%20Bou" TargetMode="External"/><Relationship Id="rId224" Type="http://schemas.openxmlformats.org/officeDocument/2006/relationships/hyperlink" Target="file:///\\SRV-EPS-fai11.epsve.local\DPT\Services\SERVICE_DES_TRAVAUX\_NEW%20SERVEUR%20DPT\2000_PLAN%20TVX%20COURANT%20cl2-cl6\2025\130%20Suivi%20plan%20de%20travaux%202025\Classe%206\501%20E-MINGANT\CONT_220022_lot03_UTB_Insta%20thermiques\0229" TargetMode="External"/><Relationship Id="rId431"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529"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36" Type="http://schemas.openxmlformats.org/officeDocument/2006/relationships/hyperlink" Target="file:///\\SRV-EPS-fai11.epsve.local\DPT\Services\SERVICE_DES_TRAVAUX\_NEW%20SERVEUR%20DPT\2000_PLAN%20TVX%20COURANT%20cl2-cl6\2025\130%20Suivi%20plan%20de%20travaux%202025\Classe%206\302%20M-ALEVEQUE\LOT%2013%20-%20AC2P%20-%20CLOISONS%20FAUX%20PLAF\0754%20Alize%20Acacias" TargetMode="External"/><Relationship Id="rId1061" Type="http://schemas.openxmlformats.org/officeDocument/2006/relationships/hyperlink" Target="file:///\\SRV-EPS-fai11.epsve.local\DPT\Services\SERVICE_DES_TRAVAUX\_NEW%20SERVEUR%20DPT\2000_PLAN%20TVX%20COURANT%20cl2-cl6\2025\130%20Suivi%20plan%20de%20travaux%202025\Classe%206\501%20E-MINGANT\CONT_190023_lot00_DALKIA\1079" TargetMode="External"/><Relationship Id="rId168" Type="http://schemas.openxmlformats.org/officeDocument/2006/relationships/hyperlink" Target="file:///\\SRV-EPS-fai11.epsve.local\DPT\Services\SERVICE_DES_TRAVAUX\_NEW%20SERVEUR%20DPT\2000_PLAN%20TVX%20COURANT%20cl2-cl6\2025\130%20Suivi%20plan%20de%20travaux%202025\Classe%206\501%20E-MINGANT\CONT_220022_lot03_UTB_Insta%20thermiques\0171" TargetMode="External"/><Relationship Id="rId943" Type="http://schemas.openxmlformats.org/officeDocument/2006/relationships/hyperlink" Target="file:///\\SRV-EPS-fai11.epsve.local\DPT\Services\SERVICE_DES_TRAVAUX\_NEW%20SERVEUR%20DPT\2000_PLAN%20TVX%20COURANT%20cl2-cl6\2025\130%20Suivi%20plan%20de%20travaux%202025\Classe%206\402%20F-BRESSAN\0963-tbes%20entr&#233;e%20NSM%20poteau" TargetMode="External"/><Relationship Id="rId1019" Type="http://schemas.openxmlformats.org/officeDocument/2006/relationships/hyperlink" Target="file:///\\SRV-EPS-fai11.epsve.local\DPT\Services\SERVICE_DES_TRAVAUX\_NEW%20SERVEUR%20DPT\2000_PLAN%20TVX%20COURANT%20cl2-cl6\2025\130%20Suivi%20plan%20de%20travaux%202025\Classe%206\503%20P-EPIS\MBC_LOT04%20TBES" TargetMode="External"/><Relationship Id="rId72" Type="http://schemas.openxmlformats.org/officeDocument/2006/relationships/hyperlink" Target="file:///\\SRV-EPS-fai11.epsve.local\DPT\Services\SERVICE_DES_TRAVAUX\_NEW%20SERVEUR%20DPT\2000_PLAN%20TVX%20COURANT%20cl2-cl6\2025\130%20Suivi%20plan%20de%20travaux%202025\Classe%206\302%20M-ALEVEQUE\LOT%2013%20-%20AC2P%20-%20CLOISONS%20FAUX%20PLAF\0082%20thomoux" TargetMode="External"/><Relationship Id="rId375" Type="http://schemas.openxmlformats.org/officeDocument/2006/relationships/hyperlink" Target="file:///\\SRV-EPS-fai11.epsve.local\DPT\Services\SERVICE_DES_TRAVAUX\_NEW%20SERVEUR%20DPT\2000_PLAN%20TVX%20COURANT%20cl2-cl6\2025\130%20Suivi%20plan%20de%20travaux%202025\Classe%206\502%20A-CARPINTEIRO\MBC_LOT02%20AELB\0388" TargetMode="External"/><Relationship Id="rId582" Type="http://schemas.openxmlformats.org/officeDocument/2006/relationships/hyperlink" Target="file:///\\SRV-EPS-fai11.epsve.local\DPT\Services\SERVICE_DES_TRAVAUX\_NEW%20SERVEUR%20DPT\2000_PLAN%20TVX%20COURANT%20cl2-cl6\2025\130%20Suivi%20plan%20de%20travaux%202025\Classe%206\501%20E-MINGANT\CONT_220026_lot01_SCHINDLER\0601" TargetMode="External"/><Relationship Id="rId803" Type="http://schemas.openxmlformats.org/officeDocument/2006/relationships/hyperlink" Target="file:///L:\Services\SERVICE_DES_TRAVAUX\_NEW%20SERVEUR%20DPT\2000_PLAN%20TVX%20COURANT%20cl2-cl6\2025\130%20Suivi%20plan%20de%20travaux%202025\Classe%206\503%20P-EPIS\CONT_220024_lot08_VULCAIN%20Barriere-Porte%20Auto\D-0823%20%20NSM%20Transport%20R%20en%20S%20porte%20sect.%20%20atelier%20m&#233;ca" TargetMode="External"/><Relationship Id="rId3" Type="http://schemas.openxmlformats.org/officeDocument/2006/relationships/hyperlink" Target="file:///\\SRV-EPS-fai11.epsve.local\DPT\Services\SERVICE_DES_TRAVAUX\_NEW%20SERVEUR%20DPT\2000_PLAN%20TVX%20COURANT%20cl2-cl6\2025\130%20Suivi%20plan%20de%20travaux%202025\Classe%202\T2025001%20-%20Montreuil%20boissi&#232;re" TargetMode="External"/><Relationship Id="rId235" Type="http://schemas.openxmlformats.org/officeDocument/2006/relationships/hyperlink" Target="file:///\\SRV-EPS-fai11.epsve.local\DPT\Services\SERVICE_DES_TRAVAUX\_NEW%20SERVEUR%20DPT\2000_PLAN%20TVX%20COURANT%20cl2-cl6\2024\00%20plan%202024\010%20Suivi%20Plan%202024\CLasse%202\T2024034%20R&#233;novation%20appartements%20GAGNY\LOT%2003%20-%20LES%20PEINTURES%20PARISIENNES\240" TargetMode="External"/><Relationship Id="rId442"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456" TargetMode="External"/><Relationship Id="rId887" Type="http://schemas.openxmlformats.org/officeDocument/2006/relationships/hyperlink" Target="file:///\\SRV-EPS-fai11.epsve.local\DPT\Services\SERVICE_DES_TRAVAUX\_NEW%20SERVEUR%20DPT\2000_PLAN%20TVX%20COURANT%20cl2-cl6\2025\130%20Suivi%20plan%20de%20travaux%202025\Classe%202\T2025029%20Cr&#233;ation%20Bx%20Mal%20BAGNOLET\0908%20LPP%20Sol%20souple" TargetMode="External"/><Relationship Id="rId1072"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302" Type="http://schemas.openxmlformats.org/officeDocument/2006/relationships/hyperlink" Target="file:///\\SRV-EPS-fai11.epsve.local\DPT\Services\SERVICE_DES_TRAVAUX\_NEW%20SERVEUR%20DPT\2000_PLAN%20TVX%20COURANT%20cl2-cl6\2025\130%20Suivi%20plan%20de%20travaux%202025\Classe%206\301%20P-DOMERCQ\LOT%2013%20-%20AC2P%20-%20CLOISONS%20FAUX%20PLAF\0312" TargetMode="External"/><Relationship Id="rId747" Type="http://schemas.openxmlformats.org/officeDocument/2006/relationships/hyperlink" Target="file:///\\SRV-EPS-fai11.epsve.local\DPT\Services\SERVICE_DES_TRAVAUX\_NEW%20SERVEUR%20DPT\2000_PLAN%20TVX%20COURANT%20cl2-cl6\2025\130%20Suivi%20plan%20de%20travaux%202025\Classe%206\501%20E-MINGANT\CONT_220026_lot01_SCHINDLER\0766" TargetMode="External"/><Relationship Id="rId954" Type="http://schemas.openxmlformats.org/officeDocument/2006/relationships/hyperlink" Target="file:///\\SRV-EPS-fai11.epsve.local\DPT\Services\SERVICE_DES_TRAVAUX\_NEW%20SERVEUR%20DPT\2000_PLAN%20TVX%20COURANT%20cl2-cl6\2025\130%20Suivi%20plan%20de%20travaux%202025\Classe%206\501%20E-MINGANT\CONT_190023_lot00_DALKIA\0973" TargetMode="External"/><Relationship Id="rId83"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179" Type="http://schemas.openxmlformats.org/officeDocument/2006/relationships/hyperlink" Target="file:///\\SRV-EPS-fai11.epsve.local\DPT\Services\SERVICE_DES_TRAVAUX\_NEW%20SERVEUR%20DPT\2000_PLAN%20TVX%20COURANT%20cl2-cl6\2025\130%20Suivi%20plan%20de%20travaux%202025\Classe%202\T2025005%20Appartement%20%20Unirre-Care\182%20Fenetres%20PVC%20Appartement%20th&#233;rap%20MOREAU" TargetMode="External"/><Relationship Id="rId386" Type="http://schemas.openxmlformats.org/officeDocument/2006/relationships/hyperlink" Target="file:///\\SRV-EPS-fai11.epsve.local\DPT\Services\SERVICE_DES_TRAVAUX\_NEW%20SERVEUR%20DPT\2000_PLAN%20TVX%20COURANT%20cl2-cl6\2025\130%20Suivi%20plan%20de%20travaux%202025\Classe%206\101%20C-DARRET\Formation%20Savee" TargetMode="External"/><Relationship Id="rId593" Type="http://schemas.openxmlformats.org/officeDocument/2006/relationships/hyperlink" Target="file:///\\SRV-EPS-fai11.epsve.local\DPT\Services\SERVICE_DES_TRAVAUX\_NEW%20SERVEUR%20DPT\2000_PLAN%20TVX%20COURANT%20cl2-cl6\2025\130%20Suivi%20plan%20de%20travaux%202025\Classe%206\502%20A-CARPINTEIRO\MBC_LOT08%20ABPSI\0614" TargetMode="External"/><Relationship Id="rId607"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814"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833" TargetMode="External"/><Relationship Id="rId246" Type="http://schemas.openxmlformats.org/officeDocument/2006/relationships/hyperlink" Target="file:///\\SRV-EPS-fai11.epsve.local\DPT\Services\SERVICE_DES_TRAVAUX\_NEW%20SERVEUR%20DPT\2000_PLAN%20TVX%20COURANT%20cl2-cl6\2025\130%20Suivi%20plan%20de%20travaux%202025\Classe%206\303%20R-MERONI\LOT%2006%20-%20COBAT%20-%20ETANCHEITE" TargetMode="External"/><Relationship Id="rId453"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466" TargetMode="External"/><Relationship Id="rId660" Type="http://schemas.openxmlformats.org/officeDocument/2006/relationships/hyperlink" Target="file:///\\SRV-EPS-fai11.epsve.local\DPT\Services\SERVICE_DES_TRAVAUX\_NEW%20SERVEUR%20DPT\2000_PLAN%20TVX%20COURANT%20cl2-cl6\2025\130%20Suivi%20plan%20de%20travaux%202025\Classe%206\502%20A-CARPINTEIRO\MBC_LOT08%20ABPSI" TargetMode="External"/><Relationship Id="rId898" Type="http://schemas.openxmlformats.org/officeDocument/2006/relationships/hyperlink" Target="file:///\\SRV-EPS-fai11.epsve.local\DPT\Services\SERVICE_DES_TRAVAUX\_NEW%20SERVEUR%20DPT\2000_PLAN%20TVX%20COURANT%20cl2-cl6\2025\130%20Suivi%20plan%20de%20travaux%202025\Classe%206\403%20S-GALOUL\919" TargetMode="External"/><Relationship Id="rId1083"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106" Type="http://schemas.openxmlformats.org/officeDocument/2006/relationships/hyperlink" Target="file:///\\SRV-EPS-fai11.epsve.local\DPT\Services\SERVICE_DES_TRAVAUX\_NEW%20SERVEUR%20DPT\2000_PLAN%20TVX%20COURANT%20cl2-cl6\2025\130%20Suivi%20plan%20de%20travaux%202025\Classe%206\303%20R-MERONI\LOT%2005%20-%20BSMG%20-%20CVC\MAS\0110%20Extracteur%20MAS" TargetMode="External"/><Relationship Id="rId313"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758" Type="http://schemas.openxmlformats.org/officeDocument/2006/relationships/hyperlink" Target="file:///\\SRV-EPS-fai11.epsve.local\DPT\Services\SERVICE_DES_TRAVAUX\_NEW%20SERVEUR%20DPT\2000_PLAN%20TVX%20COURANT%20cl2-cl6\2025\130%20Suivi%20plan%20de%20travaux%202025\Classe%206\301%20P-DOMERCQ\LOT%2001%20-%20SANICOTHERM%20-%20MACONNERIE\0776" TargetMode="External"/><Relationship Id="rId965"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983" TargetMode="External"/><Relationship Id="rId10" Type="http://schemas.openxmlformats.org/officeDocument/2006/relationships/hyperlink" Target="file:///\\SRV-EPS-fai11.epsve.local\DPT\Services\SERVICE_DES_TRAVAUX\_NEW%20SERVEUR%20DPT\2000_PLAN%20TVX%20COURANT%20cl2-cl6\2025\130%20Suivi%20plan%20de%20travaux%202025\Classe%206\301%20P-DOMERCQ\LOT%2005%20-%20BSMG%20-%20CVC" TargetMode="External"/><Relationship Id="rId94" Type="http://schemas.openxmlformats.org/officeDocument/2006/relationships/hyperlink" Target="file:///\\SRV-EPS-fai11.epsve.local\DPT\Services\SERVICE_DES_TRAVAUX\_NEW%20SERVEUR%20DPT\2000_PLAN%20TVX%20COURANT%20cl2-cl6\2025\130%20Suivi%20plan%20de%20travaux%202025\Classe%206\501%20E-MINGANT\CONT_190023_lot00_DALKIA\0098" TargetMode="External"/><Relationship Id="rId397" Type="http://schemas.openxmlformats.org/officeDocument/2006/relationships/hyperlink" Target="file:///\\SRV-EPS-fai11.epsve.local\DPT\Services\SERVICE_DES_TRAVAUX\_NEW%20SERVEUR%20DPT\2000_PLAN%20TVX%20COURANT%20cl2-cl6\2025\130%20Suivi%20plan%20de%20travaux%202025\Classe%202\T2025015%20UCP\FAUCHON" TargetMode="External"/><Relationship Id="rId520" Type="http://schemas.openxmlformats.org/officeDocument/2006/relationships/hyperlink" Target="file:///\\SRV-EPS-fai11.epsve.local\DPT\Services\SERVICE_DES_TRAVAUX\_NEW%20SERVEUR%20DPT\2000_PLAN%20TVX%20COURANT%20cl2-cl6\2025\130%20Suivi%20plan%20de%20travaux%202025\Classe%206\504%20D-PAQUIN\MBC_LOT05%20BSMG-LTDf" TargetMode="External"/><Relationship Id="rId618"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825" Type="http://schemas.openxmlformats.org/officeDocument/2006/relationships/hyperlink" Target="file:///\\SRV-EPS-fai11.epsve.local\DPT\Services\SERVICE_DES_TRAVAUX\_NEW%20SERVEUR%20DPT\1000_OPE%20TVX%20STRAT\0005%20march&#233;%20socotec\0843%20espace%20famille%20CB1" TargetMode="External"/><Relationship Id="rId257" Type="http://schemas.openxmlformats.org/officeDocument/2006/relationships/hyperlink" Target="file:///\\SRV-EPS-fai11.epsve.local\DPT\Services\SERVICE_DES_TRAVAUX\_NEW%20SERVEUR%20DPT\2000_PLAN%20TVX%20COURANT%20cl2-cl6\2025\130%20Suivi%20plan%20de%20travaux%202025\Classe%206\402%20F-BRESSAN" TargetMode="External"/><Relationship Id="rId464" Type="http://schemas.openxmlformats.org/officeDocument/2006/relationships/hyperlink" Target="file:///\\SRV-EPS-fai11.epsve.local\DPT\Services\SERVICE_DES_TRAVAUX\_NEW%20SERVEUR%20DPT\2000_PLAN%20TVX%20COURANT%20cl2-cl6\2025\130%20Suivi%20plan%20de%20travaux%202025\Classe%206\302%20M-ALEVEQUE\LOT%2006%20-%20COBAT%20-%20ETANCHEITE\0483%20thomoux" TargetMode="External"/><Relationship Id="rId1010" Type="http://schemas.openxmlformats.org/officeDocument/2006/relationships/hyperlink" Target="file:///\\SRV-EPS-fai11.epsve.local\DPT\Services\SERVICE_DES_TRAVAUX\_NEW%20SERVEUR%20DPT\2000_PLAN%20TVX%20COURANT%20cl2-cl6\2025\130%20Suivi%20plan%20de%20travaux%202025\Classe%206\303%20R-MERONI\LOT%2001%20-%20SANICOTHERM%20-%20MACONNERIE\1027%20%20%20Bondy%20%20SDB%20%20CSI%2010%20%20G14" TargetMode="External"/><Relationship Id="rId1094"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1108" Type="http://schemas.openxmlformats.org/officeDocument/2006/relationships/vmlDrawing" Target="../drawings/vmlDrawing1.vml"/><Relationship Id="rId117" Type="http://schemas.openxmlformats.org/officeDocument/2006/relationships/hyperlink" Target="file:///\\SRV-EPS-fai11.epsve.local\DPT\Services\SERVICE_DES_TRAVAUX\_NEW%20SERVEUR%20DPT\2000_PLAN%20TVX%20COURANT%20cl2-cl6\2025\130%20Suivi%20plan%20de%20travaux%202025\Classe%206\302%20M-ALEVEQUE\LOT%2003%20-%20LES%20PEINTURES%20PARISIENNES\0121%20thomoux" TargetMode="External"/><Relationship Id="rId671" Type="http://schemas.openxmlformats.org/officeDocument/2006/relationships/hyperlink" Target="file:///\\SRV-EPS-fai11.epsve.local\DPT\Services\SERVICE_DES_TRAVAUX\_NEW%20SERVEUR%20DPT\2000_PLAN%20TVX%20COURANT%20cl2-cl6\2025\130%20Suivi%20plan%20de%20travaux%202025\Classe%202\T2025018%20appartement%20cours%20communs\AC2P" TargetMode="External"/><Relationship Id="rId769" Type="http://schemas.openxmlformats.org/officeDocument/2006/relationships/hyperlink" Target="file:///\\SRV-EPS-fai11.epsve.local\DPT\Services\SERVICE_DES_TRAVAUX\_NEW%20SERVEUR%20DPT\2000_PLAN%20TVX%20COURANT%20cl2-cl6\2025\130%20Suivi%20plan%20de%20travaux%202025\Classe%206\302%20M-ALEVEQUE\LOT%2010%20-%20FDS%20CORPUS%20-%20METALLERIE\structure%20cuve%20fuel" TargetMode="External"/><Relationship Id="rId976" Type="http://schemas.openxmlformats.org/officeDocument/2006/relationships/hyperlink" Target="file:///\\Srv-eps-fai11\dpt\Services\SERVICE_DES_TRAVAUX\_NEW%20SERVEUR%20DPT\2000_PLAN%20TVX%20COURANT%20cl2-cl6\2025\130%20Suivi%20plan%20de%20travaux%202025\Classe%206\503%20P-EPIS\CONT_220024_lot08_VULCAIN%20Barriere-Porte%20Auto" TargetMode="External"/><Relationship Id="rId324" Type="http://schemas.openxmlformats.org/officeDocument/2006/relationships/hyperlink" Target="file:///\\SRV-EPS-fai11.epsve.local\DPT\Services\SERVICE_DES_TRAVAUX\_NEW%20SERVEUR%20DPT\2000_PLAN%20TVX%20COURANT%20cl2-cl6\2025\130%20Suivi%20plan%20de%20travaux%202025\Classe%202\T2025005%20Appartement%20%20Unirre-Care\331%20BSMG%20Cuine-sanitaire%20-SDB%20Appartement%20Moreau" TargetMode="External"/><Relationship Id="rId531"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0549" TargetMode="External"/><Relationship Id="rId629" Type="http://schemas.openxmlformats.org/officeDocument/2006/relationships/hyperlink" Target="file:///\\SRV-EPS-fai11.epsve.local\DPT\Services\SERVICE_DES_TRAVAUX\_NEW%20SERVEUR%20DPT\2000_PLAN%20TVX%20COURANT%20cl2-cl6\2025\130%20Suivi%20plan%20de%20travaux%202025\Classe%206\302%20M-ALEVEQUE\LOT%2001%20-%20SANICOTHERM%20-%20MACONNERIE\0646%20dauphine%20sol" TargetMode="External"/><Relationship Id="rId836" Type="http://schemas.openxmlformats.org/officeDocument/2006/relationships/hyperlink" Target="file:///\\srv-eps-fai11\dpt\Services\SERVICE_DES_TRAVAUX\_NEW%20SERVEUR%20DPT\2000_PLAN%20TVX%20COURANT%20cl2-cl6\2025\130%20Suivi%20plan%20de%20travaux%202025\Classe%206\403%20S-GALOUL\856" TargetMode="External"/><Relationship Id="rId1021" Type="http://schemas.openxmlformats.org/officeDocument/2006/relationships/hyperlink" Target="file:///\\SRV-EPS-fai11.epsve.local\DPT\Services\SERVICE_DES_TRAVAUX\_NEW%20SERVEUR%20DPT\2000_PLAN%20TVX%20COURANT%20cl2-cl6\2025\130%20Suivi%20plan%20de%20travaux%202025\Classe%206\403%20S-GALOUL\1038" TargetMode="External"/><Relationship Id="rId903" Type="http://schemas.openxmlformats.org/officeDocument/2006/relationships/hyperlink" Target="file:///\\SRV-EPS-fai11.epsve.local\DPT\Services\SERVICE_DES_TRAVAUX\_NEW%20SERVEUR%20DPT\2000_PLAN%20TVX%20COURANT%20cl2-cl6\2025\130%20Suivi%20plan%20de%20travaux%202025\Classe%206\501%20E-MINGANT\CONT_220026_lot01_SCHINDLER\0925" TargetMode="External"/><Relationship Id="rId32" Type="http://schemas.openxmlformats.org/officeDocument/2006/relationships/hyperlink" Target="file:///\\SRV-EPS-fai11.epsve.local\DPT\Services\SERVICE_DES_TRAVAUX\_NEW%20SERVEUR%20DPT\2000_PLAN%20TVX%20COURANT%20cl2-cl6\2024\00%20plan%202024\010%20Suivi%20Plan%202024\CLasse%202\T2024039%20renov%202024%2025%20%20CB2%20RDC%20ex%20G06" TargetMode="External"/><Relationship Id="rId181"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279" Type="http://schemas.openxmlformats.org/officeDocument/2006/relationships/hyperlink" Target="file:///\\SRV-EPS-fai11.epsve.local\DPT\Services\SERVICE_DES_TRAVAUX\_NEW%20SERVEUR%20DPT\2000_PLAN%20TVX%20COURANT%20cl2-cl6\2025\130%20Suivi%20plan%20de%20travaux%202025\Classe%202\T2025009%20cuisine%20therapeutique\0271%20cuisine%20suresnes" TargetMode="External"/><Relationship Id="rId486" Type="http://schemas.openxmlformats.org/officeDocument/2006/relationships/hyperlink" Target="file:///\\SRV-EPS-fai11.epsve.local\DPT\Services\SERVICE_DES_TRAVAUX\_NEW%20SERVEUR%20DPT\2000_PLAN%20TVX%20COURANT%20cl2-cl6\2025\130%20Suivi%20plan%20de%20travaux%202025\Classe%206\303%20R-MERONI\LOT%2003%20-%20LES%20PEINTURES%20PARISIENNES\0506%20MAS%20Pgmme" TargetMode="External"/><Relationship Id="rId693" Type="http://schemas.openxmlformats.org/officeDocument/2006/relationships/hyperlink" Target="file:///\\SRV-EPS-fai11.epsve.local\DPT\Services\SERVICE_DES_TRAVAUX\_NEW%20SERVEUR%20DPT\2000_PLAN%20TVX%20COURANT%20cl2-cl6\2025\130%20Suivi%20plan%20de%20travaux%202025\Classe%206\501%20E-MINGANT\CONT_220026_lot01_SCHINDLER\0704" TargetMode="External"/><Relationship Id="rId139" Type="http://schemas.openxmlformats.org/officeDocument/2006/relationships/hyperlink" Target="file:///\\SRV-EPS-fai11.epsve.local\DPT\Services\SERVICE_DES_TRAVAUX\_NEW%20SERVEUR%20DPT\2000_PLAN%20TVX%20COURANT%20cl2-cl6\2025\130%20Suivi%20plan%20de%20travaux%202025\Classe%206\502%20A-CARPINTEIRO\HM_\SMB" TargetMode="External"/><Relationship Id="rId346" Type="http://schemas.openxmlformats.org/officeDocument/2006/relationships/hyperlink" Target="file:///\\SRV-EPS-fai11.epsve.local\DPT\Services\SERVICE_DES_TRAVAUX\_NEW%20SERVEUR%20DPT\2000_PLAN%20TVX%20COURANT%20cl2-cl6\2025\130%20Suivi%20plan%20de%20travaux%202025\Classe%202\T2025006%20-%20S&#233;curite%20IFSI%20-Pole%20formation\0355%20tbes%20barrieres" TargetMode="External"/><Relationship Id="rId553" Type="http://schemas.openxmlformats.org/officeDocument/2006/relationships/hyperlink" Target="file:///\\SRV-EPS-fai11.epsve.local\DPT\Services\SERVICE_DES_TRAVAUX\_NEW%20SERVEUR%20DPT\2000_PLAN%20TVX%20COURANT%20cl2-cl6\2025\130%20Suivi%20plan%20de%20travaux%202025\Classe%206\504%20D-PAQUIN\CONT_220023_lot04_CLIMATER%20clim" TargetMode="External"/><Relationship Id="rId760" Type="http://schemas.openxmlformats.org/officeDocument/2006/relationships/hyperlink" Target="file:///\\SRV-EPS-fai11.epsve.local\DPT\Services\SERVICE_DES_TRAVAUX\_NEW%20SERVEUR%20DPT\2000_PLAN%20TVX%20COURANT%20cl2-cl6\2025\130%20Suivi%20plan%20de%20travaux%202025\Classe%206\303%20R-MERONI\LOT%2004-%20TBES%20-%20ELECTRICITE%20CFO-CFA" TargetMode="External"/><Relationship Id="rId998" Type="http://schemas.openxmlformats.org/officeDocument/2006/relationships/hyperlink" Target="file:///\\SRV-EPS-fai11.epsve.local\DPT\Services\SERVICE_DES_TRAVAUX\_NEW%20SERVEUR%20DPT\2000_PLAN%20TVX%20COURANT%20cl2-cl6\2025\130%20Suivi%20plan%20de%20travaux%202025\Classe%206\301%20P-DOMERCQ\LOT%2005%20-%20BSMG%20-%20CVC\1014" TargetMode="External"/><Relationship Id="rId206" Type="http://schemas.openxmlformats.org/officeDocument/2006/relationships/hyperlink" Target="file:///\\SRV-EPS-fai11.epsve.local\DPT\Services\SERVICE_DES_TRAVAUX\_NEW%20SERVEUR%20DPT\2000_PLAN%20TVX%20COURANT%20cl2-cl6\2025\130%20Suivi%20plan%20de%20travaux%202025\Classe%206\503%20P-EPIS\HM_\ATRP" TargetMode="External"/><Relationship Id="rId413" Type="http://schemas.openxmlformats.org/officeDocument/2006/relationships/hyperlink" Target="file:///\\SRV-EPS-fai11.epsve.local\DPT\Services\SERVICE_DES_TRAVAUX\_NEW%20SERVEUR%20DPT\2000_PLAN%20TVX%20COURANT%20cl2-cl6\2025\130%20Suivi%20plan%20de%20travaux%202025\Classe%206\302%20M-ALEVEQUE\LOT%2013%20-%20AC2P%20-%20CLOISONS%20FAUX%20PLAF\0428%20CGOS" TargetMode="External"/><Relationship Id="rId858" Type="http://schemas.openxmlformats.org/officeDocument/2006/relationships/hyperlink" Target="file:///\\SRV-EPS-fai11.epsve.local\DPT\Services\SERVICE_DES_TRAVAUX\_NEW%20SERVEUR%20DPT\2000_PLAN%20TVX%20COURANT%20cl2-cl6\2025\130%20Suivi%20plan%20de%20travaux%202025\Classe%206\403%20S-GALOUL\878" TargetMode="External"/><Relationship Id="rId1043" Type="http://schemas.openxmlformats.org/officeDocument/2006/relationships/hyperlink" Target="file:///\\SRV-EPS-fai11.epsve.local\DPT\Services\SERVICE_DES_TRAVAUX\_NEW%20SERVEUR%20DPT\2000_PLAN%20TVX%20COURANT%20cl2-cl6\2025\130%20Suivi%20plan%20de%20travaux%202025\Classe%202\op&#233;ration%20POLE%20SANTE\EDIFLEX%20EDIDOC" TargetMode="External"/><Relationship Id="rId620"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718" Type="http://schemas.openxmlformats.org/officeDocument/2006/relationships/hyperlink" Target="file:///\\SRV-EPS-fai11.epsve.local\DPT\Services\SERVICE_DES_TRAVAUX\_NEW%20SERVEUR%20DPT\2000_PLAN%20TVX%20COURANT%20cl2-cl6\2025\130%20Suivi%20plan%20de%20travaux%202025\Classe%206\403%20S-GALOUL\737" TargetMode="External"/><Relationship Id="rId925" Type="http://schemas.openxmlformats.org/officeDocument/2006/relationships/hyperlink" Target="file:///\\SRV-EPS-fai11.epsve.local\DPT\Services\SERVICE_DES_TRAVAUX\_NEW%20SERVEUR%20DPT\2000_PLAN%20TVX%20COURANT%20cl2-cl6\2025\130%20Suivi%20plan%20de%20travaux%202025\Classe%206\504%20D-PAQUIN\CONT_220022_lot03_UTB_Insta%20thermiques" TargetMode="External"/><Relationship Id="rId1110" Type="http://schemas.openxmlformats.org/officeDocument/2006/relationships/ctrlProp" Target="../ctrlProps/ctrlProp2.xml"/><Relationship Id="rId54" Type="http://schemas.openxmlformats.org/officeDocument/2006/relationships/hyperlink" Target="file:///\\SRV-EPS-fai11.epsve.local\DPT\Services\SERVICE_DES_TRAVAUX\_NEW%20SERVEUR%20DPT\2000_PLAN%20TVX%20COURANT%20cl2-cl6\2025\130%20Suivi%20plan%20de%20travaux%202025\Classe%206\301%20P-DOMERCQ\LOT%2004-%20TBES%20-%20ELECTRICITE%20CFO-CFA" TargetMode="External"/><Relationship Id="rId270" Type="http://schemas.openxmlformats.org/officeDocument/2006/relationships/hyperlink" Target="file:///\\SRV-EPS-fai11.epsve.local\DPT\Services\SERVICE_DES_TRAVAUX\_NEW%20SERVEUR%20DPT\2000_PLAN%20TVX%20COURANT%20cl2-cl6\2025\130%20Suivi%20plan%20de%20travaux%202025\Classe%206\501%20E-MINGANT\CONT_190023_lot00_DALKIA\0277" TargetMode="External"/><Relationship Id="rId130"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368" Type="http://schemas.openxmlformats.org/officeDocument/2006/relationships/hyperlink" Target="file:///\\SRV-EPS-fai11.epsve.local\DPT\Services\SERVICE_DES_TRAVAUX\_NEW%20SERVEUR%20DPT\2000_PLAN%20TVX%20COURANT%20cl2-cl6\2025\130%20Suivi%20plan%20de%20travaux%202025\Classe%206\303%20R-MERONI\LOT%2001%20-%20SANICOTHERM%20-%20MACONNERIE\380%20MAS%20SDB" TargetMode="External"/><Relationship Id="rId575" Type="http://schemas.openxmlformats.org/officeDocument/2006/relationships/hyperlink" Target="file:///\\SRV-EPS-fai11.epsve.local\DPT\Services\SERVICE_DES_TRAVAUX\_NEW%20SERVEUR%20DPT\2000_PLAN%20TVX%20COURANT%20cl2-cl6\2025\130%20Suivi%20plan%20de%20travaux%202025\Classe%206\504%20D-PAQUIN\CONT_202500006_JM_EAU-PLUS" TargetMode="External"/><Relationship Id="rId782" Type="http://schemas.openxmlformats.org/officeDocument/2006/relationships/hyperlink" Target="file:///\\SRV-EPS-fai11.epsve.local\DPT\Services\SERVICE_DES_TRAVAUX\_NEW%20SERVEUR%20DPT\2000_PLAN%20TVX%20COURANT%20cl2-cl6\2025\130%20Suivi%20plan%20de%20travaux%202025\Classe%206\504%20D-PAQUIN\MBC_LOT05%20BSMG-LTDf" TargetMode="External"/><Relationship Id="rId228" Type="http://schemas.openxmlformats.org/officeDocument/2006/relationships/hyperlink" Target="file:///\\SRV-EPS-fai11.epsve.local\DPT\Services\SERVICE_DES_TRAVAUX\_NEW%20SERVEUR%20DPT\1000_OPE%20TVX%20STRAT\2025_02%20RENOVATION%20PLH%20PEUPLIERS\00%20ETU%20PREALABLES\007%20GEOMETRE" TargetMode="External"/><Relationship Id="rId435" Type="http://schemas.openxmlformats.org/officeDocument/2006/relationships/hyperlink" Target="file:///\\SRV-EPS-fai11.epsve.local\DPT\Services\SERVICE_DES_TRAVAUX\_NEW%20SERVEUR%20DPT\2000_PLAN%20TVX%20COURANT%20cl2-cl6\2025\130%20Suivi%20plan%20de%20travaux%202025\Classe%206\301%20P-DOMERCQ\LOT%2002%20-%20ARTETLEBOIS%20-MENUISERIE\0450%20trappe%20G06%20pmr" TargetMode="External"/><Relationship Id="rId642" Type="http://schemas.openxmlformats.org/officeDocument/2006/relationships/hyperlink" Target="file:///\\SRV-EPS-fai11.epsve.local\DPT\Services\SERVICE_DES_TRAVAUX\_NEW%20SERVEUR%20DPT\2000_PLAN%20TVX%20COURANT%20cl2-cl6\2025\130%20Suivi%20plan%20de%20travaux%202025\Classe%206\503%20P-EPIS\MBC_LOT08%20ABPSI" TargetMode="External"/><Relationship Id="rId1065" Type="http://schemas.openxmlformats.org/officeDocument/2006/relationships/hyperlink" Target="file:///\\SRV-EPS-fai11.epsve.local\DPT\Services\SERVICE_DES_TRAVAUX\_NEW%20SERVEUR%20DPT\2000_PLAN%20TVX%20COURANT%20cl2-cl6\2025\130%20Suivi%20plan%20de%20travaux%202025\Classe%206\402%20F-BRESSAN\1083-CENTRALE%20INTRUSION%20136%20nsm" TargetMode="External"/><Relationship Id="rId502" Type="http://schemas.openxmlformats.org/officeDocument/2006/relationships/hyperlink" Target="file:///\\SRV-EPS-fai11.epsve.local\DPT\Services\SERVICE_DES_TRAVAUX\_NEW%20SERVEUR%20DPT\2000_PLAN%20TVX%20COURANT%20cl2-cl6\2025\130%20Suivi%20plan%20de%20travaux%202025\Classe%206\501%20E-MINGANT\CONT_190023_lot00_DALKIA\0530" TargetMode="External"/><Relationship Id="rId947" Type="http://schemas.openxmlformats.org/officeDocument/2006/relationships/hyperlink" Target="file:///\\SRV-EPS-fai11.epsve.local\DPT\Services\SERVICE_DES_TRAVAUX\_NEW%20SERVEUR%20DPT\2000_PLAN%20TVX%20COURANT%20cl2-cl6\2025\130%20Suivi%20plan%20de%20travaux%202025\Classe%206\402%20F-BRESSAN\966%20borne%20fr&#233;quence%20saint%20denis" TargetMode="External"/><Relationship Id="rId76"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 Id="rId807" Type="http://schemas.openxmlformats.org/officeDocument/2006/relationships/hyperlink" Target="file:///\\SRV-EPS-fai11.epsve.local\DPT\Services\SERVICE_DES_TRAVAUX\_NEW%20SERVEUR%20DPT\2000_PLAN%20TVX%20COURANT%20cl2-cl6\2025\130%20Suivi%20plan%20de%20travaux%202025\Classe%206\301%20P-DOMERCQ\LOT%2006%20-%20COBAT%20-%20ETANCHEITE\0827" TargetMode="External"/><Relationship Id="rId292" Type="http://schemas.openxmlformats.org/officeDocument/2006/relationships/hyperlink" Target="file:///\\SRV-EPS-fai11.epsve.local\DPT\Services\SERVICE_DES_TRAVAUX\_NEW%20SERVEUR%20DPT\2000_PLAN%20TVX%20COURANT%20cl2-cl6\2025\130%20Suivi%20plan%20de%20travaux%202025\Classe%206\303%20R-MERONI\LOT%2001%20-%20SANICOTHERM%20-%20MACONNERIE\302" TargetMode="External"/><Relationship Id="rId597" Type="http://schemas.openxmlformats.org/officeDocument/2006/relationships/hyperlink" Target="file:///\\SRV-EPS-fai11.epsve.local\DPT\Services\SERVICE_DES_TRAVAUX\_NEW%20SERVEUR%20DPT\2000_PLAN%20TVX%20COURANT%20cl2-cl6\2025\130%20Suivi%20plan%20de%20travaux%202025\Classe%206\403%20S-GALOUL" TargetMode="External"/><Relationship Id="rId152" Type="http://schemas.openxmlformats.org/officeDocument/2006/relationships/hyperlink" Target="file:///\\SRV-EPS-fai11.epsve.local\DPT\Services\SERVICE_DES_TRAVAUX\_NEW%20SERVEUR%20DPT\2000_PLAN%20TVX%20COURANT%20cl2-cl6\2025\130%20Suivi%20plan%20de%20travaux%202025\Classe%206\302%20M-ALEVEQUE\LOT%2007%20-%20SCHNEIDER%20-%20COUVERTURE\0157%20acacias" TargetMode="External"/><Relationship Id="rId457" Type="http://schemas.openxmlformats.org/officeDocument/2006/relationships/hyperlink" Target="file:///\\SRV-EPS-fai11.epsve.local\DPT\Services\SERVICE_DES_TRAVAUX\_NEW%20SERVEUR%20DPT\2000_PLAN%20TVX%20COURANT%20cl2-cl6\2025\130%20Suivi%20plan%20de%20travaux%202025\Classe%202\T2025016%20Ch%20de%20Gardes\CB1" TargetMode="External"/><Relationship Id="rId1087" Type="http://schemas.openxmlformats.org/officeDocument/2006/relationships/hyperlink" Target="file:///\\SRV-EPS-fai11.epsve.local\DPT\Services\SERVICE_DES_TRAVAUX\_NEW%20SERVEUR%20DPT\2000_PLAN%20TVX%20COURANT%20cl2-cl6\2025\130%20Suivi%20plan%20de%20travaux%202025\Classe%206\503%20P-EPIS\CONT_220024_lot08_VULCAIN%20Barriere-Porte%20Auto"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microsoft.com/office/2019/04/relationships/namedSheetView" Target="../namedSheetViews/namedSheetView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4FC3B-D11F-48B1-8678-2700A3A99955}">
  <sheetPr codeName="Feuil9"/>
  <dimension ref="A1:B24"/>
  <sheetViews>
    <sheetView workbookViewId="0"/>
  </sheetViews>
  <sheetFormatPr baseColWidth="10" defaultColWidth="11.44140625" defaultRowHeight="14.4" x14ac:dyDescent="0.3"/>
  <sheetData>
    <row r="1" spans="1:2" x14ac:dyDescent="0.3">
      <c r="A1" t="s">
        <v>0</v>
      </c>
      <c r="B1" t="s">
        <v>1</v>
      </c>
    </row>
    <row r="2" spans="1:2" x14ac:dyDescent="0.3">
      <c r="A2" t="s">
        <v>2</v>
      </c>
      <c r="B2" t="s">
        <v>3</v>
      </c>
    </row>
    <row r="3" spans="1:2" x14ac:dyDescent="0.3">
      <c r="A3" t="s">
        <v>4</v>
      </c>
      <c r="B3" t="s">
        <v>5</v>
      </c>
    </row>
    <row r="4" spans="1:2" x14ac:dyDescent="0.3">
      <c r="A4" t="s">
        <v>6</v>
      </c>
      <c r="B4" t="s">
        <v>7</v>
      </c>
    </row>
    <row r="5" spans="1:2" x14ac:dyDescent="0.3">
      <c r="A5" t="s">
        <v>8</v>
      </c>
      <c r="B5" t="s">
        <v>9</v>
      </c>
    </row>
    <row r="6" spans="1:2" x14ac:dyDescent="0.3">
      <c r="A6" t="s">
        <v>10</v>
      </c>
      <c r="B6" t="s">
        <v>11</v>
      </c>
    </row>
    <row r="7" spans="1:2" x14ac:dyDescent="0.3">
      <c r="A7" t="s">
        <v>12</v>
      </c>
      <c r="B7" t="s">
        <v>13</v>
      </c>
    </row>
    <row r="8" spans="1:2" x14ac:dyDescent="0.3">
      <c r="A8" t="s">
        <v>14</v>
      </c>
      <c r="B8" t="s">
        <v>15</v>
      </c>
    </row>
    <row r="9" spans="1:2" x14ac:dyDescent="0.3">
      <c r="A9" t="s">
        <v>16</v>
      </c>
      <c r="B9" t="s">
        <v>17</v>
      </c>
    </row>
    <row r="10" spans="1:2" x14ac:dyDescent="0.3">
      <c r="A10" t="s">
        <v>18</v>
      </c>
      <c r="B10" t="s">
        <v>19</v>
      </c>
    </row>
    <row r="11" spans="1:2" x14ac:dyDescent="0.3">
      <c r="A11" t="s">
        <v>20</v>
      </c>
      <c r="B11" t="s">
        <v>21</v>
      </c>
    </row>
    <row r="12" spans="1:2" x14ac:dyDescent="0.3">
      <c r="A12" t="s">
        <v>22</v>
      </c>
      <c r="B12" t="s">
        <v>23</v>
      </c>
    </row>
    <row r="13" spans="1:2" x14ac:dyDescent="0.3">
      <c r="A13" t="s">
        <v>24</v>
      </c>
      <c r="B13" t="s">
        <v>25</v>
      </c>
    </row>
    <row r="14" spans="1:2" x14ac:dyDescent="0.3">
      <c r="A14" t="s">
        <v>26</v>
      </c>
      <c r="B14" t="s">
        <v>27</v>
      </c>
    </row>
    <row r="15" spans="1:2" x14ac:dyDescent="0.3">
      <c r="B15" t="s">
        <v>28</v>
      </c>
    </row>
    <row r="16" spans="1:2" x14ac:dyDescent="0.3">
      <c r="B16" t="s">
        <v>29</v>
      </c>
    </row>
    <row r="17" spans="2:2" x14ac:dyDescent="0.3">
      <c r="B17" t="s">
        <v>30</v>
      </c>
    </row>
    <row r="18" spans="2:2" x14ac:dyDescent="0.3">
      <c r="B18" t="s">
        <v>31</v>
      </c>
    </row>
    <row r="19" spans="2:2" x14ac:dyDescent="0.3">
      <c r="B19" t="s">
        <v>32</v>
      </c>
    </row>
    <row r="20" spans="2:2" x14ac:dyDescent="0.3">
      <c r="B20" t="s">
        <v>33</v>
      </c>
    </row>
    <row r="21" spans="2:2" x14ac:dyDescent="0.3">
      <c r="B21" t="s">
        <v>34</v>
      </c>
    </row>
    <row r="22" spans="2:2" x14ac:dyDescent="0.3">
      <c r="B22" t="s">
        <v>35</v>
      </c>
    </row>
    <row r="23" spans="2:2" x14ac:dyDescent="0.3">
      <c r="B23" t="s">
        <v>36</v>
      </c>
    </row>
    <row r="24" spans="2:2" x14ac:dyDescent="0.3">
      <c r="B24"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F5E64-AA83-435D-B0DA-97B3FF425BCF}">
  <sheetPr codeName="Feuil10"/>
  <dimension ref="A1:A12"/>
  <sheetViews>
    <sheetView workbookViewId="0"/>
  </sheetViews>
  <sheetFormatPr baseColWidth="10" defaultColWidth="11.44140625" defaultRowHeight="14.4" x14ac:dyDescent="0.3"/>
  <sheetData>
    <row r="1" spans="1:1" x14ac:dyDescent="0.3">
      <c r="A1" t="s">
        <v>38</v>
      </c>
    </row>
    <row r="2" spans="1:1" x14ac:dyDescent="0.3">
      <c r="A2" t="s">
        <v>39</v>
      </c>
    </row>
    <row r="3" spans="1:1" x14ac:dyDescent="0.3">
      <c r="A3" t="s">
        <v>40</v>
      </c>
    </row>
    <row r="4" spans="1:1" x14ac:dyDescent="0.3">
      <c r="A4" t="s">
        <v>41</v>
      </c>
    </row>
    <row r="5" spans="1:1" x14ac:dyDescent="0.3">
      <c r="A5" t="s">
        <v>42</v>
      </c>
    </row>
    <row r="6" spans="1:1" x14ac:dyDescent="0.3">
      <c r="A6" t="s">
        <v>43</v>
      </c>
    </row>
    <row r="7" spans="1:1" x14ac:dyDescent="0.3">
      <c r="A7" t="s">
        <v>44</v>
      </c>
    </row>
    <row r="8" spans="1:1" x14ac:dyDescent="0.3">
      <c r="A8" t="s">
        <v>45</v>
      </c>
    </row>
    <row r="9" spans="1:1" x14ac:dyDescent="0.3">
      <c r="A9" t="s">
        <v>46</v>
      </c>
    </row>
    <row r="10" spans="1:1" x14ac:dyDescent="0.3">
      <c r="A10" t="s">
        <v>47</v>
      </c>
    </row>
    <row r="11" spans="1:1" x14ac:dyDescent="0.3">
      <c r="A11" t="s">
        <v>48</v>
      </c>
    </row>
    <row r="12" spans="1:1" x14ac:dyDescent="0.3">
      <c r="A12" t="s">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filterMode="1">
    <pageSetUpPr fitToPage="1"/>
  </sheetPr>
  <dimension ref="A1:AK1513"/>
  <sheetViews>
    <sheetView tabSelected="1" topLeftCell="Q1" zoomScale="70" zoomScaleNormal="70" workbookViewId="0">
      <pane ySplit="1" topLeftCell="A1070" activePane="bottomLeft" state="frozenSplit"/>
      <selection pane="bottomLeft" activeCell="AC1068" sqref="AC1068"/>
    </sheetView>
  </sheetViews>
  <sheetFormatPr baseColWidth="10" defaultColWidth="0" defaultRowHeight="14.4" x14ac:dyDescent="0.3"/>
  <cols>
    <col min="1" max="1" width="7.5546875" customWidth="1"/>
    <col min="2" max="2" width="28.33203125" customWidth="1"/>
    <col min="3" max="3" width="31" bestFit="1" customWidth="1"/>
    <col min="4" max="4" width="10.44140625" customWidth="1"/>
    <col min="5" max="5" width="13.44140625" customWidth="1"/>
    <col min="6" max="6" width="14.33203125" customWidth="1"/>
    <col min="7" max="7" width="55.44140625" style="41" bestFit="1" customWidth="1"/>
    <col min="8" max="8" width="35.44140625" style="41" bestFit="1" customWidth="1"/>
    <col min="9" max="9" width="43.6640625" style="41" bestFit="1" customWidth="1"/>
    <col min="10" max="10" width="18.33203125" bestFit="1" customWidth="1"/>
    <col min="11" max="11" width="20.33203125" customWidth="1"/>
    <col min="12" max="12" width="11.6640625" customWidth="1"/>
    <col min="13" max="13" width="20.33203125" customWidth="1"/>
    <col min="14" max="14" width="29.6640625" customWidth="1"/>
    <col min="15" max="15" width="19.44140625" customWidth="1"/>
    <col min="16" max="16" width="18.6640625" customWidth="1"/>
    <col min="17" max="17" width="79.6640625" customWidth="1"/>
    <col min="18" max="18" width="15.33203125" bestFit="1" customWidth="1"/>
    <col min="19" max="19" width="13" bestFit="1" customWidth="1"/>
    <col min="20" max="20" width="16.6640625" customWidth="1"/>
    <col min="21" max="21" width="45.44140625" style="154" customWidth="1"/>
    <col min="22" max="22" width="15.44140625" customWidth="1"/>
    <col min="23" max="23" width="13.44140625" customWidth="1"/>
    <col min="24" max="24" width="18.44140625" customWidth="1"/>
    <col min="25" max="25" width="12.44140625" customWidth="1"/>
    <col min="26" max="26" width="22.5546875" style="41" customWidth="1"/>
    <col min="27" max="27" width="15" bestFit="1" customWidth="1"/>
    <col min="28" max="28" width="13" customWidth="1"/>
    <col min="29" max="29" width="16.44140625" bestFit="1" customWidth="1"/>
    <col min="30" max="32" width="0" hidden="1" customWidth="1"/>
    <col min="33" max="33" width="1.44140625" hidden="1" customWidth="1"/>
    <col min="34" max="34" width="32.44140625" hidden="1" customWidth="1"/>
    <col min="35" max="37" width="0" hidden="1" customWidth="1"/>
    <col min="38" max="16384" width="8.5546875" hidden="1"/>
  </cols>
  <sheetData>
    <row r="1" spans="1:34" ht="28.8" x14ac:dyDescent="0.3">
      <c r="A1" s="16" t="s">
        <v>50</v>
      </c>
      <c r="B1" s="17" t="s">
        <v>51</v>
      </c>
      <c r="C1" s="17" t="s">
        <v>52</v>
      </c>
      <c r="D1" s="18" t="s">
        <v>53</v>
      </c>
      <c r="E1" s="17" t="s">
        <v>54</v>
      </c>
      <c r="F1" s="16" t="s">
        <v>55</v>
      </c>
      <c r="G1" s="17" t="s">
        <v>56</v>
      </c>
      <c r="H1" s="16" t="s">
        <v>57</v>
      </c>
      <c r="I1" s="16" t="s">
        <v>58</v>
      </c>
      <c r="J1" s="17" t="s">
        <v>59</v>
      </c>
      <c r="K1" s="17" t="s">
        <v>60</v>
      </c>
      <c r="L1" s="17" t="s">
        <v>61</v>
      </c>
      <c r="M1" s="17" t="s">
        <v>62</v>
      </c>
      <c r="N1" s="17" t="s">
        <v>63</v>
      </c>
      <c r="O1" s="17" t="s">
        <v>64</v>
      </c>
      <c r="P1" s="17" t="s">
        <v>65</v>
      </c>
      <c r="Q1" s="17" t="s">
        <v>66</v>
      </c>
      <c r="R1" s="17" t="s">
        <v>67</v>
      </c>
      <c r="S1" s="17" t="s">
        <v>68</v>
      </c>
      <c r="T1" s="17" t="s">
        <v>69</v>
      </c>
      <c r="U1" s="153"/>
      <c r="V1" s="17" t="s">
        <v>70</v>
      </c>
      <c r="W1" s="17" t="s">
        <v>71</v>
      </c>
      <c r="X1" s="17" t="s">
        <v>72</v>
      </c>
      <c r="Y1" s="17" t="s">
        <v>73</v>
      </c>
      <c r="Z1" s="17" t="s">
        <v>74</v>
      </c>
      <c r="AA1" s="17" t="s">
        <v>75</v>
      </c>
      <c r="AB1" s="17" t="s">
        <v>76</v>
      </c>
      <c r="AC1" s="17" t="s">
        <v>77</v>
      </c>
    </row>
    <row r="2" spans="1:34" ht="45" hidden="1" customHeight="1" x14ac:dyDescent="0.3">
      <c r="A2" s="42">
        <v>1</v>
      </c>
      <c r="B2" s="19" t="s">
        <v>24</v>
      </c>
      <c r="C2" s="19" t="s">
        <v>1</v>
      </c>
      <c r="D2" s="20" t="s">
        <v>78</v>
      </c>
      <c r="E2" s="20" t="s">
        <v>79</v>
      </c>
      <c r="F2" s="21" t="s">
        <v>80</v>
      </c>
      <c r="G2" s="38" t="s">
        <v>81</v>
      </c>
      <c r="H2" s="38" t="s">
        <v>82</v>
      </c>
      <c r="I2" s="38" t="s">
        <v>83</v>
      </c>
      <c r="J2" s="21" t="s">
        <v>84</v>
      </c>
      <c r="K2" s="21" t="s">
        <v>85</v>
      </c>
      <c r="L2" s="21" t="s">
        <v>86</v>
      </c>
      <c r="M2" s="21" t="s">
        <v>85</v>
      </c>
      <c r="N2" s="21" t="s">
        <v>87</v>
      </c>
      <c r="O2" s="131" t="s">
        <v>88</v>
      </c>
      <c r="P2" s="45">
        <v>45643</v>
      </c>
      <c r="Q2" s="39" t="s">
        <v>89</v>
      </c>
      <c r="R2" s="19">
        <v>870.04</v>
      </c>
      <c r="S2" s="21">
        <v>0.2</v>
      </c>
      <c r="T2" s="21">
        <v>1044.048</v>
      </c>
      <c r="U2" s="44" t="s">
        <v>90</v>
      </c>
      <c r="V2" s="22">
        <v>45657</v>
      </c>
      <c r="W2" s="54" t="s">
        <v>91</v>
      </c>
      <c r="X2" s="23"/>
      <c r="Y2" s="23" t="s">
        <v>92</v>
      </c>
      <c r="Z2" s="56" t="s">
        <v>93</v>
      </c>
      <c r="AA2" s="24">
        <v>1</v>
      </c>
      <c r="AB2" s="47">
        <v>45645</v>
      </c>
      <c r="AC2" s="46" t="s">
        <v>94</v>
      </c>
    </row>
    <row r="3" spans="1:34" s="15" customFormat="1" ht="45" hidden="1" customHeight="1" x14ac:dyDescent="0.3">
      <c r="A3" s="42">
        <v>2</v>
      </c>
      <c r="B3" s="19" t="s">
        <v>14</v>
      </c>
      <c r="C3" s="19" t="s">
        <v>15</v>
      </c>
      <c r="D3" s="20" t="s">
        <v>95</v>
      </c>
      <c r="E3" s="20" t="s">
        <v>96</v>
      </c>
      <c r="F3" s="21" t="s">
        <v>80</v>
      </c>
      <c r="G3" s="38" t="s">
        <v>97</v>
      </c>
      <c r="H3" s="39"/>
      <c r="I3" s="39" t="s">
        <v>47</v>
      </c>
      <c r="J3" s="21" t="s">
        <v>98</v>
      </c>
      <c r="K3" s="21" t="s">
        <v>99</v>
      </c>
      <c r="L3" s="21" t="s">
        <v>100</v>
      </c>
      <c r="M3" s="21" t="s">
        <v>101</v>
      </c>
      <c r="N3" s="21" t="s">
        <v>102</v>
      </c>
      <c r="O3" s="20" t="s">
        <v>103</v>
      </c>
      <c r="P3" s="45">
        <v>45629</v>
      </c>
      <c r="Q3" s="39" t="s">
        <v>104</v>
      </c>
      <c r="R3" s="19">
        <v>56009.25</v>
      </c>
      <c r="S3" s="21">
        <v>0.1</v>
      </c>
      <c r="T3" s="21">
        <v>61610.175000000003</v>
      </c>
      <c r="U3" s="44" t="s">
        <v>105</v>
      </c>
      <c r="V3" s="22">
        <v>45659</v>
      </c>
      <c r="W3" s="54" t="s">
        <v>91</v>
      </c>
      <c r="X3" s="23"/>
      <c r="Y3" s="23" t="s">
        <v>92</v>
      </c>
      <c r="Z3" s="56"/>
      <c r="AA3" s="24">
        <v>2</v>
      </c>
      <c r="AB3" s="19"/>
      <c r="AC3" s="46" t="s">
        <v>94</v>
      </c>
    </row>
    <row r="4" spans="1:34" s="15" customFormat="1" ht="45" hidden="1" customHeight="1" x14ac:dyDescent="0.3">
      <c r="A4" s="42">
        <v>3</v>
      </c>
      <c r="B4" s="19" t="s">
        <v>14</v>
      </c>
      <c r="C4" s="19" t="s">
        <v>15</v>
      </c>
      <c r="D4" s="20" t="s">
        <v>106</v>
      </c>
      <c r="E4" s="20" t="s">
        <v>96</v>
      </c>
      <c r="F4" s="21" t="s">
        <v>80</v>
      </c>
      <c r="G4" s="38" t="s">
        <v>107</v>
      </c>
      <c r="H4" s="39"/>
      <c r="I4" s="39" t="s">
        <v>47</v>
      </c>
      <c r="J4" s="21" t="s">
        <v>98</v>
      </c>
      <c r="K4" s="21" t="s">
        <v>108</v>
      </c>
      <c r="L4" s="21" t="s">
        <v>100</v>
      </c>
      <c r="M4" s="21" t="s">
        <v>109</v>
      </c>
      <c r="N4" s="21" t="s">
        <v>109</v>
      </c>
      <c r="O4" s="20" t="s">
        <v>110</v>
      </c>
      <c r="P4" s="45">
        <v>45629</v>
      </c>
      <c r="Q4" s="39" t="s">
        <v>111</v>
      </c>
      <c r="R4" s="19">
        <v>12990</v>
      </c>
      <c r="S4" s="21">
        <v>0.1</v>
      </c>
      <c r="T4" s="21">
        <v>14289</v>
      </c>
      <c r="U4" s="44" t="s">
        <v>105</v>
      </c>
      <c r="V4" s="22">
        <v>45659</v>
      </c>
      <c r="W4" s="54" t="s">
        <v>91</v>
      </c>
      <c r="X4" s="23"/>
      <c r="Y4" s="23" t="s">
        <v>92</v>
      </c>
      <c r="Z4" s="56"/>
      <c r="AA4" s="24">
        <v>3</v>
      </c>
      <c r="AB4" s="19"/>
      <c r="AC4" s="46" t="s">
        <v>94</v>
      </c>
      <c r="AD4" s="15" t="str">
        <f ca="1">IF(AND($D4&lt;&gt;"",COUNTIF(OFFSET(UFS!$E$2,MATCH($D4&amp;"",UFS!$A$2:$A$175,0)-1,0,COUNTIF(UFS!$A$2:$A$175,$D4&amp;""),1),M4)&gt;0),"Valide","Invalide")</f>
        <v>Valide</v>
      </c>
      <c r="AH4" s="15" t="str">
        <f t="shared" ref="AH4:AH66" si="0">IF(T4&lt;&gt;"","En attente","")</f>
        <v>En attente</v>
      </c>
    </row>
    <row r="5" spans="1:34" s="15" customFormat="1" ht="45" hidden="1" customHeight="1" x14ac:dyDescent="0.3">
      <c r="A5" s="42">
        <v>4</v>
      </c>
      <c r="B5" s="19" t="s">
        <v>24</v>
      </c>
      <c r="C5" s="19" t="s">
        <v>30</v>
      </c>
      <c r="D5" s="20" t="s">
        <v>112</v>
      </c>
      <c r="E5" s="20" t="s">
        <v>79</v>
      </c>
      <c r="F5" s="21" t="s">
        <v>80</v>
      </c>
      <c r="G5" s="38" t="s">
        <v>81</v>
      </c>
      <c r="H5" s="39" t="s">
        <v>82</v>
      </c>
      <c r="I5" s="39" t="s">
        <v>83</v>
      </c>
      <c r="J5" s="21" t="s">
        <v>84</v>
      </c>
      <c r="K5" s="21" t="s">
        <v>113</v>
      </c>
      <c r="L5" s="21" t="s">
        <v>114</v>
      </c>
      <c r="M5" s="21" t="s">
        <v>115</v>
      </c>
      <c r="N5" s="21" t="s">
        <v>102</v>
      </c>
      <c r="O5" s="20" t="s">
        <v>116</v>
      </c>
      <c r="P5" s="45">
        <v>45635</v>
      </c>
      <c r="Q5" s="39" t="s">
        <v>117</v>
      </c>
      <c r="R5" s="19">
        <v>1506.01</v>
      </c>
      <c r="S5" s="21">
        <v>0.1</v>
      </c>
      <c r="T5" s="21">
        <v>1656.6110000000001</v>
      </c>
      <c r="U5" s="44" t="s">
        <v>118</v>
      </c>
      <c r="V5" s="22">
        <v>45660</v>
      </c>
      <c r="W5" s="54" t="s">
        <v>91</v>
      </c>
      <c r="X5" s="23"/>
      <c r="Y5" s="23" t="s">
        <v>92</v>
      </c>
      <c r="Z5" s="56"/>
      <c r="AA5" s="24">
        <v>4</v>
      </c>
      <c r="AB5" s="19"/>
      <c r="AC5" s="46" t="s">
        <v>94</v>
      </c>
      <c r="AD5" s="15" t="str">
        <f ca="1">IF(AND($D5&lt;&gt;"",COUNTIF(OFFSET(UFS!$E$2,MATCH($D5&amp;"",UFS!$A$2:$A$175,0)-1,0,COUNTIF(UFS!$A$2:$A$175,$D5&amp;""),1),M5)&gt;0),"Valide","Invalide")</f>
        <v>Valide</v>
      </c>
      <c r="AH5" s="15" t="str">
        <f t="shared" si="0"/>
        <v>En attente</v>
      </c>
    </row>
    <row r="6" spans="1:34" s="15" customFormat="1" ht="60.6" hidden="1" customHeight="1" x14ac:dyDescent="0.3">
      <c r="A6" s="42">
        <v>5</v>
      </c>
      <c r="B6" s="19" t="s">
        <v>24</v>
      </c>
      <c r="C6" s="19" t="s">
        <v>30</v>
      </c>
      <c r="D6" s="20" t="s">
        <v>119</v>
      </c>
      <c r="E6" s="20" t="s">
        <v>79</v>
      </c>
      <c r="F6" s="21" t="s">
        <v>80</v>
      </c>
      <c r="G6" s="38" t="s">
        <v>81</v>
      </c>
      <c r="H6" s="39" t="s">
        <v>82</v>
      </c>
      <c r="I6" s="39" t="s">
        <v>83</v>
      </c>
      <c r="J6" s="21" t="s">
        <v>84</v>
      </c>
      <c r="K6" s="21" t="s">
        <v>113</v>
      </c>
      <c r="L6" s="21" t="s">
        <v>120</v>
      </c>
      <c r="M6" s="21" t="s">
        <v>115</v>
      </c>
      <c r="N6" s="21" t="s">
        <v>102</v>
      </c>
      <c r="O6" s="20" t="s">
        <v>121</v>
      </c>
      <c r="P6" s="45">
        <v>45635</v>
      </c>
      <c r="Q6" s="39" t="s">
        <v>122</v>
      </c>
      <c r="R6" s="19">
        <v>2926.71</v>
      </c>
      <c r="S6" s="21">
        <v>0.1</v>
      </c>
      <c r="T6" s="21">
        <v>3219.3809999999999</v>
      </c>
      <c r="U6" s="44" t="s">
        <v>118</v>
      </c>
      <c r="V6" s="22">
        <v>45660</v>
      </c>
      <c r="W6" s="54" t="s">
        <v>91</v>
      </c>
      <c r="X6" s="23"/>
      <c r="Y6" s="23" t="s">
        <v>92</v>
      </c>
      <c r="Z6" s="56"/>
      <c r="AA6" s="24">
        <v>6</v>
      </c>
      <c r="AB6" s="19"/>
      <c r="AC6" s="46" t="s">
        <v>94</v>
      </c>
      <c r="AD6" s="15" t="str">
        <f ca="1">IF(AND($D6&lt;&gt;"",COUNTIF(OFFSET(UFS!$E$2,MATCH($D6&amp;"",UFS!$A$2:$A$175,0)-1,0,COUNTIF(UFS!$A$2:$A$175,$D6&amp;""),1),M6)&gt;0),"Valide","Invalide")</f>
        <v>Valide</v>
      </c>
      <c r="AH6" s="15" t="str">
        <f t="shared" si="0"/>
        <v>En attente</v>
      </c>
    </row>
    <row r="7" spans="1:34" s="15" customFormat="1" ht="68.099999999999994" hidden="1" customHeight="1" x14ac:dyDescent="0.3">
      <c r="A7" s="42">
        <v>6</v>
      </c>
      <c r="B7" s="19" t="s">
        <v>24</v>
      </c>
      <c r="C7" s="19" t="s">
        <v>11</v>
      </c>
      <c r="D7" s="20" t="s">
        <v>123</v>
      </c>
      <c r="E7" s="20" t="s">
        <v>79</v>
      </c>
      <c r="F7" s="21" t="s">
        <v>80</v>
      </c>
      <c r="G7" s="38" t="s">
        <v>81</v>
      </c>
      <c r="H7" s="39" t="s">
        <v>82</v>
      </c>
      <c r="I7" s="39" t="s">
        <v>83</v>
      </c>
      <c r="J7" s="21" t="s">
        <v>124</v>
      </c>
      <c r="K7" s="21" t="s">
        <v>125</v>
      </c>
      <c r="L7" s="21" t="s">
        <v>126</v>
      </c>
      <c r="M7" s="21" t="s">
        <v>109</v>
      </c>
      <c r="N7" s="21" t="s">
        <v>109</v>
      </c>
      <c r="O7" s="20" t="s">
        <v>127</v>
      </c>
      <c r="P7" s="45">
        <v>45631</v>
      </c>
      <c r="Q7" s="39" t="s">
        <v>128</v>
      </c>
      <c r="R7" s="19">
        <v>2941.92</v>
      </c>
      <c r="S7" s="21">
        <v>0.1</v>
      </c>
      <c r="T7" s="21">
        <v>3236.1120000000001</v>
      </c>
      <c r="U7" s="44" t="s">
        <v>129</v>
      </c>
      <c r="V7" s="22">
        <v>45660</v>
      </c>
      <c r="W7" s="54" t="s">
        <v>91</v>
      </c>
      <c r="X7" s="23"/>
      <c r="Y7" s="23" t="s">
        <v>92</v>
      </c>
      <c r="Z7" s="56"/>
      <c r="AA7" s="24">
        <v>7</v>
      </c>
      <c r="AB7" s="19"/>
      <c r="AC7" s="46" t="s">
        <v>94</v>
      </c>
      <c r="AD7" s="15" t="str">
        <f ca="1">IF(AND($D7&lt;&gt;"",COUNTIF(OFFSET(UFS!$E$2,MATCH($D7&amp;"",UFS!$A$2:$A$175,0)-1,0,COUNTIF(UFS!$A$2:$A$175,$D7&amp;""),1),M7)&gt;0),"Valide","Invalide")</f>
        <v>Valide</v>
      </c>
      <c r="AH7" s="15" t="str">
        <f t="shared" si="0"/>
        <v>En attente</v>
      </c>
    </row>
    <row r="8" spans="1:34" s="15" customFormat="1" ht="69" hidden="1" customHeight="1" x14ac:dyDescent="0.3">
      <c r="A8" s="42">
        <v>7</v>
      </c>
      <c r="B8" s="19" t="s">
        <v>24</v>
      </c>
      <c r="C8" s="19" t="s">
        <v>11</v>
      </c>
      <c r="D8" s="20" t="s">
        <v>130</v>
      </c>
      <c r="E8" s="20" t="s">
        <v>79</v>
      </c>
      <c r="F8" s="21" t="s">
        <v>80</v>
      </c>
      <c r="G8" s="38" t="s">
        <v>81</v>
      </c>
      <c r="H8" s="39" t="s">
        <v>82</v>
      </c>
      <c r="I8" s="39" t="s">
        <v>83</v>
      </c>
      <c r="J8" s="21" t="s">
        <v>124</v>
      </c>
      <c r="K8" s="21" t="s">
        <v>125</v>
      </c>
      <c r="L8" s="21" t="s">
        <v>126</v>
      </c>
      <c r="M8" s="21" t="s">
        <v>131</v>
      </c>
      <c r="N8" s="21" t="s">
        <v>102</v>
      </c>
      <c r="O8" s="20" t="s">
        <v>132</v>
      </c>
      <c r="P8" s="45">
        <v>45637</v>
      </c>
      <c r="Q8" s="39" t="s">
        <v>133</v>
      </c>
      <c r="R8" s="19">
        <v>480.78</v>
      </c>
      <c r="S8" s="21">
        <v>0.1</v>
      </c>
      <c r="T8" s="21">
        <v>528.85799999999995</v>
      </c>
      <c r="U8" s="44" t="s">
        <v>129</v>
      </c>
      <c r="V8" s="22">
        <v>45660</v>
      </c>
      <c r="W8" s="54" t="s">
        <v>91</v>
      </c>
      <c r="X8" s="23"/>
      <c r="Y8" s="23" t="s">
        <v>92</v>
      </c>
      <c r="Z8" s="56"/>
      <c r="AA8" s="24">
        <v>8</v>
      </c>
      <c r="AB8" s="19"/>
      <c r="AC8" s="46" t="s">
        <v>94</v>
      </c>
      <c r="AD8" s="15" t="str">
        <f ca="1">IF(AND($D8&lt;&gt;"",COUNTIF(OFFSET(UFS!$E$2,MATCH($D8&amp;"",UFS!$A$2:$A$175,0)-1,0,COUNTIF(UFS!$A$2:$A$175,$D8&amp;""),1),M8)&gt;0),"Valide","Invalide")</f>
        <v>Valide</v>
      </c>
      <c r="AH8" s="15" t="str">
        <f t="shared" si="0"/>
        <v>En attente</v>
      </c>
    </row>
    <row r="9" spans="1:34" s="15" customFormat="1" ht="45" hidden="1" customHeight="1" x14ac:dyDescent="0.3">
      <c r="A9" s="42">
        <v>8</v>
      </c>
      <c r="B9" s="19" t="s">
        <v>24</v>
      </c>
      <c r="C9" s="19" t="s">
        <v>11</v>
      </c>
      <c r="D9" s="20" t="s">
        <v>134</v>
      </c>
      <c r="E9" s="20" t="s">
        <v>79</v>
      </c>
      <c r="F9" s="21" t="s">
        <v>80</v>
      </c>
      <c r="G9" s="38" t="s">
        <v>81</v>
      </c>
      <c r="H9" s="39" t="s">
        <v>82</v>
      </c>
      <c r="I9" s="39" t="s">
        <v>83</v>
      </c>
      <c r="J9" s="21" t="s">
        <v>124</v>
      </c>
      <c r="K9" s="21" t="s">
        <v>125</v>
      </c>
      <c r="L9" s="21" t="s">
        <v>135</v>
      </c>
      <c r="M9" s="21" t="s">
        <v>136</v>
      </c>
      <c r="N9" s="21" t="s">
        <v>102</v>
      </c>
      <c r="O9" s="20" t="s">
        <v>137</v>
      </c>
      <c r="P9" s="45">
        <v>45645</v>
      </c>
      <c r="Q9" s="39" t="s">
        <v>138</v>
      </c>
      <c r="R9" s="19">
        <v>398.51</v>
      </c>
      <c r="S9" s="21">
        <v>0.1</v>
      </c>
      <c r="T9" s="21">
        <v>438.36099999999999</v>
      </c>
      <c r="U9" s="44" t="s">
        <v>129</v>
      </c>
      <c r="V9" s="22">
        <v>45660</v>
      </c>
      <c r="W9" s="54" t="s">
        <v>91</v>
      </c>
      <c r="X9" s="23"/>
      <c r="Y9" s="23" t="s">
        <v>92</v>
      </c>
      <c r="Z9" s="56"/>
      <c r="AA9" s="24">
        <v>9</v>
      </c>
      <c r="AB9" s="19"/>
      <c r="AC9" s="46" t="s">
        <v>94</v>
      </c>
      <c r="AD9" s="15" t="str">
        <f ca="1">IF(AND($D9&lt;&gt;"",COUNTIF(OFFSET(UFS!$E$2,MATCH($D9&amp;"",UFS!$A$2:$A$175,0)-1,0,COUNTIF(UFS!$A$2:$A$175,$D9&amp;""),1),M9)&gt;0),"Valide","Invalide")</f>
        <v>Valide</v>
      </c>
      <c r="AH9" s="15" t="str">
        <f t="shared" si="0"/>
        <v>En attente</v>
      </c>
    </row>
    <row r="10" spans="1:34" s="15" customFormat="1" ht="45" hidden="1" customHeight="1" x14ac:dyDescent="0.3">
      <c r="A10" s="42">
        <v>9</v>
      </c>
      <c r="B10" s="19" t="s">
        <v>24</v>
      </c>
      <c r="C10" s="19" t="s">
        <v>15</v>
      </c>
      <c r="D10" s="122">
        <v>5001</v>
      </c>
      <c r="E10" s="20" t="s">
        <v>79</v>
      </c>
      <c r="F10" s="21" t="s">
        <v>80</v>
      </c>
      <c r="G10" s="38" t="s">
        <v>81</v>
      </c>
      <c r="H10" s="39" t="s">
        <v>139</v>
      </c>
      <c r="I10" s="39" t="s">
        <v>83</v>
      </c>
      <c r="J10" s="21" t="s">
        <v>84</v>
      </c>
      <c r="K10" s="21" t="s">
        <v>113</v>
      </c>
      <c r="L10" s="21" t="s">
        <v>86</v>
      </c>
      <c r="M10" s="21" t="s">
        <v>115</v>
      </c>
      <c r="N10" s="21" t="s">
        <v>102</v>
      </c>
      <c r="O10" s="20" t="s">
        <v>140</v>
      </c>
      <c r="P10" s="45">
        <v>45637</v>
      </c>
      <c r="Q10" s="39" t="s">
        <v>141</v>
      </c>
      <c r="R10" s="19">
        <v>745.6</v>
      </c>
      <c r="S10" s="21">
        <v>0.1</v>
      </c>
      <c r="T10" s="21">
        <v>820.16000000000008</v>
      </c>
      <c r="U10" s="44" t="s">
        <v>142</v>
      </c>
      <c r="V10" s="22">
        <v>45660</v>
      </c>
      <c r="W10" s="54" t="s">
        <v>91</v>
      </c>
      <c r="X10" s="23"/>
      <c r="Y10" s="23" t="s">
        <v>92</v>
      </c>
      <c r="Z10" s="56"/>
      <c r="AA10" s="24">
        <v>10</v>
      </c>
      <c r="AB10" s="19"/>
      <c r="AC10" s="46" t="s">
        <v>94</v>
      </c>
      <c r="AD10" s="15" t="e">
        <f ca="1">IF(AND($E10&lt;&gt;"",COUNTIF(OFFSET(UFS!$E$2,MATCH($E10&amp;"",UFS!$A$2:$A$175,0)-1,0,COUNTIF(UFS!$A$2:$A$175,$E10&amp;""),1),M10)&gt;0),"Valide","Invalide")</f>
        <v>#N/A</v>
      </c>
      <c r="AH10" s="15" t="str">
        <f t="shared" si="0"/>
        <v>En attente</v>
      </c>
    </row>
    <row r="11" spans="1:34" s="15" customFormat="1" ht="45" hidden="1" customHeight="1" x14ac:dyDescent="0.3">
      <c r="A11" s="42">
        <v>10</v>
      </c>
      <c r="B11" s="19" t="s">
        <v>0</v>
      </c>
      <c r="C11" s="19" t="s">
        <v>1</v>
      </c>
      <c r="D11" s="20" t="s">
        <v>143</v>
      </c>
      <c r="E11" s="20" t="s">
        <v>79</v>
      </c>
      <c r="F11" s="21" t="s">
        <v>80</v>
      </c>
      <c r="G11" s="38" t="s">
        <v>81</v>
      </c>
      <c r="H11" s="39" t="s">
        <v>82</v>
      </c>
      <c r="I11" s="39" t="s">
        <v>83</v>
      </c>
      <c r="J11" s="21" t="s">
        <v>144</v>
      </c>
      <c r="K11" s="21" t="s">
        <v>145</v>
      </c>
      <c r="L11" s="21" t="s">
        <v>146</v>
      </c>
      <c r="M11" s="21" t="s">
        <v>146</v>
      </c>
      <c r="N11" s="21" t="s">
        <v>147</v>
      </c>
      <c r="O11" s="20" t="s">
        <v>148</v>
      </c>
      <c r="P11" s="45">
        <v>45629</v>
      </c>
      <c r="Q11" s="39" t="s">
        <v>149</v>
      </c>
      <c r="R11" s="19">
        <v>967.42</v>
      </c>
      <c r="S11" s="21">
        <v>0.2</v>
      </c>
      <c r="T11" s="21">
        <v>1160.904</v>
      </c>
      <c r="U11" s="44" t="s">
        <v>150</v>
      </c>
      <c r="V11" s="22">
        <v>45660</v>
      </c>
      <c r="W11" s="54" t="s">
        <v>91</v>
      </c>
      <c r="X11" s="23"/>
      <c r="Y11" s="23" t="s">
        <v>92</v>
      </c>
      <c r="Z11" s="56"/>
      <c r="AA11" s="24">
        <v>21</v>
      </c>
      <c r="AB11" s="48">
        <v>45658</v>
      </c>
      <c r="AC11" s="46" t="s">
        <v>94</v>
      </c>
      <c r="AD11" s="15" t="str">
        <f ca="1">IF(AND($D11&lt;&gt;"",COUNTIF(OFFSET(UFS!$E$2,MATCH($D11&amp;"",UFS!$A$2:$A$175,0)-1,0,COUNTIF(UFS!$A$2:$A$175,$D11&amp;""),1),M11)&gt;0),"Valide","Invalide")</f>
        <v>Valide</v>
      </c>
      <c r="AH11" s="15" t="str">
        <f t="shared" si="0"/>
        <v>En attente</v>
      </c>
    </row>
    <row r="12" spans="1:34" s="15" customFormat="1" ht="45" hidden="1" customHeight="1" x14ac:dyDescent="0.3">
      <c r="A12" s="42">
        <v>11</v>
      </c>
      <c r="B12" s="19" t="s">
        <v>24</v>
      </c>
      <c r="C12" s="19" t="s">
        <v>151</v>
      </c>
      <c r="D12" s="20" t="s">
        <v>152</v>
      </c>
      <c r="E12" s="20" t="s">
        <v>79</v>
      </c>
      <c r="F12" s="21" t="s">
        <v>80</v>
      </c>
      <c r="G12" s="38" t="s">
        <v>81</v>
      </c>
      <c r="H12" s="39" t="s">
        <v>82</v>
      </c>
      <c r="I12" s="39" t="s">
        <v>83</v>
      </c>
      <c r="J12" s="21" t="s">
        <v>84</v>
      </c>
      <c r="K12" s="21" t="s">
        <v>113</v>
      </c>
      <c r="L12" s="21" t="s">
        <v>86</v>
      </c>
      <c r="M12" s="21" t="s">
        <v>115</v>
      </c>
      <c r="N12" s="21" t="s">
        <v>102</v>
      </c>
      <c r="O12" s="20" t="s">
        <v>153</v>
      </c>
      <c r="P12" s="45">
        <v>45642</v>
      </c>
      <c r="Q12" s="39" t="s">
        <v>154</v>
      </c>
      <c r="R12" s="19">
        <v>1812</v>
      </c>
      <c r="S12" s="21">
        <v>0.1</v>
      </c>
      <c r="T12" s="21">
        <v>1993.2</v>
      </c>
      <c r="U12" s="44" t="s">
        <v>155</v>
      </c>
      <c r="V12" s="22">
        <v>45664</v>
      </c>
      <c r="W12" s="54" t="s">
        <v>91</v>
      </c>
      <c r="X12" s="23"/>
      <c r="Y12" s="23" t="s">
        <v>92</v>
      </c>
      <c r="Z12" s="56"/>
      <c r="AA12" s="24">
        <v>11</v>
      </c>
      <c r="AB12" s="19"/>
      <c r="AC12" s="46" t="s">
        <v>94</v>
      </c>
      <c r="AD12" s="15" t="str">
        <f ca="1">IF(AND($D12&lt;&gt;"",COUNTIF(OFFSET(UFS!$E$2,MATCH($D12&amp;"",UFS!$A$2:$A$175,0)-1,0,COUNTIF(UFS!$A$2:$A$175,$D12&amp;""),1),M12)&gt;0),"Valide","Invalide")</f>
        <v>Valide</v>
      </c>
      <c r="AH12" s="15" t="str">
        <f t="shared" si="0"/>
        <v>En attente</v>
      </c>
    </row>
    <row r="13" spans="1:34" s="15" customFormat="1" ht="45" hidden="1" customHeight="1" x14ac:dyDescent="0.3">
      <c r="A13" s="42">
        <v>12</v>
      </c>
      <c r="B13" s="19" t="s">
        <v>26</v>
      </c>
      <c r="C13" s="19" t="s">
        <v>28</v>
      </c>
      <c r="D13" s="20" t="s">
        <v>156</v>
      </c>
      <c r="E13" s="20" t="s">
        <v>79</v>
      </c>
      <c r="F13" s="21" t="s">
        <v>80</v>
      </c>
      <c r="G13" s="38" t="s">
        <v>81</v>
      </c>
      <c r="H13" s="39" t="s">
        <v>82</v>
      </c>
      <c r="I13" s="39" t="s">
        <v>83</v>
      </c>
      <c r="J13" s="21" t="s">
        <v>144</v>
      </c>
      <c r="K13" s="21" t="s">
        <v>145</v>
      </c>
      <c r="L13" s="21" t="s">
        <v>146</v>
      </c>
      <c r="M13" s="21" t="s">
        <v>146</v>
      </c>
      <c r="N13" s="21" t="s">
        <v>157</v>
      </c>
      <c r="O13" s="38" t="s">
        <v>158</v>
      </c>
      <c r="P13" s="45">
        <v>45638</v>
      </c>
      <c r="Q13" s="39" t="s">
        <v>159</v>
      </c>
      <c r="R13" s="19">
        <v>3475.33</v>
      </c>
      <c r="S13" s="21">
        <v>0.2</v>
      </c>
      <c r="T13" s="21">
        <v>4170.3959999999997</v>
      </c>
      <c r="U13" s="44" t="s">
        <v>160</v>
      </c>
      <c r="V13" s="22">
        <v>45663</v>
      </c>
      <c r="W13" s="54" t="s">
        <v>91</v>
      </c>
      <c r="X13" s="23"/>
      <c r="Y13" s="23" t="s">
        <v>92</v>
      </c>
      <c r="Z13" s="56"/>
      <c r="AA13" s="24">
        <v>12</v>
      </c>
      <c r="AB13" s="48">
        <v>45658</v>
      </c>
      <c r="AC13" s="49" t="s">
        <v>161</v>
      </c>
      <c r="AD13" s="15" t="str">
        <f ca="1">IF(AND($D13&lt;&gt;"",COUNTIF(OFFSET(UFS!$E$2,MATCH($D13&amp;"",UFS!$A$2:$A$175,0)-1,0,COUNTIF(UFS!$A$2:$A$175,$D13&amp;""),1),M13)&gt;0),"Valide","Invalide")</f>
        <v>Valide</v>
      </c>
      <c r="AH13" s="15" t="str">
        <f t="shared" si="0"/>
        <v>En attente</v>
      </c>
    </row>
    <row r="14" spans="1:34" s="15" customFormat="1" ht="45" hidden="1" customHeight="1" x14ac:dyDescent="0.3">
      <c r="A14" s="42">
        <v>13</v>
      </c>
      <c r="B14" s="19" t="s">
        <v>26</v>
      </c>
      <c r="C14" s="19" t="s">
        <v>3</v>
      </c>
      <c r="D14" s="20" t="s">
        <v>162</v>
      </c>
      <c r="E14" s="20" t="s">
        <v>79</v>
      </c>
      <c r="F14" s="21" t="s">
        <v>80</v>
      </c>
      <c r="G14" s="38" t="s">
        <v>163</v>
      </c>
      <c r="H14" s="39"/>
      <c r="I14" s="39"/>
      <c r="J14" s="21" t="s">
        <v>144</v>
      </c>
      <c r="K14" s="21" t="s">
        <v>145</v>
      </c>
      <c r="L14" s="21" t="s">
        <v>120</v>
      </c>
      <c r="M14" s="21" t="s">
        <v>164</v>
      </c>
      <c r="N14" s="21" t="s">
        <v>165</v>
      </c>
      <c r="O14" s="20"/>
      <c r="P14" s="45">
        <v>45994</v>
      </c>
      <c r="Q14" s="39" t="s">
        <v>166</v>
      </c>
      <c r="R14" s="19">
        <v>3037.5</v>
      </c>
      <c r="S14" s="21">
        <v>0.2</v>
      </c>
      <c r="T14" s="21">
        <v>3645</v>
      </c>
      <c r="U14" s="44" t="s">
        <v>167</v>
      </c>
      <c r="V14" s="22">
        <v>45663</v>
      </c>
      <c r="W14" s="54" t="s">
        <v>91</v>
      </c>
      <c r="X14" s="23"/>
      <c r="Y14" s="23" t="s">
        <v>92</v>
      </c>
      <c r="Z14" s="56"/>
      <c r="AA14" s="24">
        <v>13</v>
      </c>
      <c r="AB14" s="19"/>
      <c r="AC14" s="46" t="s">
        <v>94</v>
      </c>
      <c r="AD14" s="15" t="e">
        <f ca="1">IF(AND($D14&lt;&gt;"",COUNTIF(OFFSET(UFS!$E$2,MATCH($D14&amp;"",UFS!$A$2:$A$175,0)-1,0,COUNTIF(UFS!$A$2:$A$175,$D14&amp;""),1),M14)&gt;0),"Valide","Invalide")</f>
        <v>#N/A</v>
      </c>
      <c r="AH14" s="15" t="str">
        <f t="shared" si="0"/>
        <v>En attente</v>
      </c>
    </row>
    <row r="15" spans="1:34" s="15" customFormat="1" ht="45" hidden="1" customHeight="1" x14ac:dyDescent="0.3">
      <c r="A15" s="42">
        <v>14</v>
      </c>
      <c r="B15" s="19" t="s">
        <v>18</v>
      </c>
      <c r="C15" s="19" t="s">
        <v>168</v>
      </c>
      <c r="D15" s="20" t="s">
        <v>119</v>
      </c>
      <c r="E15" s="20" t="s">
        <v>96</v>
      </c>
      <c r="F15" s="21" t="s">
        <v>80</v>
      </c>
      <c r="G15" s="38" t="s">
        <v>169</v>
      </c>
      <c r="H15" s="39"/>
      <c r="I15" s="39" t="s">
        <v>170</v>
      </c>
      <c r="J15" s="21" t="s">
        <v>84</v>
      </c>
      <c r="K15" s="21" t="s">
        <v>113</v>
      </c>
      <c r="L15" s="21" t="s">
        <v>120</v>
      </c>
      <c r="M15" s="21" t="s">
        <v>115</v>
      </c>
      <c r="N15" s="21" t="s">
        <v>102</v>
      </c>
      <c r="O15" s="20" t="s">
        <v>171</v>
      </c>
      <c r="P15" s="45">
        <v>45663</v>
      </c>
      <c r="Q15" s="39" t="s">
        <v>172</v>
      </c>
      <c r="R15" s="19">
        <v>750</v>
      </c>
      <c r="S15" s="21">
        <v>0.1</v>
      </c>
      <c r="T15" s="21">
        <v>825</v>
      </c>
      <c r="U15" s="44" t="s">
        <v>173</v>
      </c>
      <c r="V15" s="22">
        <v>45664</v>
      </c>
      <c r="W15" s="54" t="s">
        <v>91</v>
      </c>
      <c r="X15" s="23"/>
      <c r="Y15" s="23" t="s">
        <v>92</v>
      </c>
      <c r="Z15" s="56"/>
      <c r="AA15" s="24">
        <v>5</v>
      </c>
      <c r="AB15" s="48">
        <v>45658</v>
      </c>
      <c r="AC15" s="46" t="s">
        <v>94</v>
      </c>
      <c r="AD15" s="15" t="str">
        <f ca="1">IF(AND($D15&lt;&gt;"",COUNTIF(OFFSET(UFS!$E$2,MATCH($D15&amp;"",UFS!$A$2:$A$175,0)-1,0,COUNTIF(UFS!$A$2:$A$175,$D15&amp;""),1),M15)&gt;0),"Valide","Invalide")</f>
        <v>Valide</v>
      </c>
      <c r="AH15" s="15" t="str">
        <f t="shared" si="0"/>
        <v>En attente</v>
      </c>
    </row>
    <row r="16" spans="1:34" s="15" customFormat="1" ht="45" hidden="1" customHeight="1" x14ac:dyDescent="0.3">
      <c r="A16" s="42">
        <v>15</v>
      </c>
      <c r="B16" s="19" t="s">
        <v>24</v>
      </c>
      <c r="C16" s="19" t="s">
        <v>35</v>
      </c>
      <c r="D16" s="20" t="s">
        <v>174</v>
      </c>
      <c r="E16" s="20" t="s">
        <v>96</v>
      </c>
      <c r="F16" s="21" t="s">
        <v>80</v>
      </c>
      <c r="G16" s="38" t="s">
        <v>175</v>
      </c>
      <c r="H16" s="39"/>
      <c r="I16" s="39" t="s">
        <v>176</v>
      </c>
      <c r="J16" s="21" t="s">
        <v>124</v>
      </c>
      <c r="K16" s="21" t="s">
        <v>125</v>
      </c>
      <c r="L16" s="21" t="s">
        <v>177</v>
      </c>
      <c r="M16" s="21" t="s">
        <v>136</v>
      </c>
      <c r="N16" s="21" t="s">
        <v>102</v>
      </c>
      <c r="O16" s="20" t="s">
        <v>178</v>
      </c>
      <c r="P16" s="45">
        <v>45638</v>
      </c>
      <c r="Q16" s="39" t="s">
        <v>179</v>
      </c>
      <c r="R16" s="19">
        <v>14900.86</v>
      </c>
      <c r="S16" s="21">
        <v>0.1</v>
      </c>
      <c r="T16" s="21">
        <v>16390.946</v>
      </c>
      <c r="U16" s="44" t="s">
        <v>180</v>
      </c>
      <c r="V16" s="22">
        <v>45664</v>
      </c>
      <c r="W16" s="54" t="s">
        <v>91</v>
      </c>
      <c r="X16" s="23"/>
      <c r="Y16" s="23" t="s">
        <v>92</v>
      </c>
      <c r="Z16" s="56"/>
      <c r="AA16" s="24">
        <v>14</v>
      </c>
      <c r="AB16" s="19"/>
      <c r="AC16" s="46" t="s">
        <v>94</v>
      </c>
      <c r="AD16" s="15" t="str">
        <f ca="1">IF(AND($D16&lt;&gt;"",COUNTIF(OFFSET(UFS!$E$2,MATCH($D16&amp;"",UFS!$A$2:$A$175,0)-1,0,COUNTIF(UFS!$A$2:$A$175,$D16&amp;""),1),M16)&gt;0),"Valide","Invalide")</f>
        <v>Valide</v>
      </c>
      <c r="AH16" s="15" t="str">
        <f t="shared" si="0"/>
        <v>En attente</v>
      </c>
    </row>
    <row r="17" spans="1:34" s="15" customFormat="1" ht="45" hidden="1" customHeight="1" x14ac:dyDescent="0.3">
      <c r="A17" s="42">
        <v>16</v>
      </c>
      <c r="B17" s="19" t="s">
        <v>26</v>
      </c>
      <c r="C17" s="19" t="s">
        <v>11</v>
      </c>
      <c r="D17" s="20" t="s">
        <v>181</v>
      </c>
      <c r="E17" s="20" t="s">
        <v>79</v>
      </c>
      <c r="F17" s="21" t="s">
        <v>80</v>
      </c>
      <c r="G17" s="38" t="s">
        <v>182</v>
      </c>
      <c r="H17" s="39" t="s">
        <v>82</v>
      </c>
      <c r="I17" s="39" t="s">
        <v>83</v>
      </c>
      <c r="J17" s="21" t="s">
        <v>183</v>
      </c>
      <c r="K17" s="21" t="s">
        <v>184</v>
      </c>
      <c r="L17" s="21" t="s">
        <v>185</v>
      </c>
      <c r="M17" s="21" t="s">
        <v>186</v>
      </c>
      <c r="N17" s="21" t="s">
        <v>102</v>
      </c>
      <c r="O17" s="20" t="s">
        <v>187</v>
      </c>
      <c r="P17" s="45">
        <v>46009</v>
      </c>
      <c r="Q17" s="50" t="s">
        <v>188</v>
      </c>
      <c r="R17" s="19">
        <v>1876.14</v>
      </c>
      <c r="S17" s="21">
        <v>0.1</v>
      </c>
      <c r="T17" s="21">
        <v>2063.7539999999999</v>
      </c>
      <c r="U17" s="44" t="s">
        <v>189</v>
      </c>
      <c r="V17" s="22">
        <v>45664</v>
      </c>
      <c r="W17" s="54" t="s">
        <v>91</v>
      </c>
      <c r="X17" s="23"/>
      <c r="Y17" s="23" t="s">
        <v>92</v>
      </c>
      <c r="Z17" s="56"/>
      <c r="AA17" s="24">
        <v>15</v>
      </c>
      <c r="AB17" s="19"/>
      <c r="AC17" s="49" t="s">
        <v>161</v>
      </c>
      <c r="AD17" s="15" t="str">
        <f ca="1">IF(AND($D17&lt;&gt;"",COUNTIF(OFFSET(UFS!$E$2,MATCH($D17&amp;"",UFS!$A$2:$A$175,0)-1,0,COUNTIF(UFS!$A$2:$A$175,$D17&amp;""),1),M17)&gt;0),"Valide","Invalide")</f>
        <v>Valide</v>
      </c>
      <c r="AH17" s="15" t="str">
        <f t="shared" si="0"/>
        <v>En attente</v>
      </c>
    </row>
    <row r="18" spans="1:34" s="15" customFormat="1" ht="45" hidden="1" customHeight="1" x14ac:dyDescent="0.3">
      <c r="A18" s="42">
        <v>17</v>
      </c>
      <c r="B18" s="19" t="s">
        <v>16</v>
      </c>
      <c r="C18" s="19" t="s">
        <v>30</v>
      </c>
      <c r="D18" s="20" t="s">
        <v>190</v>
      </c>
      <c r="E18" s="20" t="s">
        <v>96</v>
      </c>
      <c r="F18" s="21" t="s">
        <v>80</v>
      </c>
      <c r="G18" s="38" t="s">
        <v>169</v>
      </c>
      <c r="H18" s="39"/>
      <c r="I18" s="39" t="s">
        <v>191</v>
      </c>
      <c r="J18" s="21" t="s">
        <v>144</v>
      </c>
      <c r="K18" s="21" t="s">
        <v>145</v>
      </c>
      <c r="L18" s="21" t="s">
        <v>192</v>
      </c>
      <c r="M18" s="21" t="s">
        <v>193</v>
      </c>
      <c r="N18" s="21" t="s">
        <v>102</v>
      </c>
      <c r="O18" s="20" t="s">
        <v>194</v>
      </c>
      <c r="P18" s="45">
        <v>45642</v>
      </c>
      <c r="Q18" s="39" t="s">
        <v>195</v>
      </c>
      <c r="R18" s="19">
        <v>2224.44</v>
      </c>
      <c r="S18" s="21">
        <v>0.1</v>
      </c>
      <c r="T18" s="21">
        <v>2446.884</v>
      </c>
      <c r="U18" s="44" t="s">
        <v>196</v>
      </c>
      <c r="V18" s="22">
        <v>45664</v>
      </c>
      <c r="W18" s="54" t="s">
        <v>91</v>
      </c>
      <c r="X18" s="23"/>
      <c r="Y18" s="23" t="s">
        <v>92</v>
      </c>
      <c r="Z18" s="56"/>
      <c r="AA18" s="24">
        <v>16</v>
      </c>
      <c r="AB18" s="45">
        <v>45689</v>
      </c>
      <c r="AC18" s="46" t="s">
        <v>94</v>
      </c>
      <c r="AD18" s="15" t="e">
        <f ca="1">IF(AND($D18&lt;&gt;"",COUNTIF(OFFSET(UFS!$E$2,MATCH($D18&amp;"",UFS!$A$2:$A$175,0)-1,0,COUNTIF(UFS!$A$2:$A$175,$D18&amp;""),1),M18)&gt;0),"Valide","Invalide")</f>
        <v>#N/A</v>
      </c>
      <c r="AH18" s="15" t="str">
        <f t="shared" si="0"/>
        <v>En attente</v>
      </c>
    </row>
    <row r="19" spans="1:34" s="15" customFormat="1" ht="45" hidden="1" customHeight="1" x14ac:dyDescent="0.3">
      <c r="A19" s="42">
        <v>18</v>
      </c>
      <c r="B19" s="19" t="s">
        <v>16</v>
      </c>
      <c r="C19" s="19" t="s">
        <v>11</v>
      </c>
      <c r="D19" s="20" t="s">
        <v>190</v>
      </c>
      <c r="E19" s="20" t="s">
        <v>96</v>
      </c>
      <c r="F19" s="21" t="s">
        <v>80</v>
      </c>
      <c r="G19" s="38" t="s">
        <v>169</v>
      </c>
      <c r="H19" s="39"/>
      <c r="I19" s="39" t="s">
        <v>191</v>
      </c>
      <c r="J19" s="21" t="s">
        <v>144</v>
      </c>
      <c r="K19" s="21" t="s">
        <v>145</v>
      </c>
      <c r="L19" s="21" t="s">
        <v>192</v>
      </c>
      <c r="M19" s="21" t="s">
        <v>193</v>
      </c>
      <c r="N19" s="21" t="s">
        <v>102</v>
      </c>
      <c r="O19" s="20" t="s">
        <v>197</v>
      </c>
      <c r="P19" s="45">
        <v>45632</v>
      </c>
      <c r="Q19" s="39" t="s">
        <v>198</v>
      </c>
      <c r="R19" s="19">
        <v>2964.2</v>
      </c>
      <c r="S19" s="21">
        <v>0.1</v>
      </c>
      <c r="T19" s="21">
        <v>3260.62</v>
      </c>
      <c r="U19" s="44" t="s">
        <v>199</v>
      </c>
      <c r="V19" s="22">
        <v>45664</v>
      </c>
      <c r="W19" s="54" t="s">
        <v>91</v>
      </c>
      <c r="X19" s="23"/>
      <c r="Y19" s="23" t="s">
        <v>92</v>
      </c>
      <c r="Z19" s="56"/>
      <c r="AA19" s="24">
        <v>17</v>
      </c>
      <c r="AB19" s="45">
        <v>45689</v>
      </c>
      <c r="AC19" s="46" t="s">
        <v>94</v>
      </c>
      <c r="AD19" s="15" t="e">
        <f ca="1">IF(AND($D19&lt;&gt;"",COUNTIF(OFFSET(UFS!$E$2,MATCH($D19&amp;"",UFS!$A$2:$A$175,0)-1,0,COUNTIF(UFS!$A$2:$A$175,$D19&amp;""),1),M19)&gt;0),"Valide","Invalide")</f>
        <v>#N/A</v>
      </c>
      <c r="AH19" s="15" t="str">
        <f t="shared" si="0"/>
        <v>En attente</v>
      </c>
    </row>
    <row r="20" spans="1:34" s="15" customFormat="1" ht="45" hidden="1" customHeight="1" x14ac:dyDescent="0.3">
      <c r="A20" s="42">
        <v>19</v>
      </c>
      <c r="B20" s="19" t="s">
        <v>16</v>
      </c>
      <c r="C20" s="19" t="s">
        <v>35</v>
      </c>
      <c r="D20" s="20" t="s">
        <v>200</v>
      </c>
      <c r="E20" s="20" t="s">
        <v>96</v>
      </c>
      <c r="F20" s="21" t="s">
        <v>80</v>
      </c>
      <c r="G20" s="38" t="s">
        <v>201</v>
      </c>
      <c r="H20" s="39"/>
      <c r="I20" s="39" t="s">
        <v>202</v>
      </c>
      <c r="J20" s="21" t="s">
        <v>144</v>
      </c>
      <c r="K20" s="21" t="s">
        <v>145</v>
      </c>
      <c r="L20" s="21" t="s">
        <v>203</v>
      </c>
      <c r="M20" s="21" t="s">
        <v>109</v>
      </c>
      <c r="N20" s="21" t="s">
        <v>109</v>
      </c>
      <c r="O20" s="20" t="s">
        <v>204</v>
      </c>
      <c r="P20" s="45">
        <v>45664</v>
      </c>
      <c r="Q20" s="39" t="s">
        <v>205</v>
      </c>
      <c r="R20" s="19">
        <v>33685.760000000002</v>
      </c>
      <c r="S20" s="21">
        <v>0.2</v>
      </c>
      <c r="T20" s="21">
        <v>40422.912000000004</v>
      </c>
      <c r="U20" s="44" t="s">
        <v>206</v>
      </c>
      <c r="V20" s="22">
        <v>45665</v>
      </c>
      <c r="W20" s="54" t="s">
        <v>91</v>
      </c>
      <c r="X20" s="23"/>
      <c r="Y20" s="23" t="s">
        <v>92</v>
      </c>
      <c r="Z20" s="56"/>
      <c r="AA20" s="24">
        <v>22</v>
      </c>
      <c r="AB20" s="19"/>
      <c r="AC20" s="46" t="s">
        <v>94</v>
      </c>
      <c r="AD20" s="15" t="e">
        <f ca="1">IF(AND($D20&lt;&gt;"",COUNTIF(OFFSET(UFS!$E$2,MATCH($D20&amp;"",UFS!$A$2:$A$175,0)-1,0,COUNTIF(UFS!$A$2:$A$175,$D20&amp;""),1),M20)&gt;0),"Valide","Invalide")</f>
        <v>#N/A</v>
      </c>
      <c r="AH20" s="15" t="str">
        <f t="shared" si="0"/>
        <v>En attente</v>
      </c>
    </row>
    <row r="21" spans="1:34" s="15" customFormat="1" ht="45" hidden="1" customHeight="1" x14ac:dyDescent="0.3">
      <c r="A21" s="42">
        <v>20</v>
      </c>
      <c r="B21" s="19" t="s">
        <v>24</v>
      </c>
      <c r="C21" s="19" t="s">
        <v>151</v>
      </c>
      <c r="D21" s="20" t="s">
        <v>119</v>
      </c>
      <c r="E21" s="20" t="s">
        <v>79</v>
      </c>
      <c r="F21" s="21" t="s">
        <v>80</v>
      </c>
      <c r="G21" s="38" t="s">
        <v>81</v>
      </c>
      <c r="H21" s="39" t="s">
        <v>82</v>
      </c>
      <c r="I21" s="39" t="s">
        <v>83</v>
      </c>
      <c r="J21" s="21" t="s">
        <v>84</v>
      </c>
      <c r="K21" s="21" t="s">
        <v>113</v>
      </c>
      <c r="L21" s="21" t="s">
        <v>120</v>
      </c>
      <c r="M21" s="21" t="s">
        <v>115</v>
      </c>
      <c r="N21" s="21" t="s">
        <v>102</v>
      </c>
      <c r="O21" s="20" t="s">
        <v>207</v>
      </c>
      <c r="P21" s="45">
        <v>45642</v>
      </c>
      <c r="Q21" s="39" t="s">
        <v>208</v>
      </c>
      <c r="R21" s="19">
        <v>1271</v>
      </c>
      <c r="S21" s="21">
        <v>0.1</v>
      </c>
      <c r="T21" s="21">
        <v>1398.1</v>
      </c>
      <c r="U21" s="44" t="s">
        <v>155</v>
      </c>
      <c r="V21" s="22">
        <v>45664</v>
      </c>
      <c r="W21" s="54" t="s">
        <v>91</v>
      </c>
      <c r="X21" s="23"/>
      <c r="Y21" s="23" t="s">
        <v>92</v>
      </c>
      <c r="Z21" s="56"/>
      <c r="AA21" s="24">
        <v>18</v>
      </c>
      <c r="AB21" s="19"/>
      <c r="AC21" s="46" t="s">
        <v>94</v>
      </c>
      <c r="AD21" s="15" t="str">
        <f ca="1">IF(AND($D21&lt;&gt;"",COUNTIF(OFFSET(UFS!$E$2,MATCH($D21&amp;"",UFS!$A$2:$A$175,0)-1,0,COUNTIF(UFS!$A$2:$A$175,$D21&amp;""),1),M21)&gt;0),"Valide","Invalide")</f>
        <v>Valide</v>
      </c>
      <c r="AH21" s="15" t="str">
        <f t="shared" si="0"/>
        <v>En attente</v>
      </c>
    </row>
    <row r="22" spans="1:34" s="15" customFormat="1" ht="45" hidden="1" customHeight="1" x14ac:dyDescent="0.3">
      <c r="A22" s="42">
        <v>21</v>
      </c>
      <c r="B22" s="19" t="s">
        <v>24</v>
      </c>
      <c r="C22" s="19" t="s">
        <v>151</v>
      </c>
      <c r="D22" s="20" t="s">
        <v>152</v>
      </c>
      <c r="E22" s="20" t="s">
        <v>79</v>
      </c>
      <c r="F22" s="21" t="s">
        <v>80</v>
      </c>
      <c r="G22" s="38" t="s">
        <v>81</v>
      </c>
      <c r="H22" s="39" t="s">
        <v>82</v>
      </c>
      <c r="I22" s="39" t="s">
        <v>83</v>
      </c>
      <c r="J22" s="21" t="s">
        <v>84</v>
      </c>
      <c r="K22" s="21" t="s">
        <v>113</v>
      </c>
      <c r="L22" s="21" t="s">
        <v>86</v>
      </c>
      <c r="M22" s="21" t="s">
        <v>115</v>
      </c>
      <c r="N22" s="21" t="s">
        <v>102</v>
      </c>
      <c r="O22" s="20" t="s">
        <v>209</v>
      </c>
      <c r="P22" s="45">
        <v>45642</v>
      </c>
      <c r="Q22" s="39" t="s">
        <v>210</v>
      </c>
      <c r="R22" s="19">
        <v>4559</v>
      </c>
      <c r="S22" s="21">
        <v>0.1</v>
      </c>
      <c r="T22" s="21">
        <v>5014.8999999999996</v>
      </c>
      <c r="U22" s="44" t="s">
        <v>155</v>
      </c>
      <c r="V22" s="22">
        <v>45664</v>
      </c>
      <c r="W22" s="54" t="s">
        <v>91</v>
      </c>
      <c r="X22" s="23"/>
      <c r="Y22" s="23" t="s">
        <v>92</v>
      </c>
      <c r="Z22" s="56"/>
      <c r="AA22" s="24">
        <v>19</v>
      </c>
      <c r="AB22" s="19"/>
      <c r="AC22" s="46" t="s">
        <v>94</v>
      </c>
      <c r="AD22" s="15" t="str">
        <f ca="1">IF(AND($D22&lt;&gt;"",COUNTIF(OFFSET(UFS!$E$2,MATCH($D22&amp;"",UFS!$A$2:$A$175,0)-1,0,COUNTIF(UFS!$A$2:$A$175,$D22&amp;""),1),M22)&gt;0),"Valide","Invalide")</f>
        <v>Valide</v>
      </c>
      <c r="AH22" s="15" t="str">
        <f t="shared" si="0"/>
        <v>En attente</v>
      </c>
    </row>
    <row r="23" spans="1:34" s="15" customFormat="1" ht="45" hidden="1" customHeight="1" x14ac:dyDescent="0.3">
      <c r="A23" s="42">
        <v>22</v>
      </c>
      <c r="B23" s="19" t="s">
        <v>26</v>
      </c>
      <c r="C23" s="19" t="s">
        <v>32</v>
      </c>
      <c r="D23" s="20" t="s">
        <v>156</v>
      </c>
      <c r="E23" s="20" t="s">
        <v>79</v>
      </c>
      <c r="F23" s="21" t="s">
        <v>80</v>
      </c>
      <c r="G23" s="38" t="s">
        <v>81</v>
      </c>
      <c r="H23" s="39" t="s">
        <v>211</v>
      </c>
      <c r="I23" s="39" t="s">
        <v>83</v>
      </c>
      <c r="J23" s="21" t="s">
        <v>144</v>
      </c>
      <c r="K23" s="21" t="s">
        <v>145</v>
      </c>
      <c r="L23" s="21" t="s">
        <v>146</v>
      </c>
      <c r="M23" s="21" t="s">
        <v>146</v>
      </c>
      <c r="N23" s="21" t="s">
        <v>157</v>
      </c>
      <c r="O23" s="38" t="s">
        <v>212</v>
      </c>
      <c r="P23" s="45">
        <v>45638</v>
      </c>
      <c r="Q23" s="39" t="s">
        <v>213</v>
      </c>
      <c r="R23" s="19">
        <v>2181.31</v>
      </c>
      <c r="S23" s="21">
        <v>0.2</v>
      </c>
      <c r="T23" s="21">
        <v>2617.5720000000001</v>
      </c>
      <c r="U23" s="44" t="s">
        <v>214</v>
      </c>
      <c r="V23" s="22">
        <v>45664</v>
      </c>
      <c r="W23" s="54" t="s">
        <v>91</v>
      </c>
      <c r="X23" s="23"/>
      <c r="Y23" s="23" t="s">
        <v>92</v>
      </c>
      <c r="Z23" s="56"/>
      <c r="AA23" s="24">
        <v>20</v>
      </c>
      <c r="AB23" s="19"/>
      <c r="AC23" s="49" t="s">
        <v>161</v>
      </c>
      <c r="AD23" s="15" t="str">
        <f ca="1">IF(AND($D23&lt;&gt;"",COUNTIF(OFFSET(UFS!$E$2,MATCH($D23&amp;"",UFS!$A$2:$A$175,0)-1,0,COUNTIF(UFS!$A$2:$A$175,$D23&amp;""),1),M23)&gt;0),"Valide","Invalide")</f>
        <v>Valide</v>
      </c>
      <c r="AH23" s="15" t="str">
        <f t="shared" si="0"/>
        <v>En attente</v>
      </c>
    </row>
    <row r="24" spans="1:34" s="15" customFormat="1" ht="45" hidden="1" customHeight="1" x14ac:dyDescent="0.3">
      <c r="A24" s="42">
        <v>23</v>
      </c>
      <c r="B24" s="19" t="s">
        <v>24</v>
      </c>
      <c r="C24" s="19" t="s">
        <v>35</v>
      </c>
      <c r="D24" s="20" t="s">
        <v>123</v>
      </c>
      <c r="E24" s="20" t="s">
        <v>79</v>
      </c>
      <c r="F24" s="21" t="s">
        <v>80</v>
      </c>
      <c r="G24" s="38" t="s">
        <v>81</v>
      </c>
      <c r="H24" s="39" t="s">
        <v>215</v>
      </c>
      <c r="I24" s="39" t="s">
        <v>83</v>
      </c>
      <c r="J24" s="21" t="s">
        <v>124</v>
      </c>
      <c r="K24" s="21" t="s">
        <v>125</v>
      </c>
      <c r="L24" s="21" t="s">
        <v>126</v>
      </c>
      <c r="M24" s="21" t="s">
        <v>109</v>
      </c>
      <c r="N24" s="21" t="s">
        <v>109</v>
      </c>
      <c r="O24" s="20" t="s">
        <v>216</v>
      </c>
      <c r="P24" s="45">
        <v>45621</v>
      </c>
      <c r="Q24" s="39" t="s">
        <v>217</v>
      </c>
      <c r="R24" s="19">
        <v>429.39</v>
      </c>
      <c r="S24" s="21">
        <v>0.1</v>
      </c>
      <c r="T24" s="21">
        <v>472.32900000000001</v>
      </c>
      <c r="U24" s="44" t="s">
        <v>218</v>
      </c>
      <c r="V24" s="22">
        <v>45671</v>
      </c>
      <c r="W24" s="54" t="s">
        <v>91</v>
      </c>
      <c r="X24" s="23"/>
      <c r="Y24" s="23" t="s">
        <v>92</v>
      </c>
      <c r="Z24" s="56"/>
      <c r="AA24" s="24">
        <v>103</v>
      </c>
      <c r="AB24" s="19"/>
      <c r="AC24" s="46" t="s">
        <v>94</v>
      </c>
      <c r="AD24" s="15" t="str">
        <f ca="1">IF(AND($D24&lt;&gt;"",COUNTIF(OFFSET(UFS!$E$2,MATCH($D24&amp;"",UFS!$A$2:$A$175,0)-1,0,COUNTIF(UFS!$A$2:$A$175,$D24&amp;""),1),M24)&gt;0),"Valide","Invalide")</f>
        <v>Valide</v>
      </c>
      <c r="AH24" s="15" t="str">
        <f t="shared" si="0"/>
        <v>En attente</v>
      </c>
    </row>
    <row r="25" spans="1:34" s="15" customFormat="1" ht="45" hidden="1" customHeight="1" x14ac:dyDescent="0.3">
      <c r="A25" s="42">
        <v>24</v>
      </c>
      <c r="B25" s="19" t="s">
        <v>16</v>
      </c>
      <c r="C25" s="19" t="s">
        <v>35</v>
      </c>
      <c r="D25" s="20" t="s">
        <v>190</v>
      </c>
      <c r="E25" s="20" t="s">
        <v>96</v>
      </c>
      <c r="F25" s="21" t="s">
        <v>80</v>
      </c>
      <c r="G25" s="38" t="s">
        <v>175</v>
      </c>
      <c r="H25" s="39"/>
      <c r="I25" s="39" t="s">
        <v>191</v>
      </c>
      <c r="J25" s="21" t="s">
        <v>144</v>
      </c>
      <c r="K25" s="21" t="s">
        <v>145</v>
      </c>
      <c r="L25" s="21" t="s">
        <v>192</v>
      </c>
      <c r="M25" s="21" t="s">
        <v>193</v>
      </c>
      <c r="N25" s="21" t="s">
        <v>102</v>
      </c>
      <c r="O25" s="20" t="s">
        <v>219</v>
      </c>
      <c r="P25" s="45">
        <v>45664</v>
      </c>
      <c r="Q25" s="39" t="s">
        <v>220</v>
      </c>
      <c r="R25" s="19">
        <v>4422.28</v>
      </c>
      <c r="S25" s="21">
        <v>0.1</v>
      </c>
      <c r="T25" s="21">
        <v>4864.5079999999998</v>
      </c>
      <c r="U25" s="44" t="s">
        <v>221</v>
      </c>
      <c r="V25" s="22">
        <v>45665</v>
      </c>
      <c r="W25" s="54" t="s">
        <v>91</v>
      </c>
      <c r="X25" s="23"/>
      <c r="Y25" s="23" t="s">
        <v>92</v>
      </c>
      <c r="Z25" s="56"/>
      <c r="AA25" s="24">
        <v>23</v>
      </c>
      <c r="AB25" s="48">
        <v>45658</v>
      </c>
      <c r="AC25" s="46" t="s">
        <v>94</v>
      </c>
      <c r="AD25" s="15" t="e">
        <f ca="1">IF(AND($D25&lt;&gt;"",COUNTIF(OFFSET(UFS!$E$2,MATCH($D25&amp;"",UFS!$A$2:$A$175,0)-1,0,COUNTIF(UFS!$A$2:$A$175,$D25&amp;""),1),M25)&gt;0),"Valide","Invalide")</f>
        <v>#N/A</v>
      </c>
      <c r="AH25" s="15" t="str">
        <f t="shared" si="0"/>
        <v>En attente</v>
      </c>
    </row>
    <row r="26" spans="1:34" s="15" customFormat="1" ht="48" hidden="1" customHeight="1" x14ac:dyDescent="0.3">
      <c r="A26" s="42">
        <v>25</v>
      </c>
      <c r="B26" s="19" t="s">
        <v>16</v>
      </c>
      <c r="C26" s="19" t="s">
        <v>35</v>
      </c>
      <c r="D26" s="20" t="s">
        <v>222</v>
      </c>
      <c r="E26" s="20" t="s">
        <v>96</v>
      </c>
      <c r="F26" s="21" t="s">
        <v>223</v>
      </c>
      <c r="G26" s="38" t="s">
        <v>201</v>
      </c>
      <c r="H26" s="39"/>
      <c r="I26" s="39" t="s">
        <v>224</v>
      </c>
      <c r="J26" s="21" t="s">
        <v>144</v>
      </c>
      <c r="K26" s="21" t="s">
        <v>145</v>
      </c>
      <c r="L26" s="21" t="s">
        <v>225</v>
      </c>
      <c r="M26" s="21" t="s">
        <v>226</v>
      </c>
      <c r="N26" s="21" t="s">
        <v>227</v>
      </c>
      <c r="O26" s="20" t="s">
        <v>228</v>
      </c>
      <c r="P26" s="45">
        <v>45645</v>
      </c>
      <c r="Q26" s="39" t="s">
        <v>229</v>
      </c>
      <c r="R26" s="19">
        <v>10549.95</v>
      </c>
      <c r="S26" s="21">
        <v>0.2</v>
      </c>
      <c r="T26" s="21">
        <v>12659.94</v>
      </c>
      <c r="U26" s="44" t="s">
        <v>230</v>
      </c>
      <c r="V26" s="22">
        <v>45666</v>
      </c>
      <c r="W26" s="54" t="s">
        <v>91</v>
      </c>
      <c r="X26" s="23"/>
      <c r="Y26" s="23" t="s">
        <v>92</v>
      </c>
      <c r="Z26" s="58" t="s">
        <v>231</v>
      </c>
      <c r="AA26" s="24">
        <v>29</v>
      </c>
      <c r="AB26" s="19" t="s">
        <v>232</v>
      </c>
      <c r="AC26" s="46" t="s">
        <v>94</v>
      </c>
      <c r="AD26" s="15" t="str">
        <f ca="1">IF(AND($D26&lt;&gt;"",COUNTIF(OFFSET(UFS!$E$2,MATCH($D26&amp;"",UFS!$A$2:$A$175,0)-1,0,COUNTIF(UFS!$A$2:$A$175,$D26&amp;""),1),M26)&gt;0),"Valide","Invalide")</f>
        <v>Valide</v>
      </c>
      <c r="AH26" s="15" t="str">
        <f t="shared" si="0"/>
        <v>En attente</v>
      </c>
    </row>
    <row r="27" spans="1:34" s="15" customFormat="1" ht="54.6" hidden="1" customHeight="1" x14ac:dyDescent="0.3">
      <c r="A27" s="42">
        <v>26</v>
      </c>
      <c r="B27" s="19" t="s">
        <v>6</v>
      </c>
      <c r="C27" s="19" t="s">
        <v>33</v>
      </c>
      <c r="D27" s="20" t="s">
        <v>233</v>
      </c>
      <c r="E27" s="20" t="s">
        <v>79</v>
      </c>
      <c r="F27" s="21" t="s">
        <v>80</v>
      </c>
      <c r="G27" s="38" t="s">
        <v>81</v>
      </c>
      <c r="H27" s="39" t="s">
        <v>234</v>
      </c>
      <c r="I27" s="39" t="s">
        <v>83</v>
      </c>
      <c r="J27" s="21" t="s">
        <v>124</v>
      </c>
      <c r="K27" s="21" t="s">
        <v>235</v>
      </c>
      <c r="L27" s="21" t="s">
        <v>177</v>
      </c>
      <c r="M27" s="21" t="s">
        <v>109</v>
      </c>
      <c r="N27" s="21" t="s">
        <v>109</v>
      </c>
      <c r="O27" s="20" t="s">
        <v>236</v>
      </c>
      <c r="P27" s="45">
        <v>45657</v>
      </c>
      <c r="Q27" s="39" t="s">
        <v>237</v>
      </c>
      <c r="R27" s="19">
        <v>1755</v>
      </c>
      <c r="S27" s="21">
        <v>0.1</v>
      </c>
      <c r="T27" s="21">
        <v>1930.5</v>
      </c>
      <c r="U27" s="44" t="s">
        <v>238</v>
      </c>
      <c r="V27" s="22">
        <v>45670</v>
      </c>
      <c r="W27" s="54" t="s">
        <v>91</v>
      </c>
      <c r="X27" s="23"/>
      <c r="Y27" s="23" t="s">
        <v>92</v>
      </c>
      <c r="Z27" s="56" t="s">
        <v>239</v>
      </c>
      <c r="AA27" s="24">
        <v>185</v>
      </c>
      <c r="AB27" s="19"/>
      <c r="AC27" s="46" t="s">
        <v>94</v>
      </c>
      <c r="AD27" s="15" t="str">
        <f ca="1">IF(AND($D27&lt;&gt;"",COUNTIF(OFFSET(UFS!$E$2,MATCH($D27&amp;"",UFS!$A$2:$A$175,0)-1,0,COUNTIF(UFS!$A$2:$A$175,$D27&amp;""),1),M27)&gt;0),"Valide","Invalide")</f>
        <v>Valide</v>
      </c>
      <c r="AH27" s="15" t="str">
        <f t="shared" si="0"/>
        <v>En attente</v>
      </c>
    </row>
    <row r="28" spans="1:34" s="15" customFormat="1" ht="54.6" hidden="1" customHeight="1" x14ac:dyDescent="0.3">
      <c r="A28" s="42">
        <v>27</v>
      </c>
      <c r="B28" s="19" t="s">
        <v>6</v>
      </c>
      <c r="C28" s="19" t="s">
        <v>31</v>
      </c>
      <c r="D28" s="20" t="s">
        <v>240</v>
      </c>
      <c r="E28" s="20" t="s">
        <v>79</v>
      </c>
      <c r="F28" s="21" t="s">
        <v>80</v>
      </c>
      <c r="G28" s="38" t="s">
        <v>241</v>
      </c>
      <c r="H28" s="39" t="s">
        <v>242</v>
      </c>
      <c r="I28" s="39" t="s">
        <v>243</v>
      </c>
      <c r="J28" s="21" t="s">
        <v>244</v>
      </c>
      <c r="K28" s="21" t="s">
        <v>245</v>
      </c>
      <c r="L28" s="21" t="s">
        <v>246</v>
      </c>
      <c r="M28" s="21" t="s">
        <v>247</v>
      </c>
      <c r="N28" s="21" t="s">
        <v>151</v>
      </c>
      <c r="O28" s="20" t="s">
        <v>248</v>
      </c>
      <c r="P28" s="45">
        <v>45573</v>
      </c>
      <c r="Q28" s="39" t="s">
        <v>249</v>
      </c>
      <c r="R28" s="19">
        <v>2109.5300000000002</v>
      </c>
      <c r="S28" s="21">
        <v>0.2</v>
      </c>
      <c r="T28" s="21">
        <v>2531.4360000000001</v>
      </c>
      <c r="U28" s="44" t="s">
        <v>250</v>
      </c>
      <c r="V28" s="22">
        <v>45666</v>
      </c>
      <c r="W28" s="54" t="s">
        <v>91</v>
      </c>
      <c r="X28" s="23"/>
      <c r="Y28" s="23" t="s">
        <v>92</v>
      </c>
      <c r="Z28" s="56"/>
      <c r="AA28" s="24">
        <v>24</v>
      </c>
      <c r="AB28" s="19"/>
      <c r="AC28" s="46" t="s">
        <v>94</v>
      </c>
      <c r="AD28" s="15" t="str">
        <f ca="1">IF(AND($D28&lt;&gt;"",COUNTIF(OFFSET(UFS!$E$2,MATCH($D28&amp;"",UFS!$A$2:$A$175,0)-1,0,COUNTIF(UFS!$A$2:$A$175,$D28&amp;""),1),M28)&gt;0),"Valide","Invalide")</f>
        <v>Valide</v>
      </c>
      <c r="AH28" s="15" t="str">
        <f t="shared" si="0"/>
        <v>En attente</v>
      </c>
    </row>
    <row r="29" spans="1:34" s="15" customFormat="1" ht="43.95" hidden="1" customHeight="1" x14ac:dyDescent="0.3">
      <c r="A29" s="42">
        <v>28</v>
      </c>
      <c r="B29" s="19" t="s">
        <v>4</v>
      </c>
      <c r="C29" s="19" t="s">
        <v>36</v>
      </c>
      <c r="D29" s="20" t="s">
        <v>251</v>
      </c>
      <c r="E29" s="20" t="s">
        <v>79</v>
      </c>
      <c r="F29" s="21" t="s">
        <v>80</v>
      </c>
      <c r="G29" s="38" t="s">
        <v>241</v>
      </c>
      <c r="H29" s="39" t="s">
        <v>252</v>
      </c>
      <c r="I29" s="39" t="s">
        <v>253</v>
      </c>
      <c r="J29" s="21" t="s">
        <v>144</v>
      </c>
      <c r="K29" s="21" t="s">
        <v>145</v>
      </c>
      <c r="L29" s="21" t="s">
        <v>254</v>
      </c>
      <c r="M29" s="21" t="s">
        <v>255</v>
      </c>
      <c r="N29" s="21" t="s">
        <v>256</v>
      </c>
      <c r="O29" s="20" t="s">
        <v>257</v>
      </c>
      <c r="P29" s="45">
        <v>45666</v>
      </c>
      <c r="Q29" s="39" t="s">
        <v>258</v>
      </c>
      <c r="R29" s="52">
        <v>7904</v>
      </c>
      <c r="S29" s="21">
        <v>0.2</v>
      </c>
      <c r="T29" s="21">
        <v>9484.7999999999993</v>
      </c>
      <c r="U29" s="44" t="s">
        <v>259</v>
      </c>
      <c r="V29" s="22">
        <v>45666</v>
      </c>
      <c r="W29" s="54" t="s">
        <v>91</v>
      </c>
      <c r="X29" s="23"/>
      <c r="Y29" s="23" t="s">
        <v>92</v>
      </c>
      <c r="Z29" s="56"/>
      <c r="AA29" s="24">
        <v>25</v>
      </c>
      <c r="AB29" s="19"/>
      <c r="AC29" s="49" t="s">
        <v>161</v>
      </c>
      <c r="AD29" s="15" t="str">
        <f ca="1">IF(AND($D29&lt;&gt;"",COUNTIF(OFFSET(UFS!$E$2,MATCH($D29&amp;"",UFS!$A$2:$A$175,0)-1,0,COUNTIF(UFS!$A$2:$A$175,$D29&amp;""),1),M29)&gt;0),"Valide","Invalide")</f>
        <v>Valide</v>
      </c>
      <c r="AH29" s="15" t="str">
        <f t="shared" si="0"/>
        <v>En attente</v>
      </c>
    </row>
    <row r="30" spans="1:34" s="15" customFormat="1" ht="65.7" hidden="1" customHeight="1" x14ac:dyDescent="0.3">
      <c r="A30" s="42">
        <v>29</v>
      </c>
      <c r="B30" s="19" t="s">
        <v>20</v>
      </c>
      <c r="C30" s="19" t="s">
        <v>7</v>
      </c>
      <c r="D30" s="20" t="s">
        <v>260</v>
      </c>
      <c r="E30" s="20" t="s">
        <v>79</v>
      </c>
      <c r="F30" s="21" t="s">
        <v>80</v>
      </c>
      <c r="G30" s="38" t="s">
        <v>241</v>
      </c>
      <c r="H30" s="39" t="s">
        <v>261</v>
      </c>
      <c r="I30" s="39" t="s">
        <v>262</v>
      </c>
      <c r="J30" s="21" t="s">
        <v>84</v>
      </c>
      <c r="K30" s="51" t="s">
        <v>113</v>
      </c>
      <c r="L30" s="21" t="s">
        <v>86</v>
      </c>
      <c r="M30" s="21" t="s">
        <v>109</v>
      </c>
      <c r="N30" s="21" t="s">
        <v>109</v>
      </c>
      <c r="O30" s="20" t="s">
        <v>263</v>
      </c>
      <c r="P30" s="45">
        <v>45665</v>
      </c>
      <c r="Q30" s="39" t="s">
        <v>264</v>
      </c>
      <c r="R30" s="19">
        <v>167</v>
      </c>
      <c r="S30" s="21">
        <v>0.1</v>
      </c>
      <c r="T30" s="21">
        <v>183.7</v>
      </c>
      <c r="U30" s="44" t="s">
        <v>265</v>
      </c>
      <c r="V30" s="22">
        <v>45667</v>
      </c>
      <c r="W30" s="54" t="s">
        <v>91</v>
      </c>
      <c r="X30" s="23"/>
      <c r="Y30" s="23" t="s">
        <v>92</v>
      </c>
      <c r="Z30" s="56"/>
      <c r="AA30" s="24">
        <v>26</v>
      </c>
      <c r="AB30" s="45"/>
      <c r="AC30" s="46" t="s">
        <v>94</v>
      </c>
      <c r="AD30" s="15" t="str">
        <f ca="1">IF(AND($D30&lt;&gt;"",COUNTIF(OFFSET(UFS!$E$2,MATCH($D30&amp;"",UFS!$A$2:$A$175,0)-1,0,COUNTIF(UFS!$A$2:$A$175,$D30&amp;""),1),M30)&gt;0),"Valide","Invalide")</f>
        <v>Valide</v>
      </c>
      <c r="AH30" s="15" t="str">
        <f t="shared" si="0"/>
        <v>En attente</v>
      </c>
    </row>
    <row r="31" spans="1:34" s="15" customFormat="1" ht="35.700000000000003" hidden="1" customHeight="1" x14ac:dyDescent="0.3">
      <c r="A31" s="42">
        <v>30</v>
      </c>
      <c r="B31" s="19" t="s">
        <v>16</v>
      </c>
      <c r="C31" s="19" t="s">
        <v>34</v>
      </c>
      <c r="D31" s="20" t="s">
        <v>266</v>
      </c>
      <c r="E31" s="20" t="s">
        <v>79</v>
      </c>
      <c r="F31" s="21" t="s">
        <v>80</v>
      </c>
      <c r="G31" s="38" t="s">
        <v>182</v>
      </c>
      <c r="H31" s="39" t="s">
        <v>267</v>
      </c>
      <c r="I31" s="39" t="s">
        <v>83</v>
      </c>
      <c r="J31" s="21" t="s">
        <v>268</v>
      </c>
      <c r="K31" s="21" t="s">
        <v>269</v>
      </c>
      <c r="L31" s="21" t="s">
        <v>270</v>
      </c>
      <c r="M31" s="21" t="s">
        <v>269</v>
      </c>
      <c r="N31" s="21" t="s">
        <v>271</v>
      </c>
      <c r="O31" s="20" t="s">
        <v>272</v>
      </c>
      <c r="P31" s="45">
        <v>45666</v>
      </c>
      <c r="Q31" s="39" t="s">
        <v>273</v>
      </c>
      <c r="R31" s="19">
        <v>14760.83</v>
      </c>
      <c r="S31" s="21">
        <v>0.2</v>
      </c>
      <c r="T31" s="21">
        <v>17712.995999999999</v>
      </c>
      <c r="U31" s="44" t="s">
        <v>274</v>
      </c>
      <c r="V31" s="22">
        <v>45667</v>
      </c>
      <c r="W31" s="54" t="s">
        <v>91</v>
      </c>
      <c r="X31" s="23"/>
      <c r="Y31" s="23" t="s">
        <v>92</v>
      </c>
      <c r="Z31" s="56" t="s">
        <v>275</v>
      </c>
      <c r="AA31" s="24">
        <v>78</v>
      </c>
      <c r="AB31" s="48">
        <v>45778</v>
      </c>
      <c r="AC31" s="46" t="s">
        <v>94</v>
      </c>
      <c r="AD31" s="15" t="str">
        <f ca="1">IF(AND($D31&lt;&gt;"",COUNTIF(OFFSET(UFS!$E$2,MATCH($D31&amp;"",UFS!$A$2:$A$175,0)-1,0,COUNTIF(UFS!$A$2:$A$175,$D31&amp;""),1),M31)&gt;0),"Valide","Invalide")</f>
        <v>Valide</v>
      </c>
      <c r="AH31" s="15" t="str">
        <f t="shared" si="0"/>
        <v>En attente</v>
      </c>
    </row>
    <row r="32" spans="1:34" s="15" customFormat="1" ht="45" hidden="1" customHeight="1" x14ac:dyDescent="0.3">
      <c r="A32" s="42">
        <v>31</v>
      </c>
      <c r="B32" s="19" t="s">
        <v>16</v>
      </c>
      <c r="C32" s="19" t="s">
        <v>34</v>
      </c>
      <c r="D32" s="20" t="s">
        <v>276</v>
      </c>
      <c r="E32" s="20" t="s">
        <v>79</v>
      </c>
      <c r="F32" s="21" t="s">
        <v>80</v>
      </c>
      <c r="G32" s="38" t="s">
        <v>182</v>
      </c>
      <c r="H32" s="39" t="s">
        <v>267</v>
      </c>
      <c r="I32" s="39" t="s">
        <v>83</v>
      </c>
      <c r="J32" s="21" t="s">
        <v>144</v>
      </c>
      <c r="K32" s="21" t="s">
        <v>277</v>
      </c>
      <c r="L32" s="21" t="s">
        <v>278</v>
      </c>
      <c r="M32" s="21" t="s">
        <v>279</v>
      </c>
      <c r="N32" s="21" t="s">
        <v>151</v>
      </c>
      <c r="O32" s="20" t="s">
        <v>280</v>
      </c>
      <c r="P32" s="45">
        <v>45666</v>
      </c>
      <c r="Q32" s="39" t="s">
        <v>281</v>
      </c>
      <c r="R32" s="19">
        <v>5552.03</v>
      </c>
      <c r="S32" s="21">
        <v>0.2</v>
      </c>
      <c r="T32" s="21">
        <v>6107.2330000000002</v>
      </c>
      <c r="U32" s="44" t="s">
        <v>282</v>
      </c>
      <c r="V32" s="22">
        <v>45693</v>
      </c>
      <c r="W32" s="54" t="s">
        <v>91</v>
      </c>
      <c r="X32" s="23"/>
      <c r="Y32" s="23" t="s">
        <v>92</v>
      </c>
      <c r="Z32" s="56"/>
      <c r="AA32" s="24">
        <v>122</v>
      </c>
      <c r="AB32" s="48">
        <v>45748</v>
      </c>
      <c r="AC32" s="46" t="s">
        <v>94</v>
      </c>
      <c r="AD32" s="15" t="str">
        <f ca="1">IF(AND($D32&lt;&gt;"",COUNTIF(OFFSET(UFS!$E$2,MATCH($D32&amp;"",UFS!$A$2:$A$175,0)-1,0,COUNTIF(UFS!$A$2:$A$175,$D32&amp;""),1),M32)&gt;0),"Valide","Invalide")</f>
        <v>Valide</v>
      </c>
      <c r="AH32" s="15" t="str">
        <f t="shared" si="0"/>
        <v>En attente</v>
      </c>
    </row>
    <row r="33" spans="1:34" s="15" customFormat="1" ht="45" hidden="1" customHeight="1" x14ac:dyDescent="0.3">
      <c r="A33" s="42">
        <v>32</v>
      </c>
      <c r="B33" s="19" t="s">
        <v>24</v>
      </c>
      <c r="C33" s="19" t="s">
        <v>28</v>
      </c>
      <c r="D33" s="20" t="s">
        <v>283</v>
      </c>
      <c r="E33" s="20" t="s">
        <v>79</v>
      </c>
      <c r="F33" s="21" t="s">
        <v>80</v>
      </c>
      <c r="G33" s="38" t="s">
        <v>81</v>
      </c>
      <c r="H33" s="39" t="s">
        <v>82</v>
      </c>
      <c r="I33" s="39" t="s">
        <v>83</v>
      </c>
      <c r="J33" s="21" t="s">
        <v>124</v>
      </c>
      <c r="K33" s="21" t="s">
        <v>235</v>
      </c>
      <c r="L33" s="21" t="s">
        <v>177</v>
      </c>
      <c r="M33" s="21" t="s">
        <v>284</v>
      </c>
      <c r="N33" s="21" t="s">
        <v>151</v>
      </c>
      <c r="O33" s="20" t="s">
        <v>285</v>
      </c>
      <c r="P33" s="45">
        <v>45665</v>
      </c>
      <c r="Q33" s="39" t="s">
        <v>286</v>
      </c>
      <c r="R33" s="19">
        <v>1595.19</v>
      </c>
      <c r="S33" s="21">
        <v>0.2</v>
      </c>
      <c r="T33" s="21">
        <v>1914.2280000000001</v>
      </c>
      <c r="U33" s="44" t="s">
        <v>287</v>
      </c>
      <c r="V33" s="22">
        <v>45666</v>
      </c>
      <c r="W33" s="54" t="s">
        <v>91</v>
      </c>
      <c r="X33" s="23"/>
      <c r="Y33" s="23" t="s">
        <v>92</v>
      </c>
      <c r="Z33" s="56"/>
      <c r="AA33" s="24">
        <v>27</v>
      </c>
      <c r="AB33" s="19"/>
      <c r="AC33" s="46" t="s">
        <v>94</v>
      </c>
      <c r="AD33" s="15" t="str">
        <f ca="1">IF(AND($D33&lt;&gt;"",COUNTIF(OFFSET(UFS!$E$2,MATCH($D33&amp;"",UFS!$A$2:$A$175,0)-1,0,COUNTIF(UFS!$A$2:$A$175,$D33&amp;""),1),M33)&gt;0),"Valide","Invalide")</f>
        <v>Valide</v>
      </c>
      <c r="AH33" s="15" t="str">
        <f t="shared" si="0"/>
        <v>En attente</v>
      </c>
    </row>
    <row r="34" spans="1:34" s="15" customFormat="1" ht="45" hidden="1" customHeight="1" x14ac:dyDescent="0.3">
      <c r="A34" s="42">
        <v>33</v>
      </c>
      <c r="B34" s="19" t="s">
        <v>24</v>
      </c>
      <c r="C34" s="19" t="s">
        <v>5</v>
      </c>
      <c r="D34" s="20" t="s">
        <v>174</v>
      </c>
      <c r="E34" s="20" t="s">
        <v>96</v>
      </c>
      <c r="F34" s="21" t="s">
        <v>80</v>
      </c>
      <c r="G34" s="38" t="s">
        <v>288</v>
      </c>
      <c r="H34" s="39"/>
      <c r="I34" s="39" t="s">
        <v>176</v>
      </c>
      <c r="J34" s="21" t="s">
        <v>124</v>
      </c>
      <c r="K34" s="21" t="s">
        <v>125</v>
      </c>
      <c r="L34" s="21" t="s">
        <v>177</v>
      </c>
      <c r="M34" s="21" t="s">
        <v>136</v>
      </c>
      <c r="N34" s="21" t="s">
        <v>102</v>
      </c>
      <c r="O34" s="20" t="s">
        <v>289</v>
      </c>
      <c r="P34" s="45">
        <v>45630</v>
      </c>
      <c r="Q34" s="39" t="s">
        <v>290</v>
      </c>
      <c r="R34" s="19">
        <v>5919.62</v>
      </c>
      <c r="S34" s="21">
        <v>0.1</v>
      </c>
      <c r="T34" s="21">
        <v>6511.5820000000003</v>
      </c>
      <c r="U34" s="44" t="s">
        <v>180</v>
      </c>
      <c r="V34" s="22">
        <v>45666</v>
      </c>
      <c r="W34" s="54" t="s">
        <v>91</v>
      </c>
      <c r="X34" s="23"/>
      <c r="Y34" s="23" t="s">
        <v>92</v>
      </c>
      <c r="Z34" s="56"/>
      <c r="AA34" s="24">
        <v>28</v>
      </c>
      <c r="AB34" s="19"/>
      <c r="AC34" s="46" t="s">
        <v>94</v>
      </c>
      <c r="AD34" s="15" t="str">
        <f ca="1">IF(AND($D34&lt;&gt;"",COUNTIF(OFFSET(UFS!$E$2,MATCH($D34&amp;"",UFS!$A$2:$A$175,0)-1,0,COUNTIF(UFS!$A$2:$A$175,$D34&amp;""),1),M34)&gt;0),"Valide","Invalide")</f>
        <v>Valide</v>
      </c>
      <c r="AH34" s="15" t="str">
        <f t="shared" si="0"/>
        <v>En attente</v>
      </c>
    </row>
    <row r="35" spans="1:34" s="15" customFormat="1" ht="45" hidden="1" customHeight="1" x14ac:dyDescent="0.3">
      <c r="A35" s="42">
        <v>34</v>
      </c>
      <c r="B35" s="19" t="s">
        <v>24</v>
      </c>
      <c r="C35" s="19" t="s">
        <v>15</v>
      </c>
      <c r="D35" s="20" t="s">
        <v>174</v>
      </c>
      <c r="E35" s="20" t="s">
        <v>96</v>
      </c>
      <c r="F35" s="21" t="s">
        <v>80</v>
      </c>
      <c r="G35" s="38" t="s">
        <v>288</v>
      </c>
      <c r="H35" s="39"/>
      <c r="I35" s="39" t="s">
        <v>176</v>
      </c>
      <c r="J35" s="21" t="s">
        <v>124</v>
      </c>
      <c r="K35" s="21" t="s">
        <v>125</v>
      </c>
      <c r="L35" s="21" t="s">
        <v>177</v>
      </c>
      <c r="M35" s="21" t="s">
        <v>136</v>
      </c>
      <c r="N35" s="21" t="s">
        <v>102</v>
      </c>
      <c r="O35" s="20" t="s">
        <v>291</v>
      </c>
      <c r="P35" s="45">
        <v>45629</v>
      </c>
      <c r="Q35" s="39" t="s">
        <v>292</v>
      </c>
      <c r="R35" s="19">
        <v>2318.71</v>
      </c>
      <c r="S35" s="21">
        <v>0.1</v>
      </c>
      <c r="T35" s="21">
        <v>2550.5810000000001</v>
      </c>
      <c r="U35" s="44" t="s">
        <v>180</v>
      </c>
      <c r="V35" s="22">
        <v>45666</v>
      </c>
      <c r="W35" s="54" t="s">
        <v>91</v>
      </c>
      <c r="X35" s="23"/>
      <c r="Y35" s="23" t="s">
        <v>92</v>
      </c>
      <c r="Z35" s="56"/>
      <c r="AA35" s="24">
        <v>30</v>
      </c>
      <c r="AB35" s="19"/>
      <c r="AC35" s="46" t="s">
        <v>94</v>
      </c>
      <c r="AD35" s="15" t="str">
        <f ca="1">IF(AND($D35&lt;&gt;"",COUNTIF(OFFSET(UFS!$E$2,MATCH($D35&amp;"",UFS!$A$2:$A$175,0)-1,0,COUNTIF(UFS!$A$2:$A$175,$D35&amp;""),1),M35)&gt;0),"Valide","Invalide")</f>
        <v>Valide</v>
      </c>
      <c r="AH35" s="15" t="str">
        <f t="shared" si="0"/>
        <v>En attente</v>
      </c>
    </row>
    <row r="36" spans="1:34" s="15" customFormat="1" ht="45" hidden="1" customHeight="1" x14ac:dyDescent="0.3">
      <c r="A36" s="42">
        <v>35</v>
      </c>
      <c r="B36" s="19" t="s">
        <v>24</v>
      </c>
      <c r="C36" s="19" t="s">
        <v>11</v>
      </c>
      <c r="D36" s="20" t="s">
        <v>174</v>
      </c>
      <c r="E36" s="20" t="s">
        <v>96</v>
      </c>
      <c r="F36" s="21" t="s">
        <v>80</v>
      </c>
      <c r="G36" s="38" t="s">
        <v>169</v>
      </c>
      <c r="H36" s="39"/>
      <c r="I36" s="39" t="s">
        <v>176</v>
      </c>
      <c r="J36" s="21" t="s">
        <v>124</v>
      </c>
      <c r="K36" s="21" t="s">
        <v>125</v>
      </c>
      <c r="L36" s="21" t="s">
        <v>177</v>
      </c>
      <c r="M36" s="21" t="s">
        <v>136</v>
      </c>
      <c r="N36" s="21" t="s">
        <v>102</v>
      </c>
      <c r="O36" s="20" t="s">
        <v>293</v>
      </c>
      <c r="P36" s="45">
        <v>45632</v>
      </c>
      <c r="Q36" s="39" t="s">
        <v>198</v>
      </c>
      <c r="R36" s="19">
        <v>42467.4</v>
      </c>
      <c r="S36" s="21">
        <v>0.1</v>
      </c>
      <c r="T36" s="21">
        <v>46714.14</v>
      </c>
      <c r="U36" s="44" t="s">
        <v>180</v>
      </c>
      <c r="V36" s="22">
        <v>45666</v>
      </c>
      <c r="W36" s="54" t="s">
        <v>91</v>
      </c>
      <c r="X36" s="23"/>
      <c r="Y36" s="23" t="s">
        <v>92</v>
      </c>
      <c r="Z36" s="56"/>
      <c r="AA36" s="24">
        <v>31</v>
      </c>
      <c r="AB36" s="19"/>
      <c r="AC36" s="46" t="s">
        <v>94</v>
      </c>
      <c r="AD36" s="15" t="str">
        <f ca="1">IF(AND($D36&lt;&gt;"",COUNTIF(OFFSET(UFS!$E$2,MATCH($D36&amp;"",UFS!$A$2:$A$175,0)-1,0,COUNTIF(UFS!$A$2:$A$175,$D36&amp;""),1),M36)&gt;0),"Valide","Invalide")</f>
        <v>Valide</v>
      </c>
      <c r="AH36" s="15" t="str">
        <f t="shared" si="0"/>
        <v>En attente</v>
      </c>
    </row>
    <row r="37" spans="1:34" s="15" customFormat="1" ht="45" hidden="1" customHeight="1" x14ac:dyDescent="0.3">
      <c r="A37" s="42">
        <v>36</v>
      </c>
      <c r="B37" s="19" t="s">
        <v>24</v>
      </c>
      <c r="C37" s="19" t="s">
        <v>28</v>
      </c>
      <c r="D37" s="20" t="s">
        <v>174</v>
      </c>
      <c r="E37" s="20" t="s">
        <v>96</v>
      </c>
      <c r="F37" s="21" t="s">
        <v>80</v>
      </c>
      <c r="G37" s="38" t="s">
        <v>294</v>
      </c>
      <c r="H37" s="39"/>
      <c r="I37" s="39" t="s">
        <v>176</v>
      </c>
      <c r="J37" s="21" t="s">
        <v>124</v>
      </c>
      <c r="K37" s="21" t="s">
        <v>125</v>
      </c>
      <c r="L37" s="21" t="s">
        <v>177</v>
      </c>
      <c r="M37" s="21" t="s">
        <v>136</v>
      </c>
      <c r="N37" s="21" t="s">
        <v>102</v>
      </c>
      <c r="O37" s="20" t="s">
        <v>295</v>
      </c>
      <c r="P37" s="45">
        <v>45635</v>
      </c>
      <c r="Q37" s="39" t="s">
        <v>296</v>
      </c>
      <c r="R37" s="19">
        <v>67304.820000000007</v>
      </c>
      <c r="S37" s="21">
        <v>0.1</v>
      </c>
      <c r="T37" s="21">
        <v>74035.302000000011</v>
      </c>
      <c r="U37" s="44" t="s">
        <v>180</v>
      </c>
      <c r="V37" s="22">
        <v>45666</v>
      </c>
      <c r="W37" s="54" t="s">
        <v>91</v>
      </c>
      <c r="X37" s="23"/>
      <c r="Y37" s="23" t="s">
        <v>92</v>
      </c>
      <c r="Z37" s="56"/>
      <c r="AA37" s="24">
        <v>32</v>
      </c>
      <c r="AB37" s="19"/>
      <c r="AC37" s="46" t="s">
        <v>94</v>
      </c>
      <c r="AD37" s="15" t="str">
        <f ca="1">IF(AND($D37&lt;&gt;"",COUNTIF(OFFSET(UFS!$E$2,MATCH($D37&amp;"",UFS!$A$2:$A$175,0)-1,0,COUNTIF(UFS!$A$2:$A$175,$D37&amp;""),1),M37)&gt;0),"Valide","Invalide")</f>
        <v>Valide</v>
      </c>
      <c r="AH37" s="15" t="str">
        <f t="shared" si="0"/>
        <v>En attente</v>
      </c>
    </row>
    <row r="38" spans="1:34" s="15" customFormat="1" ht="45" hidden="1" customHeight="1" x14ac:dyDescent="0.3">
      <c r="A38" s="42">
        <v>37</v>
      </c>
      <c r="B38" s="19" t="s">
        <v>24</v>
      </c>
      <c r="C38" s="19" t="s">
        <v>30</v>
      </c>
      <c r="D38" s="20" t="s">
        <v>174</v>
      </c>
      <c r="E38" s="20" t="s">
        <v>96</v>
      </c>
      <c r="F38" s="21" t="s">
        <v>80</v>
      </c>
      <c r="G38" s="38" t="s">
        <v>169</v>
      </c>
      <c r="H38" s="39"/>
      <c r="I38" s="39" t="s">
        <v>176</v>
      </c>
      <c r="J38" s="21" t="s">
        <v>124</v>
      </c>
      <c r="K38" s="21" t="s">
        <v>125</v>
      </c>
      <c r="L38" s="21" t="s">
        <v>177</v>
      </c>
      <c r="M38" s="21" t="s">
        <v>136</v>
      </c>
      <c r="N38" s="21" t="s">
        <v>102</v>
      </c>
      <c r="O38" s="20" t="s">
        <v>297</v>
      </c>
      <c r="P38" s="45">
        <v>45642</v>
      </c>
      <c r="Q38" s="39" t="s">
        <v>298</v>
      </c>
      <c r="R38" s="19">
        <v>32509.279999999999</v>
      </c>
      <c r="S38" s="21">
        <v>0.1</v>
      </c>
      <c r="T38" s="21">
        <v>35760.207999999999</v>
      </c>
      <c r="U38" s="44" t="s">
        <v>180</v>
      </c>
      <c r="V38" s="22">
        <v>45666</v>
      </c>
      <c r="W38" s="54" t="s">
        <v>91</v>
      </c>
      <c r="X38" s="23"/>
      <c r="Y38" s="23" t="s">
        <v>92</v>
      </c>
      <c r="Z38" s="56"/>
      <c r="AA38" s="24">
        <v>33</v>
      </c>
      <c r="AB38" s="19"/>
      <c r="AC38" s="46" t="s">
        <v>94</v>
      </c>
      <c r="AD38" s="15" t="str">
        <f ca="1">IF(AND($D38&lt;&gt;"",COUNTIF(OFFSET(UFS!$E$2,MATCH($D38&amp;"",UFS!$A$2:$A$175,0)-1,0,COUNTIF(UFS!$A$2:$A$175,$D38&amp;""),1),M38)&gt;0),"Valide","Invalide")</f>
        <v>Valide</v>
      </c>
      <c r="AH38" s="15" t="str">
        <f t="shared" si="0"/>
        <v>En attente</v>
      </c>
    </row>
    <row r="39" spans="1:34" s="15" customFormat="1" ht="45" hidden="1" customHeight="1" x14ac:dyDescent="0.3">
      <c r="A39" s="42">
        <v>38</v>
      </c>
      <c r="B39" s="19" t="s">
        <v>24</v>
      </c>
      <c r="C39" s="19" t="s">
        <v>11</v>
      </c>
      <c r="D39" s="20" t="s">
        <v>123</v>
      </c>
      <c r="E39" s="20" t="s">
        <v>96</v>
      </c>
      <c r="F39" s="21" t="s">
        <v>80</v>
      </c>
      <c r="G39" s="38" t="s">
        <v>169</v>
      </c>
      <c r="H39" s="39"/>
      <c r="I39" s="39" t="s">
        <v>299</v>
      </c>
      <c r="J39" s="21" t="s">
        <v>124</v>
      </c>
      <c r="K39" s="21" t="s">
        <v>125</v>
      </c>
      <c r="L39" s="21" t="s">
        <v>126</v>
      </c>
      <c r="M39" s="21" t="s">
        <v>109</v>
      </c>
      <c r="N39" s="21" t="s">
        <v>109</v>
      </c>
      <c r="O39" s="20" t="s">
        <v>300</v>
      </c>
      <c r="P39" s="45">
        <v>45618</v>
      </c>
      <c r="Q39" s="39" t="s">
        <v>301</v>
      </c>
      <c r="R39" s="19">
        <v>34914.800000000003</v>
      </c>
      <c r="S39" s="21">
        <v>0.1</v>
      </c>
      <c r="T39" s="21">
        <v>38406.280000000006</v>
      </c>
      <c r="U39" s="44" t="s">
        <v>302</v>
      </c>
      <c r="V39" s="22">
        <v>45666</v>
      </c>
      <c r="W39" s="54" t="s">
        <v>91</v>
      </c>
      <c r="X39" s="23"/>
      <c r="Y39" s="23" t="s">
        <v>92</v>
      </c>
      <c r="Z39" s="56"/>
      <c r="AA39" s="24">
        <v>34</v>
      </c>
      <c r="AB39" s="47">
        <v>45703</v>
      </c>
      <c r="AC39" s="46" t="s">
        <v>94</v>
      </c>
      <c r="AD39" s="15" t="str">
        <f ca="1">IF(AND($D39&lt;&gt;"",COUNTIF(OFFSET(UFS!$E$2,MATCH($D39&amp;"",UFS!$A$2:$A$175,0)-1,0,COUNTIF(UFS!$A$2:$A$175,$D39&amp;""),1),M39)&gt;0),"Valide","Invalide")</f>
        <v>Valide</v>
      </c>
      <c r="AH39" s="15" t="str">
        <f t="shared" si="0"/>
        <v>En attente</v>
      </c>
    </row>
    <row r="40" spans="1:34" s="15" customFormat="1" ht="45" hidden="1" customHeight="1" x14ac:dyDescent="0.3">
      <c r="A40" s="42">
        <v>39</v>
      </c>
      <c r="B40" s="19" t="s">
        <v>4</v>
      </c>
      <c r="C40" s="19" t="s">
        <v>36</v>
      </c>
      <c r="D40" s="20" t="s">
        <v>123</v>
      </c>
      <c r="E40" s="20" t="s">
        <v>79</v>
      </c>
      <c r="F40" s="21" t="s">
        <v>80</v>
      </c>
      <c r="G40" s="38" t="s">
        <v>241</v>
      </c>
      <c r="H40" s="39" t="s">
        <v>252</v>
      </c>
      <c r="I40" s="39" t="s">
        <v>253</v>
      </c>
      <c r="J40" s="21" t="s">
        <v>124</v>
      </c>
      <c r="K40" s="21" t="s">
        <v>125</v>
      </c>
      <c r="L40" s="21" t="s">
        <v>126</v>
      </c>
      <c r="M40" s="21" t="s">
        <v>109</v>
      </c>
      <c r="N40" s="21" t="s">
        <v>109</v>
      </c>
      <c r="O40" s="20" t="s">
        <v>303</v>
      </c>
      <c r="P40" s="45">
        <v>45642</v>
      </c>
      <c r="Q40" s="39" t="s">
        <v>304</v>
      </c>
      <c r="R40" s="52">
        <v>745</v>
      </c>
      <c r="S40" s="21">
        <v>0.1</v>
      </c>
      <c r="T40" s="21">
        <v>819.5</v>
      </c>
      <c r="U40" s="44" t="s">
        <v>305</v>
      </c>
      <c r="V40" s="22">
        <v>45666</v>
      </c>
      <c r="W40" s="54" t="s">
        <v>91</v>
      </c>
      <c r="X40" s="23"/>
      <c r="Y40" s="23" t="s">
        <v>92</v>
      </c>
      <c r="Z40" s="56"/>
      <c r="AA40" s="24">
        <v>35</v>
      </c>
      <c r="AB40" s="19"/>
      <c r="AC40" s="46" t="s">
        <v>94</v>
      </c>
      <c r="AD40" s="15" t="str">
        <f ca="1">IF(AND($D40&lt;&gt;"",COUNTIF(OFFSET(UFS!$E$2,MATCH($D40&amp;"",UFS!$A$2:$A$175,0)-1,0,COUNTIF(UFS!$A$2:$A$175,$D40&amp;""),1),M40)&gt;0),"Valide","Invalide")</f>
        <v>Valide</v>
      </c>
      <c r="AH40" s="15" t="str">
        <f t="shared" si="0"/>
        <v>En attente</v>
      </c>
    </row>
    <row r="41" spans="1:34" s="15" customFormat="1" ht="45" hidden="1" customHeight="1" x14ac:dyDescent="0.3">
      <c r="A41" s="42">
        <v>40</v>
      </c>
      <c r="B41" s="19" t="s">
        <v>4</v>
      </c>
      <c r="C41" s="19" t="s">
        <v>36</v>
      </c>
      <c r="D41" s="20" t="s">
        <v>123</v>
      </c>
      <c r="E41" s="20" t="s">
        <v>79</v>
      </c>
      <c r="F41" s="21" t="s">
        <v>80</v>
      </c>
      <c r="G41" s="38" t="s">
        <v>241</v>
      </c>
      <c r="H41" s="39" t="s">
        <v>252</v>
      </c>
      <c r="I41" s="39" t="s">
        <v>253</v>
      </c>
      <c r="J41" s="21" t="s">
        <v>124</v>
      </c>
      <c r="K41" s="21" t="s">
        <v>125</v>
      </c>
      <c r="L41" s="21" t="s">
        <v>126</v>
      </c>
      <c r="M41" s="21" t="s">
        <v>109</v>
      </c>
      <c r="N41" s="21" t="s">
        <v>109</v>
      </c>
      <c r="O41" s="20" t="s">
        <v>306</v>
      </c>
      <c r="P41" s="45">
        <v>45642</v>
      </c>
      <c r="Q41" s="39" t="s">
        <v>307</v>
      </c>
      <c r="R41" s="53">
        <v>2230</v>
      </c>
      <c r="S41" s="21">
        <v>0.1</v>
      </c>
      <c r="T41" s="21">
        <v>2453</v>
      </c>
      <c r="U41" s="44" t="s">
        <v>308</v>
      </c>
      <c r="V41" s="22">
        <v>45666</v>
      </c>
      <c r="W41" s="54" t="s">
        <v>91</v>
      </c>
      <c r="X41" s="23"/>
      <c r="Y41" s="23" t="s">
        <v>92</v>
      </c>
      <c r="Z41" s="56"/>
      <c r="AA41" s="24">
        <v>36</v>
      </c>
      <c r="AB41" s="19"/>
      <c r="AC41" s="49" t="s">
        <v>161</v>
      </c>
      <c r="AD41" s="15" t="str">
        <f ca="1">IF(AND($D41&lt;&gt;"",COUNTIF(OFFSET(UFS!$E$2,MATCH($D41&amp;"",UFS!$A$2:$A$175,0)-1,0,COUNTIF(UFS!$A$2:$A$175,$D41&amp;""),1),M41)&gt;0),"Valide","Invalide")</f>
        <v>Valide</v>
      </c>
      <c r="AH41" s="15" t="str">
        <f t="shared" si="0"/>
        <v>En attente</v>
      </c>
    </row>
    <row r="42" spans="1:34" s="15" customFormat="1" ht="45" hidden="1" customHeight="1" x14ac:dyDescent="0.3">
      <c r="A42" s="42">
        <v>41</v>
      </c>
      <c r="B42" s="19" t="s">
        <v>24</v>
      </c>
      <c r="C42" s="19" t="s">
        <v>15</v>
      </c>
      <c r="D42" s="20" t="s">
        <v>174</v>
      </c>
      <c r="E42" s="20" t="s">
        <v>96</v>
      </c>
      <c r="F42" s="21" t="s">
        <v>80</v>
      </c>
      <c r="G42" s="38" t="s">
        <v>288</v>
      </c>
      <c r="H42" s="39"/>
      <c r="I42" s="39" t="s">
        <v>176</v>
      </c>
      <c r="J42" s="21" t="s">
        <v>124</v>
      </c>
      <c r="K42" s="21" t="s">
        <v>125</v>
      </c>
      <c r="L42" s="21" t="s">
        <v>177</v>
      </c>
      <c r="M42" s="21" t="s">
        <v>136</v>
      </c>
      <c r="N42" s="21" t="s">
        <v>102</v>
      </c>
      <c r="O42" s="20" t="s">
        <v>309</v>
      </c>
      <c r="P42" s="45">
        <v>45629</v>
      </c>
      <c r="Q42" s="39" t="s">
        <v>310</v>
      </c>
      <c r="R42" s="19">
        <v>22437.94</v>
      </c>
      <c r="S42" s="21">
        <v>0.1</v>
      </c>
      <c r="T42" s="21">
        <v>24681.734</v>
      </c>
      <c r="U42" s="44" t="s">
        <v>311</v>
      </c>
      <c r="V42" s="22">
        <v>45666</v>
      </c>
      <c r="W42" s="54" t="s">
        <v>91</v>
      </c>
      <c r="X42" s="23"/>
      <c r="Y42" s="23" t="s">
        <v>92</v>
      </c>
      <c r="Z42" s="56"/>
      <c r="AA42" s="24">
        <v>37</v>
      </c>
      <c r="AB42" s="19"/>
      <c r="AC42" s="46" t="s">
        <v>94</v>
      </c>
      <c r="AD42" s="15" t="str">
        <f ca="1">IF(AND($D42&lt;&gt;"",COUNTIF(OFFSET(UFS!$E$2,MATCH($D42&amp;"",UFS!$A$2:$A$175,0)-1,0,COUNTIF(UFS!$A$2:$A$175,$D42&amp;""),1),M42)&gt;0),"Valide","Invalide")</f>
        <v>Valide</v>
      </c>
      <c r="AH42" s="15" t="str">
        <f t="shared" si="0"/>
        <v>En attente</v>
      </c>
    </row>
    <row r="43" spans="1:34" s="15" customFormat="1" ht="45" hidden="1" customHeight="1" x14ac:dyDescent="0.3">
      <c r="A43" s="42">
        <v>42</v>
      </c>
      <c r="B43" s="19" t="s">
        <v>24</v>
      </c>
      <c r="C43" s="19" t="s">
        <v>30</v>
      </c>
      <c r="D43" s="20" t="s">
        <v>174</v>
      </c>
      <c r="E43" s="20" t="s">
        <v>96</v>
      </c>
      <c r="F43" s="21" t="s">
        <v>80</v>
      </c>
      <c r="G43" s="38" t="s">
        <v>294</v>
      </c>
      <c r="H43" s="39"/>
      <c r="I43" s="39" t="s">
        <v>176</v>
      </c>
      <c r="J43" s="21" t="s">
        <v>124</v>
      </c>
      <c r="K43" s="21" t="s">
        <v>125</v>
      </c>
      <c r="L43" s="21" t="s">
        <v>177</v>
      </c>
      <c r="M43" s="21" t="s">
        <v>136</v>
      </c>
      <c r="N43" s="21" t="s">
        <v>102</v>
      </c>
      <c r="O43" s="20" t="s">
        <v>312</v>
      </c>
      <c r="P43" s="45">
        <v>45642</v>
      </c>
      <c r="Q43" s="39" t="s">
        <v>313</v>
      </c>
      <c r="R43" s="19">
        <v>11151.5</v>
      </c>
      <c r="S43" s="21">
        <v>0.1</v>
      </c>
      <c r="T43" s="21">
        <v>12266.65</v>
      </c>
      <c r="U43" s="44" t="s">
        <v>311</v>
      </c>
      <c r="V43" s="22">
        <v>45666</v>
      </c>
      <c r="W43" s="54" t="s">
        <v>91</v>
      </c>
      <c r="X43" s="23"/>
      <c r="Y43" s="23" t="s">
        <v>92</v>
      </c>
      <c r="Z43" s="56"/>
      <c r="AA43" s="24">
        <v>38</v>
      </c>
      <c r="AB43" s="19"/>
      <c r="AC43" s="46" t="s">
        <v>94</v>
      </c>
      <c r="AD43" s="15" t="str">
        <f ca="1">IF(AND($D43&lt;&gt;"",COUNTIF(OFFSET(UFS!$E$2,MATCH($D43&amp;"",UFS!$A$2:$A$175,0)-1,0,COUNTIF(UFS!$A$2:$A$175,$D43&amp;""),1),M43)&gt;0),"Valide","Invalide")</f>
        <v>Valide</v>
      </c>
      <c r="AH43" s="15" t="str">
        <f t="shared" si="0"/>
        <v>En attente</v>
      </c>
    </row>
    <row r="44" spans="1:34" s="15" customFormat="1" ht="45" hidden="1" customHeight="1" x14ac:dyDescent="0.3">
      <c r="A44" s="42">
        <v>43</v>
      </c>
      <c r="B44" s="19" t="s">
        <v>24</v>
      </c>
      <c r="C44" s="19" t="s">
        <v>30</v>
      </c>
      <c r="D44" s="20" t="s">
        <v>174</v>
      </c>
      <c r="E44" s="20" t="s">
        <v>96</v>
      </c>
      <c r="F44" s="21" t="s">
        <v>80</v>
      </c>
      <c r="G44" s="38" t="s">
        <v>169</v>
      </c>
      <c r="H44" s="39"/>
      <c r="I44" s="39" t="s">
        <v>176</v>
      </c>
      <c r="J44" s="21" t="s">
        <v>124</v>
      </c>
      <c r="K44" s="21" t="s">
        <v>125</v>
      </c>
      <c r="L44" s="21" t="s">
        <v>177</v>
      </c>
      <c r="M44" s="21" t="s">
        <v>136</v>
      </c>
      <c r="N44" s="21" t="s">
        <v>102</v>
      </c>
      <c r="O44" s="20" t="s">
        <v>314</v>
      </c>
      <c r="P44" s="45">
        <v>45642</v>
      </c>
      <c r="Q44" s="39" t="s">
        <v>315</v>
      </c>
      <c r="R44" s="19">
        <v>5103.46</v>
      </c>
      <c r="S44" s="21">
        <v>0.1</v>
      </c>
      <c r="T44" s="21">
        <v>5613.8060000000005</v>
      </c>
      <c r="U44" s="44" t="s">
        <v>311</v>
      </c>
      <c r="V44" s="22">
        <v>45666</v>
      </c>
      <c r="W44" s="54" t="s">
        <v>91</v>
      </c>
      <c r="X44" s="23"/>
      <c r="Y44" s="23" t="s">
        <v>92</v>
      </c>
      <c r="Z44" s="56"/>
      <c r="AA44" s="24">
        <v>39</v>
      </c>
      <c r="AB44" s="19"/>
      <c r="AC44" s="46" t="s">
        <v>94</v>
      </c>
      <c r="AD44" s="15" t="str">
        <f ca="1">IF(AND($D44&lt;&gt;"",COUNTIF(OFFSET(UFS!$E$2,MATCH($D44&amp;"",UFS!$A$2:$A$175,0)-1,0,COUNTIF(UFS!$A$2:$A$175,$D44&amp;""),1),M44)&gt;0),"Valide","Invalide")</f>
        <v>Valide</v>
      </c>
      <c r="AH44" s="15" t="str">
        <f t="shared" si="0"/>
        <v>En attente</v>
      </c>
    </row>
    <row r="45" spans="1:34" s="15" customFormat="1" ht="45" hidden="1" customHeight="1" x14ac:dyDescent="0.3">
      <c r="A45" s="42">
        <v>44</v>
      </c>
      <c r="B45" s="19" t="s">
        <v>4</v>
      </c>
      <c r="C45" s="19" t="s">
        <v>32</v>
      </c>
      <c r="D45" s="20" t="s">
        <v>200</v>
      </c>
      <c r="E45" s="20" t="s">
        <v>79</v>
      </c>
      <c r="F45" s="21" t="s">
        <v>80</v>
      </c>
      <c r="G45" s="38" t="s">
        <v>81</v>
      </c>
      <c r="H45" s="39" t="s">
        <v>211</v>
      </c>
      <c r="I45" s="39" t="s">
        <v>83</v>
      </c>
      <c r="J45" s="21" t="s">
        <v>144</v>
      </c>
      <c r="K45" s="21" t="s">
        <v>145</v>
      </c>
      <c r="L45" s="21" t="s">
        <v>203</v>
      </c>
      <c r="M45" s="21" t="s">
        <v>109</v>
      </c>
      <c r="N45" s="21" t="s">
        <v>109</v>
      </c>
      <c r="O45" s="20" t="s">
        <v>316</v>
      </c>
      <c r="P45" s="45">
        <v>45629</v>
      </c>
      <c r="Q45" s="39" t="s">
        <v>317</v>
      </c>
      <c r="R45" s="19">
        <v>584.35</v>
      </c>
      <c r="S45" s="21">
        <v>0.2</v>
      </c>
      <c r="T45" s="21">
        <v>701.22</v>
      </c>
      <c r="U45" s="44" t="s">
        <v>318</v>
      </c>
      <c r="V45" s="22">
        <v>45667</v>
      </c>
      <c r="W45" s="54" t="s">
        <v>91</v>
      </c>
      <c r="X45" s="23"/>
      <c r="Y45" s="23" t="s">
        <v>92</v>
      </c>
      <c r="Z45" s="56" t="s">
        <v>319</v>
      </c>
      <c r="AA45" s="24">
        <v>40</v>
      </c>
      <c r="AB45" s="19"/>
      <c r="AC45" s="49" t="s">
        <v>161</v>
      </c>
      <c r="AD45" s="15" t="e">
        <f ca="1">IF(AND($D45&lt;&gt;"",COUNTIF(OFFSET(UFS!$E$2,MATCH($D45&amp;"",UFS!$A$2:$A$175,0)-1,0,COUNTIF(UFS!$A$2:$A$175,$D45&amp;""),1),M45)&gt;0),"Valide","Invalide")</f>
        <v>#N/A</v>
      </c>
      <c r="AH45" s="15" t="str">
        <f t="shared" si="0"/>
        <v>En attente</v>
      </c>
    </row>
    <row r="46" spans="1:34" s="15" customFormat="1" ht="45" hidden="1" customHeight="1" x14ac:dyDescent="0.3">
      <c r="A46" s="42">
        <v>45</v>
      </c>
      <c r="B46" s="19" t="s">
        <v>18</v>
      </c>
      <c r="C46" s="19" t="s">
        <v>32</v>
      </c>
      <c r="D46" s="20" t="s">
        <v>200</v>
      </c>
      <c r="E46" s="20" t="s">
        <v>96</v>
      </c>
      <c r="F46" s="21" t="s">
        <v>80</v>
      </c>
      <c r="G46" s="38" t="s">
        <v>320</v>
      </c>
      <c r="H46" s="39"/>
      <c r="I46" s="39" t="s">
        <v>39</v>
      </c>
      <c r="J46" s="21" t="s">
        <v>144</v>
      </c>
      <c r="K46" s="21" t="s">
        <v>145</v>
      </c>
      <c r="L46" s="21" t="s">
        <v>203</v>
      </c>
      <c r="M46" s="21" t="s">
        <v>109</v>
      </c>
      <c r="N46" s="21" t="s">
        <v>109</v>
      </c>
      <c r="O46" s="20" t="s">
        <v>321</v>
      </c>
      <c r="P46" s="45">
        <v>45644</v>
      </c>
      <c r="Q46" s="39" t="s">
        <v>322</v>
      </c>
      <c r="R46" s="19">
        <v>6034.46</v>
      </c>
      <c r="S46" s="21">
        <v>0.2</v>
      </c>
      <c r="T46" s="21">
        <v>7241.3519999999999</v>
      </c>
      <c r="U46" s="44" t="s">
        <v>323</v>
      </c>
      <c r="V46" s="22">
        <v>45667</v>
      </c>
      <c r="W46" s="54" t="s">
        <v>91</v>
      </c>
      <c r="X46" s="23"/>
      <c r="Y46" s="23" t="s">
        <v>92</v>
      </c>
      <c r="Z46" s="56" t="s">
        <v>324</v>
      </c>
      <c r="AA46" s="24">
        <v>41</v>
      </c>
      <c r="AB46" s="48">
        <v>45658</v>
      </c>
      <c r="AC46" s="46" t="s">
        <v>94</v>
      </c>
      <c r="AD46" s="15" t="e">
        <f ca="1">IF(AND($D46&lt;&gt;"",COUNTIF(OFFSET(UFS!$E$2,MATCH($D46&amp;"",UFS!$A$2:$A$175,0)-1,0,COUNTIF(UFS!$A$2:$A$175,$D46&amp;""),1),M46)&gt;0),"Valide","Invalide")</f>
        <v>#N/A</v>
      </c>
      <c r="AH46" s="15" t="str">
        <f t="shared" si="0"/>
        <v>En attente</v>
      </c>
    </row>
    <row r="47" spans="1:34" s="15" customFormat="1" ht="45" hidden="1" customHeight="1" x14ac:dyDescent="0.3">
      <c r="A47" s="42">
        <v>46</v>
      </c>
      <c r="B47" s="19" t="s">
        <v>26</v>
      </c>
      <c r="C47" s="19" t="s">
        <v>32</v>
      </c>
      <c r="D47" s="20" t="s">
        <v>325</v>
      </c>
      <c r="E47" s="20" t="s">
        <v>96</v>
      </c>
      <c r="F47" s="21" t="s">
        <v>80</v>
      </c>
      <c r="G47" s="38" t="s">
        <v>320</v>
      </c>
      <c r="H47" s="39"/>
      <c r="I47" s="39" t="s">
        <v>326</v>
      </c>
      <c r="J47" s="21" t="s">
        <v>98</v>
      </c>
      <c r="K47" s="21" t="s">
        <v>327</v>
      </c>
      <c r="L47" s="21" t="s">
        <v>328</v>
      </c>
      <c r="M47" s="21" t="s">
        <v>329</v>
      </c>
      <c r="N47" s="21" t="s">
        <v>330</v>
      </c>
      <c r="O47" s="20" t="s">
        <v>331</v>
      </c>
      <c r="P47" s="45">
        <v>45357</v>
      </c>
      <c r="Q47" s="39" t="s">
        <v>332</v>
      </c>
      <c r="R47" s="19">
        <v>79307.839999999997</v>
      </c>
      <c r="S47" s="21">
        <v>0.2</v>
      </c>
      <c r="T47" s="21">
        <v>95169.407999999996</v>
      </c>
      <c r="U47" s="44" t="s">
        <v>333</v>
      </c>
      <c r="V47" s="22">
        <v>45667</v>
      </c>
      <c r="W47" s="54" t="s">
        <v>91</v>
      </c>
      <c r="X47" s="23"/>
      <c r="Y47" s="23" t="s">
        <v>92</v>
      </c>
      <c r="Z47" s="56"/>
      <c r="AA47" s="24">
        <v>42</v>
      </c>
      <c r="AB47" s="19"/>
      <c r="AC47" s="46" t="s">
        <v>94</v>
      </c>
      <c r="AD47" s="15" t="str">
        <f ca="1">IF(AND($D47&lt;&gt;"",COUNTIF(OFFSET(UFS!$E$2,MATCH($D47&amp;"",UFS!$A$2:$A$175,0)-1,0,COUNTIF(UFS!$A$2:$A$175,$D47&amp;""),1),M47)&gt;0),"Valide","Invalide")</f>
        <v>Invalide</v>
      </c>
      <c r="AH47" s="15" t="str">
        <f t="shared" si="0"/>
        <v>En attente</v>
      </c>
    </row>
    <row r="48" spans="1:34" s="15" customFormat="1" ht="45" hidden="1" customHeight="1" x14ac:dyDescent="0.3">
      <c r="A48" s="42">
        <v>47</v>
      </c>
      <c r="B48" s="19" t="s">
        <v>16</v>
      </c>
      <c r="C48" s="19" t="s">
        <v>34</v>
      </c>
      <c r="D48" s="20" t="s">
        <v>334</v>
      </c>
      <c r="E48" s="20" t="s">
        <v>79</v>
      </c>
      <c r="F48" s="21" t="s">
        <v>80</v>
      </c>
      <c r="G48" s="38" t="s">
        <v>81</v>
      </c>
      <c r="H48" s="39" t="s">
        <v>267</v>
      </c>
      <c r="I48" s="39" t="s">
        <v>83</v>
      </c>
      <c r="J48" s="21" t="s">
        <v>144</v>
      </c>
      <c r="K48" s="21" t="s">
        <v>145</v>
      </c>
      <c r="L48" s="21" t="s">
        <v>278</v>
      </c>
      <c r="M48" s="21" t="s">
        <v>335</v>
      </c>
      <c r="N48" s="21" t="s">
        <v>102</v>
      </c>
      <c r="O48" s="20" t="s">
        <v>336</v>
      </c>
      <c r="P48" s="45">
        <v>45666</v>
      </c>
      <c r="Q48" s="39" t="s">
        <v>337</v>
      </c>
      <c r="R48" s="19">
        <v>11330.96</v>
      </c>
      <c r="S48" s="21">
        <v>0.1</v>
      </c>
      <c r="T48" s="21">
        <v>12464.055999999999</v>
      </c>
      <c r="U48" s="44" t="s">
        <v>338</v>
      </c>
      <c r="V48" s="22">
        <v>45667</v>
      </c>
      <c r="W48" s="54" t="s">
        <v>91</v>
      </c>
      <c r="X48" s="23"/>
      <c r="Y48" s="23" t="s">
        <v>92</v>
      </c>
      <c r="Z48" s="58" t="s">
        <v>339</v>
      </c>
      <c r="AA48" s="24">
        <v>43</v>
      </c>
      <c r="AB48" s="48">
        <v>45778</v>
      </c>
      <c r="AC48" s="46" t="s">
        <v>94</v>
      </c>
      <c r="AD48" s="15" t="str">
        <f ca="1">IF(AND($D48&lt;&gt;"",COUNTIF(OFFSET(UFS!$E$2,MATCH($D48&amp;"",UFS!$A$2:$A$175,0)-1,0,COUNTIF(UFS!$A$2:$A$175,$D48&amp;""),1),M48)&gt;0),"Valide","Invalide")</f>
        <v>Valide</v>
      </c>
      <c r="AH48" s="15" t="str">
        <f t="shared" si="0"/>
        <v>En attente</v>
      </c>
    </row>
    <row r="49" spans="1:34" s="15" customFormat="1" ht="45" hidden="1" customHeight="1" x14ac:dyDescent="0.3">
      <c r="A49" s="42">
        <v>48</v>
      </c>
      <c r="B49" s="19" t="s">
        <v>16</v>
      </c>
      <c r="C49" s="19" t="s">
        <v>34</v>
      </c>
      <c r="D49" s="20" t="s">
        <v>340</v>
      </c>
      <c r="E49" s="20" t="s">
        <v>79</v>
      </c>
      <c r="F49" s="21" t="s">
        <v>80</v>
      </c>
      <c r="G49" s="38" t="s">
        <v>182</v>
      </c>
      <c r="H49" s="39" t="s">
        <v>267</v>
      </c>
      <c r="I49" s="39" t="s">
        <v>83</v>
      </c>
      <c r="J49" s="21" t="s">
        <v>341</v>
      </c>
      <c r="K49" s="21" t="s">
        <v>145</v>
      </c>
      <c r="L49" s="21" t="s">
        <v>342</v>
      </c>
      <c r="M49" s="21" t="s">
        <v>343</v>
      </c>
      <c r="N49" s="21" t="s">
        <v>151</v>
      </c>
      <c r="O49" s="20" t="s">
        <v>344</v>
      </c>
      <c r="P49" s="45">
        <v>45666</v>
      </c>
      <c r="Q49" s="39" t="s">
        <v>345</v>
      </c>
      <c r="R49" s="19">
        <v>14807</v>
      </c>
      <c r="S49" s="21">
        <v>0.2</v>
      </c>
      <c r="T49" s="21">
        <v>17768.400000000001</v>
      </c>
      <c r="U49" s="44" t="s">
        <v>346</v>
      </c>
      <c r="V49" s="22">
        <v>45668</v>
      </c>
      <c r="W49" s="54" t="s">
        <v>91</v>
      </c>
      <c r="X49" s="23"/>
      <c r="Y49" s="23" t="s">
        <v>347</v>
      </c>
      <c r="Z49" s="58" t="s">
        <v>348</v>
      </c>
      <c r="AA49" s="24"/>
      <c r="AB49" s="19"/>
      <c r="AC49" s="49" t="s">
        <v>161</v>
      </c>
      <c r="AD49" s="15" t="str">
        <f ca="1">IF(AND($D49&lt;&gt;"",COUNTIF(OFFSET(UFS!$E$2,MATCH($D49&amp;"",UFS!$A$2:$A$175,0)-1,0,COUNTIF(UFS!$A$2:$A$175,$D49&amp;""),1),M49)&gt;0),"Valide","Invalide")</f>
        <v>Valide</v>
      </c>
      <c r="AH49" s="15" t="str">
        <f t="shared" si="0"/>
        <v>En attente</v>
      </c>
    </row>
    <row r="50" spans="1:34" s="15" customFormat="1" ht="45" hidden="1" customHeight="1" x14ac:dyDescent="0.3">
      <c r="A50" s="42">
        <v>49</v>
      </c>
      <c r="B50" s="19" t="s">
        <v>16</v>
      </c>
      <c r="C50" s="19" t="s">
        <v>34</v>
      </c>
      <c r="D50" s="20" t="s">
        <v>349</v>
      </c>
      <c r="E50" s="20" t="s">
        <v>79</v>
      </c>
      <c r="F50" s="21" t="s">
        <v>80</v>
      </c>
      <c r="G50" s="38" t="s">
        <v>182</v>
      </c>
      <c r="H50" s="39" t="s">
        <v>267</v>
      </c>
      <c r="I50" s="39" t="s">
        <v>83</v>
      </c>
      <c r="J50" s="21" t="s">
        <v>144</v>
      </c>
      <c r="K50" s="21" t="s">
        <v>350</v>
      </c>
      <c r="L50" s="21" t="s">
        <v>278</v>
      </c>
      <c r="M50" s="21" t="s">
        <v>351</v>
      </c>
      <c r="N50" s="21" t="s">
        <v>271</v>
      </c>
      <c r="O50" s="20" t="s">
        <v>352</v>
      </c>
      <c r="P50" s="45">
        <v>45666</v>
      </c>
      <c r="Q50" s="39" t="s">
        <v>353</v>
      </c>
      <c r="R50" s="19">
        <v>6027.86</v>
      </c>
      <c r="S50" s="21">
        <v>0.2</v>
      </c>
      <c r="T50" s="21">
        <v>7233.4319999999998</v>
      </c>
      <c r="U50" s="44" t="s">
        <v>354</v>
      </c>
      <c r="V50" s="22">
        <v>45668</v>
      </c>
      <c r="W50" s="54" t="s">
        <v>91</v>
      </c>
      <c r="X50" s="23"/>
      <c r="Y50" s="23" t="s">
        <v>92</v>
      </c>
      <c r="Z50" s="56" t="s">
        <v>355</v>
      </c>
      <c r="AA50" s="24">
        <v>79</v>
      </c>
      <c r="AB50" s="19" t="s">
        <v>356</v>
      </c>
      <c r="AC50" s="46" t="s">
        <v>94</v>
      </c>
      <c r="AD50" s="15" t="str">
        <f ca="1">IF(AND($D50&lt;&gt;"",COUNTIF(OFFSET(UFS!$E$2,MATCH($D50&amp;"",UFS!$A$2:$A$175,0)-1,0,COUNTIF(UFS!$A$2:$A$175,$D50&amp;""),1),M50)&gt;0),"Valide","Invalide")</f>
        <v>Valide</v>
      </c>
      <c r="AH50" s="15" t="str">
        <f t="shared" si="0"/>
        <v>En attente</v>
      </c>
    </row>
    <row r="51" spans="1:34" s="15" customFormat="1" ht="45" hidden="1" customHeight="1" x14ac:dyDescent="0.3">
      <c r="A51" s="42">
        <v>50</v>
      </c>
      <c r="B51" s="19" t="s">
        <v>24</v>
      </c>
      <c r="C51" s="19" t="s">
        <v>28</v>
      </c>
      <c r="D51" s="20" t="s">
        <v>174</v>
      </c>
      <c r="E51" s="20" t="s">
        <v>96</v>
      </c>
      <c r="F51" s="21" t="s">
        <v>80</v>
      </c>
      <c r="G51" s="38" t="s">
        <v>294</v>
      </c>
      <c r="H51" s="39"/>
      <c r="I51" s="39" t="s">
        <v>176</v>
      </c>
      <c r="J51" s="21" t="s">
        <v>124</v>
      </c>
      <c r="K51" s="21" t="s">
        <v>125</v>
      </c>
      <c r="L51" s="21" t="s">
        <v>177</v>
      </c>
      <c r="M51" s="21" t="s">
        <v>136</v>
      </c>
      <c r="N51" s="21" t="s">
        <v>102</v>
      </c>
      <c r="O51" s="20" t="s">
        <v>357</v>
      </c>
      <c r="P51" s="45">
        <v>45637</v>
      </c>
      <c r="Q51" s="39" t="s">
        <v>358</v>
      </c>
      <c r="R51" s="19">
        <v>7289.83</v>
      </c>
      <c r="S51" s="21">
        <v>0.1</v>
      </c>
      <c r="T51" s="21">
        <v>8018.8130000000001</v>
      </c>
      <c r="U51" s="44" t="s">
        <v>180</v>
      </c>
      <c r="V51" s="22">
        <v>45667</v>
      </c>
      <c r="W51" s="54" t="s">
        <v>91</v>
      </c>
      <c r="X51" s="23"/>
      <c r="Y51" s="23" t="s">
        <v>92</v>
      </c>
      <c r="Z51" s="58" t="s">
        <v>359</v>
      </c>
      <c r="AA51" s="24">
        <v>44</v>
      </c>
      <c r="AB51" s="47">
        <v>45747</v>
      </c>
      <c r="AC51" s="46" t="s">
        <v>94</v>
      </c>
      <c r="AD51" s="15" t="str">
        <f ca="1">IF(AND($D51&lt;&gt;"",COUNTIF(OFFSET(UFS!$E$2,MATCH($D51&amp;"",UFS!$A$2:$A$175,0)-1,0,COUNTIF(UFS!$A$2:$A$175,$D51&amp;""),1),M51)&gt;0),"Valide","Invalide")</f>
        <v>Valide</v>
      </c>
      <c r="AH51" s="15" t="str">
        <f t="shared" si="0"/>
        <v>En attente</v>
      </c>
    </row>
    <row r="52" spans="1:34" s="15" customFormat="1" ht="45" hidden="1" customHeight="1" x14ac:dyDescent="0.3">
      <c r="A52" s="42">
        <v>51</v>
      </c>
      <c r="B52" s="19" t="s">
        <v>24</v>
      </c>
      <c r="C52" s="19" t="s">
        <v>28</v>
      </c>
      <c r="D52" s="20" t="s">
        <v>360</v>
      </c>
      <c r="E52" s="20" t="s">
        <v>79</v>
      </c>
      <c r="F52" s="21" t="s">
        <v>80</v>
      </c>
      <c r="G52" s="38" t="s">
        <v>182</v>
      </c>
      <c r="H52" s="39" t="s">
        <v>82</v>
      </c>
      <c r="I52" s="39" t="s">
        <v>83</v>
      </c>
      <c r="J52" s="21" t="s">
        <v>361</v>
      </c>
      <c r="K52" s="21" t="s">
        <v>362</v>
      </c>
      <c r="L52" s="21" t="s">
        <v>114</v>
      </c>
      <c r="M52" s="21" t="s">
        <v>363</v>
      </c>
      <c r="N52" s="21" t="s">
        <v>151</v>
      </c>
      <c r="O52" s="20" t="s">
        <v>364</v>
      </c>
      <c r="P52" s="45">
        <v>45625</v>
      </c>
      <c r="Q52" s="39" t="s">
        <v>365</v>
      </c>
      <c r="R52" s="19">
        <v>4328.6899999999996</v>
      </c>
      <c r="S52" s="21">
        <v>0.2</v>
      </c>
      <c r="T52" s="21">
        <v>5194.4279999999999</v>
      </c>
      <c r="U52" s="44" t="s">
        <v>366</v>
      </c>
      <c r="V52" s="22">
        <v>45669</v>
      </c>
      <c r="W52" s="54" t="s">
        <v>91</v>
      </c>
      <c r="X52" s="23"/>
      <c r="Y52" s="23" t="s">
        <v>92</v>
      </c>
      <c r="Z52" s="56"/>
      <c r="AA52" s="24">
        <v>45</v>
      </c>
      <c r="AB52" s="19"/>
      <c r="AC52" s="46" t="s">
        <v>94</v>
      </c>
      <c r="AD52" s="15" t="str">
        <f ca="1">IF(AND($D52&lt;&gt;"",COUNTIF(OFFSET(UFS!$E$2,MATCH($D52&amp;"",UFS!$A$2:$A$175,0)-1,0,COUNTIF(UFS!$A$2:$A$175,$D52&amp;""),1),M52)&gt;0),"Valide","Invalide")</f>
        <v>Valide</v>
      </c>
      <c r="AH52" s="15" t="str">
        <f t="shared" si="0"/>
        <v>En attente</v>
      </c>
    </row>
    <row r="53" spans="1:34" s="15" customFormat="1" ht="45" hidden="1" customHeight="1" x14ac:dyDescent="0.3">
      <c r="A53" s="42">
        <v>52</v>
      </c>
      <c r="B53" s="19" t="s">
        <v>20</v>
      </c>
      <c r="C53" s="19" t="s">
        <v>37</v>
      </c>
      <c r="D53" s="20" t="s">
        <v>251</v>
      </c>
      <c r="E53" s="20" t="s">
        <v>79</v>
      </c>
      <c r="F53" s="21" t="s">
        <v>80</v>
      </c>
      <c r="G53" s="38" t="s">
        <v>241</v>
      </c>
      <c r="H53" s="39" t="s">
        <v>367</v>
      </c>
      <c r="I53" s="39" t="s">
        <v>368</v>
      </c>
      <c r="J53" s="21" t="s">
        <v>144</v>
      </c>
      <c r="K53" s="21" t="s">
        <v>145</v>
      </c>
      <c r="L53" s="21" t="s">
        <v>254</v>
      </c>
      <c r="M53" s="21" t="s">
        <v>255</v>
      </c>
      <c r="N53" s="21" t="s">
        <v>256</v>
      </c>
      <c r="O53" s="20" t="s">
        <v>369</v>
      </c>
      <c r="P53" s="45">
        <v>45660</v>
      </c>
      <c r="Q53" s="39" t="s">
        <v>370</v>
      </c>
      <c r="R53" s="19">
        <v>135</v>
      </c>
      <c r="S53" s="21">
        <v>0.2</v>
      </c>
      <c r="T53" s="21">
        <v>162</v>
      </c>
      <c r="U53" s="44" t="s">
        <v>371</v>
      </c>
      <c r="V53" s="22">
        <v>45669</v>
      </c>
      <c r="W53" s="54" t="s">
        <v>91</v>
      </c>
      <c r="X53" s="23"/>
      <c r="Y53" s="23" t="s">
        <v>92</v>
      </c>
      <c r="Z53" s="56"/>
      <c r="AA53" s="24">
        <v>59</v>
      </c>
      <c r="AB53" s="19"/>
      <c r="AC53" s="46" t="s">
        <v>94</v>
      </c>
      <c r="AD53" s="15" t="str">
        <f ca="1">IF(AND($D53&lt;&gt;"",COUNTIF(OFFSET(UFS!$E$2,MATCH($D53&amp;"",UFS!$A$2:$A$175,0)-1,0,COUNTIF(UFS!$A$2:$A$175,$D53&amp;""),1),M53)&gt;0),"Valide","Invalide")</f>
        <v>Valide</v>
      </c>
      <c r="AH53" s="15" t="str">
        <f t="shared" si="0"/>
        <v>En attente</v>
      </c>
    </row>
    <row r="54" spans="1:34" s="15" customFormat="1" ht="45" hidden="1" customHeight="1" x14ac:dyDescent="0.3">
      <c r="A54" s="42">
        <v>53</v>
      </c>
      <c r="B54" s="19" t="s">
        <v>20</v>
      </c>
      <c r="C54" s="19" t="s">
        <v>37</v>
      </c>
      <c r="D54" s="20" t="s">
        <v>156</v>
      </c>
      <c r="E54" s="20" t="s">
        <v>79</v>
      </c>
      <c r="F54" s="21" t="s">
        <v>80</v>
      </c>
      <c r="G54" s="38" t="s">
        <v>241</v>
      </c>
      <c r="H54" s="39" t="s">
        <v>367</v>
      </c>
      <c r="I54" s="39" t="s">
        <v>368</v>
      </c>
      <c r="J54" s="21" t="s">
        <v>144</v>
      </c>
      <c r="K54" s="21" t="s">
        <v>145</v>
      </c>
      <c r="L54" s="21" t="s">
        <v>146</v>
      </c>
      <c r="M54" s="21" t="s">
        <v>146</v>
      </c>
      <c r="N54" s="21" t="s">
        <v>157</v>
      </c>
      <c r="O54" s="20" t="s">
        <v>372</v>
      </c>
      <c r="P54" s="45">
        <v>45660</v>
      </c>
      <c r="Q54" s="39" t="s">
        <v>373</v>
      </c>
      <c r="R54" s="19">
        <v>90</v>
      </c>
      <c r="S54" s="21">
        <v>0.2</v>
      </c>
      <c r="T54" s="21">
        <v>108</v>
      </c>
      <c r="U54" s="44" t="s">
        <v>371</v>
      </c>
      <c r="V54" s="22">
        <v>45669</v>
      </c>
      <c r="W54" s="54" t="s">
        <v>91</v>
      </c>
      <c r="X54" s="23"/>
      <c r="Y54" s="23" t="s">
        <v>92</v>
      </c>
      <c r="Z54" s="56"/>
      <c r="AA54" s="24">
        <v>60</v>
      </c>
      <c r="AB54" s="19"/>
      <c r="AC54" s="46" t="s">
        <v>94</v>
      </c>
      <c r="AD54" s="15" t="str">
        <f ca="1">IF(AND($D54&lt;&gt;"",COUNTIF(OFFSET(UFS!$E$2,MATCH($D54&amp;"",UFS!$A$2:$A$175,0)-1,0,COUNTIF(UFS!$A$2:$A$175,$D54&amp;""),1),M54)&gt;0),"Valide","Invalide")</f>
        <v>Valide</v>
      </c>
      <c r="AH54" s="15" t="str">
        <f t="shared" si="0"/>
        <v>En attente</v>
      </c>
    </row>
    <row r="55" spans="1:34" s="15" customFormat="1" ht="45" hidden="1" customHeight="1" x14ac:dyDescent="0.3">
      <c r="A55" s="42">
        <v>54</v>
      </c>
      <c r="B55" s="19" t="s">
        <v>20</v>
      </c>
      <c r="C55" s="19" t="s">
        <v>37</v>
      </c>
      <c r="D55" s="20" t="s">
        <v>106</v>
      </c>
      <c r="E55" s="20" t="s">
        <v>79</v>
      </c>
      <c r="F55" s="21" t="s">
        <v>80</v>
      </c>
      <c r="G55" s="38" t="s">
        <v>241</v>
      </c>
      <c r="H55" s="39" t="s">
        <v>367</v>
      </c>
      <c r="I55" s="39" t="s">
        <v>368</v>
      </c>
      <c r="J55" s="21" t="s">
        <v>98</v>
      </c>
      <c r="K55" s="21" t="s">
        <v>108</v>
      </c>
      <c r="L55" s="21" t="s">
        <v>100</v>
      </c>
      <c r="M55" s="21" t="s">
        <v>109</v>
      </c>
      <c r="N55" s="21" t="s">
        <v>109</v>
      </c>
      <c r="O55" s="20" t="s">
        <v>374</v>
      </c>
      <c r="P55" s="45">
        <v>45645</v>
      </c>
      <c r="Q55" s="39" t="s">
        <v>375</v>
      </c>
      <c r="R55" s="19">
        <v>2005.92</v>
      </c>
      <c r="S55" s="21">
        <v>0.1</v>
      </c>
      <c r="T55" s="21">
        <v>2206.5120000000002</v>
      </c>
      <c r="U55" s="44" t="s">
        <v>371</v>
      </c>
      <c r="V55" s="22">
        <v>45670</v>
      </c>
      <c r="W55" s="54" t="s">
        <v>376</v>
      </c>
      <c r="X55" s="23"/>
      <c r="Y55" s="23" t="s">
        <v>376</v>
      </c>
      <c r="Z55" s="56" t="s">
        <v>377</v>
      </c>
      <c r="AA55" s="24"/>
      <c r="AB55" s="19"/>
      <c r="AC55" s="46" t="s">
        <v>94</v>
      </c>
      <c r="AD55" s="15" t="str">
        <f ca="1">IF(AND($D55&lt;&gt;"",COUNTIF(OFFSET(UFS!$E$2,MATCH($D55&amp;"",UFS!$A$2:$A$175,0)-1,0,COUNTIF(UFS!$A$2:$A$175,$D55&amp;""),1),M55)&gt;0),"Valide","Invalide")</f>
        <v>Valide</v>
      </c>
      <c r="AH55" s="15" t="str">
        <f t="shared" si="0"/>
        <v>En attente</v>
      </c>
    </row>
    <row r="56" spans="1:34" s="15" customFormat="1" ht="68.25" hidden="1" customHeight="1" x14ac:dyDescent="0.3">
      <c r="A56" s="42">
        <v>55</v>
      </c>
      <c r="B56" s="19" t="s">
        <v>20</v>
      </c>
      <c r="C56" s="19" t="s">
        <v>37</v>
      </c>
      <c r="D56" s="20" t="s">
        <v>106</v>
      </c>
      <c r="E56" s="20" t="s">
        <v>79</v>
      </c>
      <c r="F56" s="21" t="s">
        <v>80</v>
      </c>
      <c r="G56" s="38" t="s">
        <v>241</v>
      </c>
      <c r="H56" s="39" t="s">
        <v>367</v>
      </c>
      <c r="I56" s="39" t="s">
        <v>368</v>
      </c>
      <c r="J56" s="21" t="s">
        <v>98</v>
      </c>
      <c r="K56" s="21" t="s">
        <v>108</v>
      </c>
      <c r="L56" s="21" t="s">
        <v>100</v>
      </c>
      <c r="M56" s="21" t="s">
        <v>109</v>
      </c>
      <c r="N56" s="21" t="s">
        <v>109</v>
      </c>
      <c r="O56" s="20" t="s">
        <v>378</v>
      </c>
      <c r="P56" s="45">
        <v>45645</v>
      </c>
      <c r="Q56" s="39" t="s">
        <v>379</v>
      </c>
      <c r="R56" s="19">
        <v>2590.98</v>
      </c>
      <c r="S56" s="21">
        <v>0.1</v>
      </c>
      <c r="T56" s="21">
        <v>2850.078</v>
      </c>
      <c r="U56" s="44" t="s">
        <v>371</v>
      </c>
      <c r="V56" s="22">
        <v>45670</v>
      </c>
      <c r="W56" s="54" t="s">
        <v>376</v>
      </c>
      <c r="X56" s="23"/>
      <c r="Y56" s="23" t="s">
        <v>376</v>
      </c>
      <c r="Z56" s="56" t="s">
        <v>380</v>
      </c>
      <c r="AA56" s="24"/>
      <c r="AB56" s="19"/>
      <c r="AC56" s="46" t="s">
        <v>94</v>
      </c>
      <c r="AD56" s="15" t="str">
        <f ca="1">IF(AND($D56&lt;&gt;"",COUNTIF(OFFSET(UFS!$E$2,MATCH($D56&amp;"",UFS!$A$2:$A$175,0)-1,0,COUNTIF(UFS!$A$2:$A$175,$D56&amp;""),1),M56)&gt;0),"Valide","Invalide")</f>
        <v>Valide</v>
      </c>
      <c r="AH56" s="15" t="str">
        <f t="shared" si="0"/>
        <v>En attente</v>
      </c>
    </row>
    <row r="57" spans="1:34" s="15" customFormat="1" ht="45" hidden="1" customHeight="1" x14ac:dyDescent="0.3">
      <c r="A57" s="42">
        <v>56</v>
      </c>
      <c r="B57" s="19" t="s">
        <v>4</v>
      </c>
      <c r="C57" s="19" t="s">
        <v>27</v>
      </c>
      <c r="D57" s="20" t="s">
        <v>123</v>
      </c>
      <c r="E57" s="20" t="s">
        <v>79</v>
      </c>
      <c r="F57" s="21" t="s">
        <v>80</v>
      </c>
      <c r="G57" s="38" t="s">
        <v>241</v>
      </c>
      <c r="H57" s="39" t="s">
        <v>381</v>
      </c>
      <c r="I57" s="39" t="s">
        <v>382</v>
      </c>
      <c r="J57" s="21" t="s">
        <v>124</v>
      </c>
      <c r="K57" s="21" t="s">
        <v>125</v>
      </c>
      <c r="L57" s="21" t="s">
        <v>126</v>
      </c>
      <c r="M57" s="21" t="s">
        <v>109</v>
      </c>
      <c r="N57" s="21" t="s">
        <v>109</v>
      </c>
      <c r="O57" s="20" t="s">
        <v>383</v>
      </c>
      <c r="P57" s="45">
        <v>45666</v>
      </c>
      <c r="Q57" s="39" t="s">
        <v>384</v>
      </c>
      <c r="R57" s="19">
        <v>2199</v>
      </c>
      <c r="S57" s="21">
        <v>0.1</v>
      </c>
      <c r="T57" s="21">
        <v>2418.9</v>
      </c>
      <c r="U57" s="44" t="s">
        <v>385</v>
      </c>
      <c r="V57" s="22">
        <v>45670</v>
      </c>
      <c r="W57" s="54" t="s">
        <v>91</v>
      </c>
      <c r="X57" s="23"/>
      <c r="Y57" s="23" t="s">
        <v>92</v>
      </c>
      <c r="Z57" s="56"/>
      <c r="AA57" s="24">
        <v>46</v>
      </c>
      <c r="AB57" s="19"/>
      <c r="AC57" s="49" t="s">
        <v>161</v>
      </c>
      <c r="AD57" s="15" t="str">
        <f ca="1">IF(AND($D57&lt;&gt;"",COUNTIF(OFFSET(UFS!$E$2,MATCH($D57&amp;"",UFS!$A$2:$A$175,0)-1,0,COUNTIF(UFS!$A$2:$A$175,$D57&amp;""),1),M57)&gt;0),"Valide","Invalide")</f>
        <v>Valide</v>
      </c>
      <c r="AH57" s="15" t="str">
        <f t="shared" si="0"/>
        <v>En attente</v>
      </c>
    </row>
    <row r="58" spans="1:34" s="15" customFormat="1" ht="45" hidden="1" customHeight="1" x14ac:dyDescent="0.3">
      <c r="A58" s="42">
        <v>57</v>
      </c>
      <c r="B58" s="19" t="s">
        <v>10</v>
      </c>
      <c r="C58" s="19" t="s">
        <v>386</v>
      </c>
      <c r="D58" s="20" t="s">
        <v>200</v>
      </c>
      <c r="E58" s="20" t="s">
        <v>79</v>
      </c>
      <c r="F58" s="21" t="s">
        <v>80</v>
      </c>
      <c r="G58" s="38" t="s">
        <v>241</v>
      </c>
      <c r="H58" s="39"/>
      <c r="I58" s="39"/>
      <c r="J58" s="21" t="s">
        <v>144</v>
      </c>
      <c r="K58" s="21" t="s">
        <v>145</v>
      </c>
      <c r="L58" s="21" t="s">
        <v>203</v>
      </c>
      <c r="M58" s="21" t="s">
        <v>109</v>
      </c>
      <c r="N58" s="21" t="s">
        <v>109</v>
      </c>
      <c r="O58" s="20" t="s">
        <v>387</v>
      </c>
      <c r="P58" s="45">
        <v>45589</v>
      </c>
      <c r="Q58" s="39" t="s">
        <v>388</v>
      </c>
      <c r="R58" s="19">
        <f>57021.21/1.2</f>
        <v>47517.675000000003</v>
      </c>
      <c r="S58" s="21">
        <v>0.2</v>
      </c>
      <c r="T58" s="21">
        <v>57021.210000000006</v>
      </c>
      <c r="U58" s="44" t="s">
        <v>389</v>
      </c>
      <c r="V58" s="22">
        <v>45670</v>
      </c>
      <c r="W58" s="54" t="s">
        <v>91</v>
      </c>
      <c r="X58" s="23"/>
      <c r="Y58" s="23" t="s">
        <v>92</v>
      </c>
      <c r="Z58" s="56" t="s">
        <v>390</v>
      </c>
      <c r="AA58" s="24">
        <v>63</v>
      </c>
      <c r="AB58" s="19"/>
      <c r="AC58" s="49" t="s">
        <v>161</v>
      </c>
      <c r="AD58" s="15" t="e">
        <f ca="1">IF(AND($D58&lt;&gt;"",COUNTIF(OFFSET(UFS!$E$2,MATCH($D58&amp;"",UFS!$A$2:$A$175,0)-1,0,COUNTIF(UFS!$A$2:$A$175,$D58&amp;""),1),M58)&gt;0),"Valide","Invalide")</f>
        <v>#N/A</v>
      </c>
      <c r="AH58" s="15" t="str">
        <f t="shared" si="0"/>
        <v>En attente</v>
      </c>
    </row>
    <row r="59" spans="1:34" s="15" customFormat="1" ht="45" hidden="1" customHeight="1" x14ac:dyDescent="0.3">
      <c r="A59" s="42">
        <v>58</v>
      </c>
      <c r="B59" s="19" t="s">
        <v>24</v>
      </c>
      <c r="C59" s="19" t="s">
        <v>28</v>
      </c>
      <c r="D59" s="20" t="s">
        <v>391</v>
      </c>
      <c r="E59" s="20" t="s">
        <v>79</v>
      </c>
      <c r="F59" s="21" t="s">
        <v>80</v>
      </c>
      <c r="G59" s="38" t="s">
        <v>182</v>
      </c>
      <c r="H59" s="39" t="s">
        <v>82</v>
      </c>
      <c r="I59" s="39" t="s">
        <v>83</v>
      </c>
      <c r="J59" s="21" t="s">
        <v>124</v>
      </c>
      <c r="K59" s="21" t="s">
        <v>235</v>
      </c>
      <c r="L59" s="21" t="s">
        <v>177</v>
      </c>
      <c r="M59" s="21" t="s">
        <v>284</v>
      </c>
      <c r="N59" s="21" t="s">
        <v>392</v>
      </c>
      <c r="O59" s="20" t="s">
        <v>393</v>
      </c>
      <c r="P59" s="45">
        <v>45671</v>
      </c>
      <c r="Q59" s="39" t="s">
        <v>394</v>
      </c>
      <c r="R59" s="19">
        <v>911.57</v>
      </c>
      <c r="S59" s="21">
        <v>0.1</v>
      </c>
      <c r="T59" s="21">
        <v>1002.7270000000001</v>
      </c>
      <c r="U59" s="44" t="s">
        <v>366</v>
      </c>
      <c r="V59" s="22">
        <v>45671</v>
      </c>
      <c r="W59" s="54" t="s">
        <v>91</v>
      </c>
      <c r="X59" s="23"/>
      <c r="Y59" s="23" t="s">
        <v>92</v>
      </c>
      <c r="Z59" s="56"/>
      <c r="AA59" s="24">
        <v>47</v>
      </c>
      <c r="AB59" s="19"/>
      <c r="AC59" s="46" t="s">
        <v>94</v>
      </c>
      <c r="AD59" s="15" t="str">
        <f ca="1">IF(AND($D59&lt;&gt;"",COUNTIF(OFFSET(UFS!$E$2,MATCH($D59&amp;"",UFS!$A$2:$A$175,0)-1,0,COUNTIF(UFS!$A$2:$A$175,$D59&amp;""),1),M59)&gt;0),"Valide","Invalide")</f>
        <v>Valide</v>
      </c>
      <c r="AH59" s="15" t="str">
        <f t="shared" si="0"/>
        <v>En attente</v>
      </c>
    </row>
    <row r="60" spans="1:34" s="15" customFormat="1" ht="45" hidden="1" customHeight="1" x14ac:dyDescent="0.3">
      <c r="A60" s="42">
        <v>59</v>
      </c>
      <c r="B60" s="19" t="s">
        <v>24</v>
      </c>
      <c r="C60" s="19" t="s">
        <v>15</v>
      </c>
      <c r="D60" s="20" t="s">
        <v>174</v>
      </c>
      <c r="E60" s="20" t="s">
        <v>96</v>
      </c>
      <c r="F60" s="21" t="s">
        <v>80</v>
      </c>
      <c r="G60" s="38" t="s">
        <v>97</v>
      </c>
      <c r="H60" s="39"/>
      <c r="I60" s="39" t="s">
        <v>176</v>
      </c>
      <c r="J60" s="21" t="s">
        <v>124</v>
      </c>
      <c r="K60" s="21" t="s">
        <v>125</v>
      </c>
      <c r="L60" s="21" t="s">
        <v>177</v>
      </c>
      <c r="M60" s="21" t="s">
        <v>136</v>
      </c>
      <c r="N60" s="21" t="s">
        <v>102</v>
      </c>
      <c r="O60" s="20" t="s">
        <v>395</v>
      </c>
      <c r="P60" s="45">
        <v>45642</v>
      </c>
      <c r="Q60" s="39" t="s">
        <v>396</v>
      </c>
      <c r="R60" s="19">
        <v>1143.1400000000001</v>
      </c>
      <c r="S60" s="21">
        <v>0.1</v>
      </c>
      <c r="T60" s="21">
        <v>1257.4540000000002</v>
      </c>
      <c r="U60" s="44" t="s">
        <v>180</v>
      </c>
      <c r="V60" s="22">
        <v>45671</v>
      </c>
      <c r="W60" s="54" t="s">
        <v>91</v>
      </c>
      <c r="X60" s="23"/>
      <c r="Y60" s="23" t="s">
        <v>92</v>
      </c>
      <c r="Z60" s="56"/>
      <c r="AA60" s="24">
        <v>48</v>
      </c>
      <c r="AB60" s="47">
        <v>45740</v>
      </c>
      <c r="AC60" s="46" t="s">
        <v>94</v>
      </c>
      <c r="AD60" s="15" t="str">
        <f ca="1">IF(AND($D60&lt;&gt;"",COUNTIF(OFFSET(UFS!$E$2,MATCH($D60&amp;"",UFS!$A$2:$A$175,0)-1,0,COUNTIF(UFS!$A$2:$A$175,$D60&amp;""),1),M60)&gt;0),"Valide","Invalide")</f>
        <v>Valide</v>
      </c>
      <c r="AH60" s="15" t="str">
        <f t="shared" si="0"/>
        <v>En attente</v>
      </c>
    </row>
    <row r="61" spans="1:34" s="15" customFormat="1" ht="45" hidden="1" customHeight="1" x14ac:dyDescent="0.3">
      <c r="A61" s="42">
        <v>60</v>
      </c>
      <c r="B61" s="19" t="s">
        <v>4</v>
      </c>
      <c r="C61" s="19" t="s">
        <v>36</v>
      </c>
      <c r="D61" s="20" t="s">
        <v>260</v>
      </c>
      <c r="E61" s="20" t="s">
        <v>79</v>
      </c>
      <c r="F61" s="21" t="s">
        <v>80</v>
      </c>
      <c r="G61" s="38" t="s">
        <v>241</v>
      </c>
      <c r="H61" s="39" t="s">
        <v>252</v>
      </c>
      <c r="I61" s="39" t="s">
        <v>253</v>
      </c>
      <c r="J61" s="21" t="s">
        <v>84</v>
      </c>
      <c r="K61" s="21" t="s">
        <v>113</v>
      </c>
      <c r="L61" s="21" t="s">
        <v>86</v>
      </c>
      <c r="M61" s="21" t="s">
        <v>109</v>
      </c>
      <c r="N61" s="21" t="s">
        <v>109</v>
      </c>
      <c r="O61" s="20" t="s">
        <v>397</v>
      </c>
      <c r="P61" s="45">
        <v>45671</v>
      </c>
      <c r="Q61" s="39" t="s">
        <v>398</v>
      </c>
      <c r="R61" s="19">
        <v>1377.6</v>
      </c>
      <c r="S61" s="21">
        <v>0.1</v>
      </c>
      <c r="T61" s="21">
        <v>1515.36</v>
      </c>
      <c r="U61" s="134" t="s">
        <v>399</v>
      </c>
      <c r="V61" s="22">
        <v>45672</v>
      </c>
      <c r="W61" s="54" t="s">
        <v>91</v>
      </c>
      <c r="X61" s="23"/>
      <c r="Y61" s="23" t="s">
        <v>92</v>
      </c>
      <c r="Z61" s="56"/>
      <c r="AA61" s="24">
        <v>49</v>
      </c>
      <c r="AB61" s="19"/>
      <c r="AC61" s="46" t="s">
        <v>94</v>
      </c>
      <c r="AD61" s="15" t="str">
        <f ca="1">IF(AND($D61&lt;&gt;"",COUNTIF(OFFSET(UFS!$E$2,MATCH($D61&amp;"",UFS!$A$2:$A$175,0)-1,0,COUNTIF(UFS!$A$2:$A$175,$D61&amp;""),1),M61)&gt;0),"Valide","Invalide")</f>
        <v>Valide</v>
      </c>
      <c r="AH61" s="15" t="str">
        <f t="shared" si="0"/>
        <v>En attente</v>
      </c>
    </row>
    <row r="62" spans="1:34" s="15" customFormat="1" ht="45" hidden="1" customHeight="1" x14ac:dyDescent="0.3">
      <c r="A62" s="42">
        <v>61</v>
      </c>
      <c r="B62" s="19" t="s">
        <v>20</v>
      </c>
      <c r="C62" s="19" t="s">
        <v>37</v>
      </c>
      <c r="D62" s="20" t="s">
        <v>123</v>
      </c>
      <c r="E62" s="20" t="s">
        <v>79</v>
      </c>
      <c r="F62" s="21" t="s">
        <v>80</v>
      </c>
      <c r="G62" s="38" t="s">
        <v>241</v>
      </c>
      <c r="H62" s="39" t="s">
        <v>367</v>
      </c>
      <c r="I62" s="39" t="s">
        <v>368</v>
      </c>
      <c r="J62" s="21" t="s">
        <v>124</v>
      </c>
      <c r="K62" s="21" t="s">
        <v>125</v>
      </c>
      <c r="L62" s="21" t="s">
        <v>126</v>
      </c>
      <c r="M62" s="21" t="s">
        <v>109</v>
      </c>
      <c r="N62" s="21" t="s">
        <v>109</v>
      </c>
      <c r="O62" s="20" t="s">
        <v>400</v>
      </c>
      <c r="P62" s="45">
        <v>45643</v>
      </c>
      <c r="Q62" s="39" t="s">
        <v>401</v>
      </c>
      <c r="R62" s="19">
        <v>90</v>
      </c>
      <c r="S62" s="21">
        <v>0.1</v>
      </c>
      <c r="T62" s="21">
        <v>99</v>
      </c>
      <c r="U62" s="44" t="s">
        <v>371</v>
      </c>
      <c r="V62" s="22">
        <v>45672</v>
      </c>
      <c r="W62" s="54" t="s">
        <v>91</v>
      </c>
      <c r="X62" s="23"/>
      <c r="Y62" s="23" t="s">
        <v>92</v>
      </c>
      <c r="Z62" s="56"/>
      <c r="AA62" s="24">
        <v>50</v>
      </c>
      <c r="AB62" s="19"/>
      <c r="AC62" s="46" t="s">
        <v>94</v>
      </c>
      <c r="AD62" s="15" t="str">
        <f ca="1">IF(AND($D62&lt;&gt;"",COUNTIF(OFFSET(UFS!$E$2,MATCH($D62&amp;"",UFS!$A$2:$A$175,0)-1,0,COUNTIF(UFS!$A$2:$A$175,$D62&amp;""),1),M62)&gt;0),"Valide","Invalide")</f>
        <v>Valide</v>
      </c>
      <c r="AH62" s="15" t="str">
        <f t="shared" si="0"/>
        <v>En attente</v>
      </c>
    </row>
    <row r="63" spans="1:34" s="15" customFormat="1" ht="45" hidden="1" customHeight="1" x14ac:dyDescent="0.3">
      <c r="A63" s="42">
        <v>62</v>
      </c>
      <c r="B63" s="19" t="s">
        <v>20</v>
      </c>
      <c r="C63" s="19" t="s">
        <v>37</v>
      </c>
      <c r="D63" s="20" t="s">
        <v>123</v>
      </c>
      <c r="E63" s="20" t="s">
        <v>79</v>
      </c>
      <c r="F63" s="21" t="s">
        <v>80</v>
      </c>
      <c r="G63" s="38" t="s">
        <v>241</v>
      </c>
      <c r="H63" s="39" t="s">
        <v>367</v>
      </c>
      <c r="I63" s="39" t="s">
        <v>368</v>
      </c>
      <c r="J63" s="21" t="s">
        <v>124</v>
      </c>
      <c r="K63" s="21" t="s">
        <v>125</v>
      </c>
      <c r="L63" s="21" t="s">
        <v>126</v>
      </c>
      <c r="M63" s="21" t="s">
        <v>109</v>
      </c>
      <c r="N63" s="21" t="s">
        <v>109</v>
      </c>
      <c r="O63" s="20" t="s">
        <v>402</v>
      </c>
      <c r="P63" s="45">
        <v>45643</v>
      </c>
      <c r="Q63" s="39" t="s">
        <v>403</v>
      </c>
      <c r="R63" s="19">
        <v>225</v>
      </c>
      <c r="S63" s="21">
        <v>0.1</v>
      </c>
      <c r="T63" s="21">
        <v>247.5</v>
      </c>
      <c r="U63" s="44" t="s">
        <v>371</v>
      </c>
      <c r="V63" s="22">
        <v>45672</v>
      </c>
      <c r="W63" s="54" t="s">
        <v>91</v>
      </c>
      <c r="X63" s="23"/>
      <c r="Y63" s="23" t="s">
        <v>92</v>
      </c>
      <c r="Z63" s="56"/>
      <c r="AA63" s="24">
        <v>51</v>
      </c>
      <c r="AB63" s="19"/>
      <c r="AC63" s="46" t="s">
        <v>94</v>
      </c>
      <c r="AD63" s="15" t="str">
        <f ca="1">IF(AND($D63&lt;&gt;"",COUNTIF(OFFSET(UFS!$E$2,MATCH($D63&amp;"",UFS!$A$2:$A$175,0)-1,0,COUNTIF(UFS!$A$2:$A$175,$D63&amp;""),1),M63)&gt;0),"Valide","Invalide")</f>
        <v>Valide</v>
      </c>
      <c r="AH63" s="15" t="str">
        <f t="shared" si="0"/>
        <v>En attente</v>
      </c>
    </row>
    <row r="64" spans="1:34" s="15" customFormat="1" ht="45" hidden="1" customHeight="1" x14ac:dyDescent="0.3">
      <c r="A64" s="42">
        <v>63</v>
      </c>
      <c r="B64" s="19" t="s">
        <v>20</v>
      </c>
      <c r="C64" s="19" t="s">
        <v>37</v>
      </c>
      <c r="D64" s="20" t="s">
        <v>123</v>
      </c>
      <c r="E64" s="20" t="s">
        <v>79</v>
      </c>
      <c r="F64" s="21" t="s">
        <v>80</v>
      </c>
      <c r="G64" s="38" t="s">
        <v>241</v>
      </c>
      <c r="H64" s="39" t="s">
        <v>367</v>
      </c>
      <c r="I64" s="39" t="s">
        <v>368</v>
      </c>
      <c r="J64" s="21" t="s">
        <v>124</v>
      </c>
      <c r="K64" s="21" t="s">
        <v>125</v>
      </c>
      <c r="L64" s="21" t="s">
        <v>126</v>
      </c>
      <c r="M64" s="21" t="s">
        <v>109</v>
      </c>
      <c r="N64" s="21" t="s">
        <v>109</v>
      </c>
      <c r="O64" s="20" t="s">
        <v>404</v>
      </c>
      <c r="P64" s="45">
        <v>45643</v>
      </c>
      <c r="Q64" s="39" t="s">
        <v>405</v>
      </c>
      <c r="R64" s="19">
        <v>3068.1</v>
      </c>
      <c r="S64" s="21">
        <v>0.1</v>
      </c>
      <c r="T64" s="21">
        <v>3374.91</v>
      </c>
      <c r="U64" s="44" t="s">
        <v>371</v>
      </c>
      <c r="V64" s="22">
        <v>45672</v>
      </c>
      <c r="W64" s="54" t="s">
        <v>91</v>
      </c>
      <c r="X64" s="23"/>
      <c r="Y64" s="23" t="s">
        <v>92</v>
      </c>
      <c r="Z64" s="56"/>
      <c r="AA64" s="24">
        <v>52</v>
      </c>
      <c r="AB64" s="19"/>
      <c r="AC64" s="46" t="s">
        <v>94</v>
      </c>
      <c r="AD64" s="15" t="str">
        <f ca="1">IF(AND($D64&lt;&gt;"",COUNTIF(OFFSET(UFS!$E$2,MATCH($D64&amp;"",UFS!$A$2:$A$175,0)-1,0,COUNTIF(UFS!$A$2:$A$175,$D64&amp;""),1),M64)&gt;0),"Valide","Invalide")</f>
        <v>Valide</v>
      </c>
      <c r="AH64" s="15" t="str">
        <f t="shared" si="0"/>
        <v>En attente</v>
      </c>
    </row>
    <row r="65" spans="1:34" s="15" customFormat="1" ht="45" hidden="1" customHeight="1" x14ac:dyDescent="0.3">
      <c r="A65" s="42">
        <v>64</v>
      </c>
      <c r="B65" s="19" t="s">
        <v>20</v>
      </c>
      <c r="C65" s="19" t="s">
        <v>37</v>
      </c>
      <c r="D65" s="20" t="s">
        <v>406</v>
      </c>
      <c r="E65" s="20" t="s">
        <v>79</v>
      </c>
      <c r="F65" s="21" t="s">
        <v>80</v>
      </c>
      <c r="G65" s="38" t="s">
        <v>241</v>
      </c>
      <c r="H65" s="39" t="s">
        <v>367</v>
      </c>
      <c r="I65" s="39" t="s">
        <v>368</v>
      </c>
      <c r="J65" s="21" t="s">
        <v>407</v>
      </c>
      <c r="K65" s="21" t="s">
        <v>108</v>
      </c>
      <c r="L65" s="21" t="s">
        <v>100</v>
      </c>
      <c r="M65" s="21" t="s">
        <v>108</v>
      </c>
      <c r="N65" s="21" t="s">
        <v>408</v>
      </c>
      <c r="O65" s="20" t="s">
        <v>409</v>
      </c>
      <c r="P65" s="45">
        <v>45643</v>
      </c>
      <c r="Q65" s="39" t="s">
        <v>410</v>
      </c>
      <c r="R65" s="19">
        <v>135</v>
      </c>
      <c r="S65" s="21">
        <v>0.2</v>
      </c>
      <c r="T65" s="21">
        <v>162</v>
      </c>
      <c r="U65" s="44" t="s">
        <v>371</v>
      </c>
      <c r="V65" s="22">
        <v>45672</v>
      </c>
      <c r="W65" s="54" t="s">
        <v>91</v>
      </c>
      <c r="X65" s="23"/>
      <c r="Y65" s="23" t="s">
        <v>92</v>
      </c>
      <c r="Z65" s="56"/>
      <c r="AA65" s="24">
        <v>53</v>
      </c>
      <c r="AB65" s="19"/>
      <c r="AC65" s="46" t="s">
        <v>94</v>
      </c>
      <c r="AD65" s="15" t="str">
        <f ca="1">IF(AND($D65&lt;&gt;"",COUNTIF(OFFSET(UFS!$E$2,MATCH($D65&amp;"",UFS!$A$2:$A$175,0)-1,0,COUNTIF(UFS!$A$2:$A$175,$D65&amp;""),1),M65)&gt;0),"Valide","Invalide")</f>
        <v>Valide</v>
      </c>
      <c r="AH65" s="15" t="str">
        <f t="shared" si="0"/>
        <v>En attente</v>
      </c>
    </row>
    <row r="66" spans="1:34" s="15" customFormat="1" ht="45" hidden="1" customHeight="1" x14ac:dyDescent="0.3">
      <c r="A66" s="42">
        <v>65</v>
      </c>
      <c r="B66" s="19" t="s">
        <v>20</v>
      </c>
      <c r="C66" s="19" t="s">
        <v>37</v>
      </c>
      <c r="D66" s="20" t="s">
        <v>106</v>
      </c>
      <c r="E66" s="20" t="s">
        <v>79</v>
      </c>
      <c r="F66" s="21" t="s">
        <v>80</v>
      </c>
      <c r="G66" s="38" t="s">
        <v>241</v>
      </c>
      <c r="H66" s="39" t="s">
        <v>367</v>
      </c>
      <c r="I66" s="39" t="s">
        <v>368</v>
      </c>
      <c r="J66" s="21" t="s">
        <v>98</v>
      </c>
      <c r="K66" s="21" t="s">
        <v>108</v>
      </c>
      <c r="L66" s="21" t="s">
        <v>100</v>
      </c>
      <c r="M66" s="21" t="s">
        <v>109</v>
      </c>
      <c r="N66" s="21" t="s">
        <v>109</v>
      </c>
      <c r="O66" s="20" t="s">
        <v>411</v>
      </c>
      <c r="P66" s="45">
        <v>45643</v>
      </c>
      <c r="Q66" s="39" t="s">
        <v>412</v>
      </c>
      <c r="R66" s="19">
        <v>225</v>
      </c>
      <c r="S66" s="21">
        <v>0.1</v>
      </c>
      <c r="T66" s="21">
        <v>247.5</v>
      </c>
      <c r="U66" s="44" t="s">
        <v>371</v>
      </c>
      <c r="V66" s="22">
        <v>45672</v>
      </c>
      <c r="W66" s="54" t="s">
        <v>91</v>
      </c>
      <c r="X66" s="23"/>
      <c r="Y66" s="23" t="s">
        <v>92</v>
      </c>
      <c r="Z66" s="56"/>
      <c r="AA66" s="24">
        <v>54</v>
      </c>
      <c r="AB66" s="19"/>
      <c r="AC66" s="46" t="s">
        <v>94</v>
      </c>
      <c r="AD66" s="15" t="str">
        <f ca="1">IF(AND($D66&lt;&gt;"",COUNTIF(OFFSET(UFS!$E$2,MATCH($D66&amp;"",UFS!$A$2:$A$175,0)-1,0,COUNTIF(UFS!$A$2:$A$175,$D66&amp;""),1),M66)&gt;0),"Valide","Invalide")</f>
        <v>Valide</v>
      </c>
      <c r="AH66" s="15" t="str">
        <f t="shared" si="0"/>
        <v>En attente</v>
      </c>
    </row>
    <row r="67" spans="1:34" s="15" customFormat="1" ht="45" hidden="1" customHeight="1" x14ac:dyDescent="0.3">
      <c r="A67" s="42">
        <v>66</v>
      </c>
      <c r="B67" s="19" t="s">
        <v>20</v>
      </c>
      <c r="C67" s="19" t="s">
        <v>37</v>
      </c>
      <c r="D67" s="20" t="s">
        <v>413</v>
      </c>
      <c r="E67" s="20" t="s">
        <v>79</v>
      </c>
      <c r="F67" s="21" t="s">
        <v>80</v>
      </c>
      <c r="G67" s="38" t="s">
        <v>241</v>
      </c>
      <c r="H67" s="39" t="s">
        <v>367</v>
      </c>
      <c r="I67" s="39" t="s">
        <v>368</v>
      </c>
      <c r="J67" s="21" t="s">
        <v>183</v>
      </c>
      <c r="K67" s="21" t="s">
        <v>184</v>
      </c>
      <c r="L67" s="21" t="s">
        <v>185</v>
      </c>
      <c r="M67" s="21" t="s">
        <v>109</v>
      </c>
      <c r="N67" s="21" t="s">
        <v>109</v>
      </c>
      <c r="O67" s="20" t="s">
        <v>414</v>
      </c>
      <c r="P67" s="45">
        <v>45604</v>
      </c>
      <c r="Q67" s="39" t="s">
        <v>415</v>
      </c>
      <c r="R67" s="19">
        <v>90</v>
      </c>
      <c r="S67" s="21">
        <v>0.1</v>
      </c>
      <c r="T67" s="21">
        <v>99</v>
      </c>
      <c r="U67" s="44" t="s">
        <v>371</v>
      </c>
      <c r="V67" s="22">
        <v>45672</v>
      </c>
      <c r="W67" s="54" t="s">
        <v>91</v>
      </c>
      <c r="X67" s="23"/>
      <c r="Y67" s="23" t="s">
        <v>92</v>
      </c>
      <c r="Z67" s="56"/>
      <c r="AA67" s="24">
        <v>55</v>
      </c>
      <c r="AB67" s="19"/>
      <c r="AC67" s="46" t="s">
        <v>94</v>
      </c>
      <c r="AD67" s="15" t="str">
        <f ca="1">IF(AND($D67&lt;&gt;"",COUNTIF(OFFSET(UFS!$E$2,MATCH($D67&amp;"",UFS!$A$2:$A$175,0)-1,0,COUNTIF(UFS!$A$2:$A$175,$D67&amp;""),1),M67)&gt;0),"Valide","Invalide")</f>
        <v>Valide</v>
      </c>
      <c r="AH67" s="15" t="str">
        <f t="shared" ref="AH67:AH130" si="1">IF(T67&lt;&gt;"","En attente","")</f>
        <v>En attente</v>
      </c>
    </row>
    <row r="68" spans="1:34" s="15" customFormat="1" ht="45" hidden="1" customHeight="1" x14ac:dyDescent="0.3">
      <c r="A68" s="42">
        <v>67</v>
      </c>
      <c r="B68" s="19" t="s">
        <v>20</v>
      </c>
      <c r="C68" s="19" t="s">
        <v>37</v>
      </c>
      <c r="D68" s="20" t="s">
        <v>413</v>
      </c>
      <c r="E68" s="20" t="s">
        <v>79</v>
      </c>
      <c r="F68" s="21" t="s">
        <v>80</v>
      </c>
      <c r="G68" s="38" t="s">
        <v>241</v>
      </c>
      <c r="H68" s="39" t="s">
        <v>367</v>
      </c>
      <c r="I68" s="39" t="s">
        <v>368</v>
      </c>
      <c r="J68" s="21" t="s">
        <v>183</v>
      </c>
      <c r="K68" s="21" t="s">
        <v>184</v>
      </c>
      <c r="L68" s="21" t="s">
        <v>185</v>
      </c>
      <c r="M68" s="21" t="s">
        <v>109</v>
      </c>
      <c r="N68" s="21" t="s">
        <v>109</v>
      </c>
      <c r="O68" s="20" t="s">
        <v>416</v>
      </c>
      <c r="P68" s="45">
        <v>45616</v>
      </c>
      <c r="Q68" s="39" t="s">
        <v>417</v>
      </c>
      <c r="R68" s="19">
        <v>652.9</v>
      </c>
      <c r="S68" s="21">
        <v>0.1</v>
      </c>
      <c r="T68" s="21">
        <v>718.18999999999994</v>
      </c>
      <c r="U68" s="44" t="s">
        <v>371</v>
      </c>
      <c r="V68" s="22">
        <v>45672</v>
      </c>
      <c r="W68" s="54" t="s">
        <v>91</v>
      </c>
      <c r="X68" s="23"/>
      <c r="Y68" s="23" t="s">
        <v>92</v>
      </c>
      <c r="Z68" s="56"/>
      <c r="AA68" s="24">
        <v>56</v>
      </c>
      <c r="AB68" s="19"/>
      <c r="AC68" s="46" t="s">
        <v>94</v>
      </c>
      <c r="AD68" s="15" t="str">
        <f ca="1">IF(AND($D68&lt;&gt;"",COUNTIF(OFFSET(UFS!$E$2,MATCH($D68&amp;"",UFS!$A$2:$A$175,0)-1,0,COUNTIF(UFS!$A$2:$A$175,$D68&amp;""),1),M68)&gt;0),"Valide","Invalide")</f>
        <v>Valide</v>
      </c>
      <c r="AH68" s="15" t="str">
        <f t="shared" si="1"/>
        <v>En attente</v>
      </c>
    </row>
    <row r="69" spans="1:34" s="15" customFormat="1" ht="72" hidden="1" x14ac:dyDescent="0.3">
      <c r="A69" s="42">
        <v>68</v>
      </c>
      <c r="B69" s="19" t="s">
        <v>20</v>
      </c>
      <c r="C69" s="19" t="s">
        <v>37</v>
      </c>
      <c r="D69" s="20" t="s">
        <v>156</v>
      </c>
      <c r="E69" s="20" t="s">
        <v>79</v>
      </c>
      <c r="F69" s="21" t="s">
        <v>80</v>
      </c>
      <c r="G69" s="38" t="s">
        <v>241</v>
      </c>
      <c r="H69" s="39" t="s">
        <v>367</v>
      </c>
      <c r="I69" s="39" t="s">
        <v>368</v>
      </c>
      <c r="J69" s="21" t="s">
        <v>144</v>
      </c>
      <c r="K69" s="21" t="s">
        <v>145</v>
      </c>
      <c r="L69" s="21" t="s">
        <v>146</v>
      </c>
      <c r="M69" s="21" t="s">
        <v>146</v>
      </c>
      <c r="N69" s="21" t="s">
        <v>157</v>
      </c>
      <c r="O69" s="20" t="s">
        <v>418</v>
      </c>
      <c r="P69" s="45">
        <v>45643</v>
      </c>
      <c r="Q69" s="39" t="s">
        <v>419</v>
      </c>
      <c r="R69" s="19">
        <v>135</v>
      </c>
      <c r="S69" s="21">
        <v>0.2</v>
      </c>
      <c r="T69" s="21">
        <v>162</v>
      </c>
      <c r="U69" s="44" t="s">
        <v>371</v>
      </c>
      <c r="V69" s="22">
        <v>45672</v>
      </c>
      <c r="W69" s="54" t="s">
        <v>91</v>
      </c>
      <c r="X69" s="23"/>
      <c r="Y69" s="23" t="s">
        <v>92</v>
      </c>
      <c r="Z69" s="56"/>
      <c r="AA69" s="24">
        <v>57</v>
      </c>
      <c r="AB69" s="19"/>
      <c r="AC69" s="46" t="s">
        <v>94</v>
      </c>
      <c r="AD69" s="15" t="str">
        <f ca="1">IF(AND($D69&lt;&gt;"",COUNTIF(OFFSET(UFS!$E$2,MATCH($D69&amp;"",UFS!$A$2:$A$175,0)-1,0,COUNTIF(UFS!$A$2:$A$175,$D69&amp;""),1),M69)&gt;0),"Valide","Invalide")</f>
        <v>Valide</v>
      </c>
      <c r="AH69" s="15" t="str">
        <f t="shared" si="1"/>
        <v>En attente</v>
      </c>
    </row>
    <row r="70" spans="1:34" s="15" customFormat="1" ht="45" hidden="1" customHeight="1" x14ac:dyDescent="0.3">
      <c r="A70" s="42">
        <v>69</v>
      </c>
      <c r="B70" s="19" t="s">
        <v>20</v>
      </c>
      <c r="C70" s="19" t="s">
        <v>37</v>
      </c>
      <c r="D70" s="20" t="s">
        <v>156</v>
      </c>
      <c r="E70" s="20" t="s">
        <v>79</v>
      </c>
      <c r="F70" s="21" t="s">
        <v>80</v>
      </c>
      <c r="G70" s="38" t="s">
        <v>241</v>
      </c>
      <c r="H70" s="39" t="s">
        <v>367</v>
      </c>
      <c r="I70" s="39" t="s">
        <v>368</v>
      </c>
      <c r="J70" s="21" t="s">
        <v>144</v>
      </c>
      <c r="K70" s="21" t="s">
        <v>145</v>
      </c>
      <c r="L70" s="21" t="s">
        <v>146</v>
      </c>
      <c r="M70" s="21" t="s">
        <v>146</v>
      </c>
      <c r="N70" s="21" t="s">
        <v>157</v>
      </c>
      <c r="O70" s="20" t="s">
        <v>420</v>
      </c>
      <c r="P70" s="45">
        <v>45638</v>
      </c>
      <c r="Q70" s="39" t="s">
        <v>421</v>
      </c>
      <c r="R70" s="19">
        <v>517.9</v>
      </c>
      <c r="S70" s="21">
        <v>0.2</v>
      </c>
      <c r="T70" s="21">
        <v>621.48</v>
      </c>
      <c r="U70" s="44" t="s">
        <v>371</v>
      </c>
      <c r="V70" s="22">
        <v>45672</v>
      </c>
      <c r="W70" s="54" t="s">
        <v>91</v>
      </c>
      <c r="X70" s="23"/>
      <c r="Y70" s="23" t="s">
        <v>92</v>
      </c>
      <c r="Z70" s="56"/>
      <c r="AA70" s="24">
        <v>58</v>
      </c>
      <c r="AB70" s="19"/>
      <c r="AC70" s="46" t="s">
        <v>94</v>
      </c>
      <c r="AD70" s="15" t="str">
        <f ca="1">IF(AND($D70&lt;&gt;"",COUNTIF(OFFSET(UFS!$E$2,MATCH($D70&amp;"",UFS!$A$2:$A$175,0)-1,0,COUNTIF(UFS!$A$2:$A$175,$D70&amp;""),1),M70)&gt;0),"Valide","Invalide")</f>
        <v>Valide</v>
      </c>
      <c r="AH70" s="15" t="str">
        <f t="shared" si="1"/>
        <v>En attente</v>
      </c>
    </row>
    <row r="71" spans="1:34" s="15" customFormat="1" ht="45" hidden="1" customHeight="1" x14ac:dyDescent="0.3">
      <c r="A71" s="42">
        <v>70</v>
      </c>
      <c r="B71" s="19" t="s">
        <v>24</v>
      </c>
      <c r="C71" s="19" t="s">
        <v>28</v>
      </c>
      <c r="D71" s="20" t="s">
        <v>283</v>
      </c>
      <c r="E71" s="20" t="s">
        <v>79</v>
      </c>
      <c r="F71" s="21" t="s">
        <v>80</v>
      </c>
      <c r="G71" s="38" t="s">
        <v>182</v>
      </c>
      <c r="H71" s="39" t="s">
        <v>82</v>
      </c>
      <c r="I71" s="39" t="s">
        <v>83</v>
      </c>
      <c r="J71" s="21" t="s">
        <v>124</v>
      </c>
      <c r="K71" s="21" t="s">
        <v>235</v>
      </c>
      <c r="L71" s="21" t="s">
        <v>177</v>
      </c>
      <c r="M71" s="21" t="s">
        <v>284</v>
      </c>
      <c r="N71" s="21" t="s">
        <v>151</v>
      </c>
      <c r="O71" s="20" t="s">
        <v>422</v>
      </c>
      <c r="P71" s="45">
        <v>45672</v>
      </c>
      <c r="Q71" s="39" t="s">
        <v>423</v>
      </c>
      <c r="R71" s="19">
        <v>3027.81</v>
      </c>
      <c r="S71" s="21">
        <v>0.2</v>
      </c>
      <c r="T71" s="21">
        <v>3633.3719999999998</v>
      </c>
      <c r="U71" s="44" t="s">
        <v>366</v>
      </c>
      <c r="V71" s="22">
        <v>45672</v>
      </c>
      <c r="W71" s="54" t="s">
        <v>91</v>
      </c>
      <c r="X71" s="23"/>
      <c r="Y71" s="23" t="s">
        <v>92</v>
      </c>
      <c r="Z71" s="56"/>
      <c r="AA71" s="24">
        <v>61</v>
      </c>
      <c r="AB71" s="19" t="s">
        <v>424</v>
      </c>
      <c r="AC71" s="46" t="s">
        <v>94</v>
      </c>
      <c r="AD71" s="15" t="str">
        <f ca="1">IF(AND($D71&lt;&gt;"",COUNTIF(OFFSET(UFS!$E$2,MATCH($D71&amp;"",UFS!$A$2:$A$175,0)-1,0,COUNTIF(UFS!$A$2:$A$175,$D71&amp;""),1),M71)&gt;0),"Valide","Invalide")</f>
        <v>Valide</v>
      </c>
      <c r="AH71" s="15" t="str">
        <f t="shared" si="1"/>
        <v>En attente</v>
      </c>
    </row>
    <row r="72" spans="1:34" s="15" customFormat="1" ht="45" hidden="1" customHeight="1" x14ac:dyDescent="0.3">
      <c r="A72" s="42">
        <v>71</v>
      </c>
      <c r="B72" s="19" t="s">
        <v>425</v>
      </c>
      <c r="C72" s="19" t="s">
        <v>35</v>
      </c>
      <c r="D72" s="20" t="s">
        <v>251</v>
      </c>
      <c r="E72" s="20" t="s">
        <v>79</v>
      </c>
      <c r="F72" s="21" t="s">
        <v>80</v>
      </c>
      <c r="G72" s="38" t="s">
        <v>182</v>
      </c>
      <c r="H72" s="39" t="s">
        <v>426</v>
      </c>
      <c r="I72" s="39" t="s">
        <v>83</v>
      </c>
      <c r="J72" s="21" t="s">
        <v>144</v>
      </c>
      <c r="K72" s="21" t="s">
        <v>145</v>
      </c>
      <c r="L72" s="21" t="s">
        <v>254</v>
      </c>
      <c r="M72" s="21" t="s">
        <v>255</v>
      </c>
      <c r="N72" s="21" t="s">
        <v>256</v>
      </c>
      <c r="O72" s="20" t="s">
        <v>427</v>
      </c>
      <c r="P72" s="45">
        <v>45639</v>
      </c>
      <c r="Q72" s="39" t="s">
        <v>428</v>
      </c>
      <c r="R72" s="19">
        <v>6152.64</v>
      </c>
      <c r="S72" s="21">
        <v>0.2</v>
      </c>
      <c r="T72" s="21">
        <v>7383.1680000000006</v>
      </c>
      <c r="U72" s="60" t="s">
        <v>429</v>
      </c>
      <c r="V72" s="22">
        <v>45833</v>
      </c>
      <c r="W72" s="54" t="s">
        <v>91</v>
      </c>
      <c r="X72" s="23" t="s">
        <v>430</v>
      </c>
      <c r="Y72" s="23" t="s">
        <v>347</v>
      </c>
      <c r="Z72" s="56" t="s">
        <v>431</v>
      </c>
      <c r="AA72" s="24"/>
      <c r="AB72" s="19"/>
      <c r="AC72" s="19"/>
      <c r="AD72" s="15" t="str">
        <f ca="1">IF(AND($D72&lt;&gt;"",COUNTIF(OFFSET(UFS!$E$2,MATCH($D72&amp;"",UFS!$A$2:$A$175,0)-1,0,COUNTIF(UFS!$A$2:$A$175,$D72&amp;""),1),M72)&gt;0),"Valide","Invalide")</f>
        <v>Valide</v>
      </c>
      <c r="AH72" s="15" t="str">
        <f t="shared" si="1"/>
        <v>En attente</v>
      </c>
    </row>
    <row r="73" spans="1:34" s="15" customFormat="1" ht="57.6" hidden="1" x14ac:dyDescent="0.3">
      <c r="A73" s="42">
        <v>72</v>
      </c>
      <c r="B73" s="19" t="s">
        <v>20</v>
      </c>
      <c r="C73" s="19" t="s">
        <v>1</v>
      </c>
      <c r="D73" s="20" t="s">
        <v>432</v>
      </c>
      <c r="E73" s="20" t="s">
        <v>79</v>
      </c>
      <c r="F73" s="21" t="s">
        <v>433</v>
      </c>
      <c r="G73" s="38" t="s">
        <v>81</v>
      </c>
      <c r="H73" s="39" t="s">
        <v>82</v>
      </c>
      <c r="I73" s="39" t="s">
        <v>83</v>
      </c>
      <c r="J73" s="21" t="s">
        <v>144</v>
      </c>
      <c r="K73" s="21" t="s">
        <v>145</v>
      </c>
      <c r="L73" s="21" t="s">
        <v>434</v>
      </c>
      <c r="M73" s="21" t="s">
        <v>435</v>
      </c>
      <c r="N73" s="21" t="s">
        <v>436</v>
      </c>
      <c r="O73" s="20" t="s">
        <v>437</v>
      </c>
      <c r="P73" s="45">
        <v>45611</v>
      </c>
      <c r="Q73" s="59" t="s">
        <v>438</v>
      </c>
      <c r="R73" s="19">
        <v>561.25</v>
      </c>
      <c r="S73" s="21">
        <v>0.1</v>
      </c>
      <c r="T73" s="21">
        <v>617.375</v>
      </c>
      <c r="U73" s="60" t="s">
        <v>439</v>
      </c>
      <c r="V73" s="22">
        <v>45673</v>
      </c>
      <c r="W73" s="54" t="s">
        <v>91</v>
      </c>
      <c r="X73" s="23"/>
      <c r="Y73" s="23" t="s">
        <v>92</v>
      </c>
      <c r="Z73" s="56"/>
      <c r="AA73" s="24">
        <v>67</v>
      </c>
      <c r="AB73" s="19"/>
      <c r="AC73" s="46" t="s">
        <v>94</v>
      </c>
      <c r="AD73" s="15" t="str">
        <f ca="1">IF(AND($D73&lt;&gt;"",COUNTIF(OFFSET(UFS!$E$2,MATCH($D73&amp;"",UFS!$A$2:$A$175,0)-1,0,COUNTIF(UFS!$A$2:$A$175,$D73&amp;""),1),M73)&gt;0),"Valide","Invalide")</f>
        <v>Valide</v>
      </c>
      <c r="AH73" s="15" t="str">
        <f t="shared" si="1"/>
        <v>En attente</v>
      </c>
    </row>
    <row r="74" spans="1:34" s="15" customFormat="1" ht="57.6" hidden="1" x14ac:dyDescent="0.3">
      <c r="A74" s="42">
        <v>73</v>
      </c>
      <c r="B74" s="19" t="s">
        <v>20</v>
      </c>
      <c r="C74" s="19" t="s">
        <v>1</v>
      </c>
      <c r="D74" s="20" t="s">
        <v>112</v>
      </c>
      <c r="E74" s="20" t="s">
        <v>79</v>
      </c>
      <c r="F74" s="21" t="s">
        <v>80</v>
      </c>
      <c r="G74" s="38" t="s">
        <v>81</v>
      </c>
      <c r="H74" s="39" t="s">
        <v>82</v>
      </c>
      <c r="I74" s="39" t="s">
        <v>83</v>
      </c>
      <c r="J74" s="21" t="s">
        <v>84</v>
      </c>
      <c r="K74" s="21" t="s">
        <v>113</v>
      </c>
      <c r="L74" s="21" t="s">
        <v>114</v>
      </c>
      <c r="M74" s="21" t="s">
        <v>115</v>
      </c>
      <c r="N74" s="21" t="s">
        <v>102</v>
      </c>
      <c r="O74" s="20" t="s">
        <v>440</v>
      </c>
      <c r="P74" s="45">
        <v>45611</v>
      </c>
      <c r="Q74" s="39" t="s">
        <v>441</v>
      </c>
      <c r="R74" s="19">
        <v>189.34</v>
      </c>
      <c r="S74" s="21">
        <v>0.1</v>
      </c>
      <c r="T74" s="21">
        <v>208.274</v>
      </c>
      <c r="U74" s="44" t="s">
        <v>439</v>
      </c>
      <c r="V74" s="22">
        <v>45673</v>
      </c>
      <c r="W74" s="54" t="s">
        <v>91</v>
      </c>
      <c r="X74" s="23"/>
      <c r="Y74" s="23" t="s">
        <v>92</v>
      </c>
      <c r="Z74" s="56"/>
      <c r="AA74" s="24">
        <v>62</v>
      </c>
      <c r="AB74" s="19"/>
      <c r="AC74" s="46" t="s">
        <v>94</v>
      </c>
      <c r="AD74" s="15" t="str">
        <f ca="1">IF(AND($D74&lt;&gt;"",COUNTIF(OFFSET(UFS!$E$2,MATCH($D74&amp;"",UFS!$A$2:$A$175,0)-1,0,COUNTIF(UFS!$A$2:$A$175,$D74&amp;""),1),M74)&gt;0),"Valide","Invalide")</f>
        <v>Valide</v>
      </c>
      <c r="AH74" s="15" t="str">
        <f t="shared" si="1"/>
        <v>En attente</v>
      </c>
    </row>
    <row r="75" spans="1:34" s="15" customFormat="1" ht="45" hidden="1" customHeight="1" x14ac:dyDescent="0.3">
      <c r="A75" s="42">
        <v>74</v>
      </c>
      <c r="B75" s="19" t="s">
        <v>20</v>
      </c>
      <c r="C75" s="19" t="s">
        <v>1</v>
      </c>
      <c r="D75" s="20" t="s">
        <v>162</v>
      </c>
      <c r="E75" s="20" t="s">
        <v>79</v>
      </c>
      <c r="F75" s="21" t="s">
        <v>80</v>
      </c>
      <c r="G75" s="38" t="s">
        <v>81</v>
      </c>
      <c r="H75" s="39" t="s">
        <v>82</v>
      </c>
      <c r="I75" s="39" t="s">
        <v>83</v>
      </c>
      <c r="J75" s="21" t="s">
        <v>144</v>
      </c>
      <c r="K75" s="21" t="s">
        <v>145</v>
      </c>
      <c r="L75" s="21" t="s">
        <v>120</v>
      </c>
      <c r="M75" s="21" t="s">
        <v>164</v>
      </c>
      <c r="N75" s="21" t="s">
        <v>165</v>
      </c>
      <c r="O75" s="20" t="s">
        <v>442</v>
      </c>
      <c r="P75" s="45">
        <v>45638</v>
      </c>
      <c r="Q75" s="39" t="s">
        <v>443</v>
      </c>
      <c r="R75" s="19">
        <v>184.83</v>
      </c>
      <c r="S75" s="21">
        <v>0.2</v>
      </c>
      <c r="T75" s="21">
        <v>221.79600000000002</v>
      </c>
      <c r="U75" s="44" t="s">
        <v>439</v>
      </c>
      <c r="V75" s="22">
        <v>45673</v>
      </c>
      <c r="W75" s="54" t="s">
        <v>91</v>
      </c>
      <c r="X75" s="23"/>
      <c r="Y75" s="23" t="s">
        <v>92</v>
      </c>
      <c r="Z75" s="56"/>
      <c r="AA75" s="24">
        <v>104</v>
      </c>
      <c r="AB75" s="19"/>
      <c r="AC75" s="46" t="s">
        <v>94</v>
      </c>
      <c r="AD75" s="15" t="e">
        <f ca="1">IF(AND($D75&lt;&gt;"",COUNTIF(OFFSET(UFS!$E$2,MATCH($D75&amp;"",UFS!$A$2:$A$175,0)-1,0,COUNTIF(UFS!$A$2:$A$175,$D75&amp;""),1),M75)&gt;0),"Valide","Invalide")</f>
        <v>#N/A</v>
      </c>
      <c r="AH75" s="15" t="str">
        <f t="shared" si="1"/>
        <v>En attente</v>
      </c>
    </row>
    <row r="76" spans="1:34" s="15" customFormat="1" ht="45" hidden="1" customHeight="1" x14ac:dyDescent="0.3">
      <c r="A76" s="42">
        <v>75</v>
      </c>
      <c r="B76" s="19" t="s">
        <v>20</v>
      </c>
      <c r="C76" s="19" t="s">
        <v>1</v>
      </c>
      <c r="D76" s="20" t="s">
        <v>181</v>
      </c>
      <c r="E76" s="20" t="s">
        <v>79</v>
      </c>
      <c r="F76" s="21" t="s">
        <v>80</v>
      </c>
      <c r="G76" s="38" t="s">
        <v>81</v>
      </c>
      <c r="H76" s="39" t="s">
        <v>82</v>
      </c>
      <c r="I76" s="39" t="s">
        <v>83</v>
      </c>
      <c r="J76" s="21" t="s">
        <v>183</v>
      </c>
      <c r="K76" s="21" t="s">
        <v>184</v>
      </c>
      <c r="L76" s="21" t="s">
        <v>185</v>
      </c>
      <c r="M76" s="21" t="s">
        <v>186</v>
      </c>
      <c r="N76" s="21" t="s">
        <v>102</v>
      </c>
      <c r="O76" s="20" t="s">
        <v>444</v>
      </c>
      <c r="P76" s="45">
        <v>45638</v>
      </c>
      <c r="Q76" s="39" t="s">
        <v>445</v>
      </c>
      <c r="R76" s="19">
        <v>139.75</v>
      </c>
      <c r="S76" s="21">
        <v>0.1</v>
      </c>
      <c r="T76" s="21">
        <v>153.72499999999999</v>
      </c>
      <c r="U76" s="44" t="s">
        <v>439</v>
      </c>
      <c r="V76" s="22">
        <v>45673</v>
      </c>
      <c r="W76" s="54" t="s">
        <v>91</v>
      </c>
      <c r="X76" s="23"/>
      <c r="Y76" s="23" t="s">
        <v>92</v>
      </c>
      <c r="Z76" s="56" t="s">
        <v>446</v>
      </c>
      <c r="AA76" s="24">
        <v>64</v>
      </c>
      <c r="AB76" s="19"/>
      <c r="AC76" s="46" t="s">
        <v>94</v>
      </c>
      <c r="AD76" s="15" t="str">
        <f ca="1">IF(AND($D76&lt;&gt;"",COUNTIF(OFFSET(UFS!$E$2,MATCH($D76&amp;"",UFS!$A$2:$A$175,0)-1,0,COUNTIF(UFS!$A$2:$A$175,$D76&amp;""),1),M76)&gt;0),"Valide","Invalide")</f>
        <v>Valide</v>
      </c>
      <c r="AH76" s="15" t="str">
        <f t="shared" si="1"/>
        <v>En attente</v>
      </c>
    </row>
    <row r="77" spans="1:34" s="15" customFormat="1" ht="45" hidden="1" customHeight="1" x14ac:dyDescent="0.3">
      <c r="A77" s="42">
        <v>76</v>
      </c>
      <c r="B77" s="19" t="s">
        <v>20</v>
      </c>
      <c r="C77" s="19" t="s">
        <v>1</v>
      </c>
      <c r="D77" s="20" t="s">
        <v>95</v>
      </c>
      <c r="E77" s="20" t="s">
        <v>79</v>
      </c>
      <c r="F77" s="21" t="s">
        <v>80</v>
      </c>
      <c r="G77" s="38" t="s">
        <v>81</v>
      </c>
      <c r="H77" s="39" t="s">
        <v>82</v>
      </c>
      <c r="I77" s="39" t="s">
        <v>83</v>
      </c>
      <c r="J77" s="21" t="s">
        <v>98</v>
      </c>
      <c r="K77" s="21" t="s">
        <v>99</v>
      </c>
      <c r="L77" s="21" t="s">
        <v>100</v>
      </c>
      <c r="M77" s="21" t="s">
        <v>101</v>
      </c>
      <c r="N77" s="21" t="s">
        <v>102</v>
      </c>
      <c r="O77" s="20" t="s">
        <v>447</v>
      </c>
      <c r="P77" s="45">
        <v>45638</v>
      </c>
      <c r="Q77" s="39" t="s">
        <v>448</v>
      </c>
      <c r="R77" s="19">
        <v>2189.9899999999998</v>
      </c>
      <c r="S77" s="21">
        <v>0.1</v>
      </c>
      <c r="T77" s="21">
        <v>2408.9889999999996</v>
      </c>
      <c r="U77" s="44" t="s">
        <v>439</v>
      </c>
      <c r="V77" s="22">
        <v>45673</v>
      </c>
      <c r="W77" s="54" t="s">
        <v>91</v>
      </c>
      <c r="X77" s="23"/>
      <c r="Y77" s="23" t="s">
        <v>92</v>
      </c>
      <c r="Z77" s="56"/>
      <c r="AA77" s="24">
        <v>68</v>
      </c>
      <c r="AB77" s="19"/>
      <c r="AC77" s="46" t="s">
        <v>94</v>
      </c>
      <c r="AD77" s="15" t="str">
        <f ca="1">IF(AND($D77&lt;&gt;"",COUNTIF(OFFSET(UFS!$E$2,MATCH($D77&amp;"",UFS!$A$2:$A$175,0)-1,0,COUNTIF(UFS!$A$2:$A$175,$D77&amp;""),1),M77)&gt;0),"Valide","Invalide")</f>
        <v>Valide</v>
      </c>
      <c r="AH77" s="15" t="str">
        <f t="shared" si="1"/>
        <v>En attente</v>
      </c>
    </row>
    <row r="78" spans="1:34" s="15" customFormat="1" ht="45" hidden="1" customHeight="1" x14ac:dyDescent="0.3">
      <c r="A78" s="42">
        <v>77</v>
      </c>
      <c r="B78" s="19" t="s">
        <v>20</v>
      </c>
      <c r="C78" s="19" t="s">
        <v>1</v>
      </c>
      <c r="D78" s="20" t="s">
        <v>449</v>
      </c>
      <c r="E78" s="20" t="s">
        <v>79</v>
      </c>
      <c r="F78" s="21" t="s">
        <v>80</v>
      </c>
      <c r="G78" s="38" t="s">
        <v>81</v>
      </c>
      <c r="H78" s="39" t="s">
        <v>82</v>
      </c>
      <c r="I78" s="39" t="s">
        <v>83</v>
      </c>
      <c r="J78" s="21" t="s">
        <v>84</v>
      </c>
      <c r="K78" s="21" t="s">
        <v>113</v>
      </c>
      <c r="L78" s="21" t="s">
        <v>86</v>
      </c>
      <c r="M78" s="21" t="s">
        <v>115</v>
      </c>
      <c r="N78" s="21" t="s">
        <v>102</v>
      </c>
      <c r="O78" s="20" t="s">
        <v>450</v>
      </c>
      <c r="P78" s="45">
        <v>45642</v>
      </c>
      <c r="Q78" s="39" t="s">
        <v>451</v>
      </c>
      <c r="R78" s="19">
        <v>565.75</v>
      </c>
      <c r="S78" s="21">
        <v>0.1</v>
      </c>
      <c r="T78" s="21">
        <v>622.32500000000005</v>
      </c>
      <c r="U78" s="44" t="s">
        <v>439</v>
      </c>
      <c r="V78" s="22">
        <v>45673</v>
      </c>
      <c r="W78" s="54" t="s">
        <v>91</v>
      </c>
      <c r="X78" s="23"/>
      <c r="Y78" s="23" t="s">
        <v>92</v>
      </c>
      <c r="Z78" s="56"/>
      <c r="AA78" s="24">
        <v>69</v>
      </c>
      <c r="AB78" s="19"/>
      <c r="AC78" s="46" t="s">
        <v>94</v>
      </c>
      <c r="AD78" s="15" t="e">
        <f ca="1">IF(AND($D78&lt;&gt;"",COUNTIF(OFFSET(UFS!$E$2,MATCH($D78&amp;"",UFS!$A$2:$A$175,0)-1,0,COUNTIF(UFS!$A$2:$A$175,$D78&amp;""),1),M78)&gt;0),"Valide","Invalide")</f>
        <v>#N/A</v>
      </c>
      <c r="AH78" s="15" t="str">
        <f t="shared" si="1"/>
        <v>En attente</v>
      </c>
    </row>
    <row r="79" spans="1:34" s="15" customFormat="1" ht="45" hidden="1" customHeight="1" x14ac:dyDescent="0.3">
      <c r="A79" s="42">
        <v>78</v>
      </c>
      <c r="B79" s="19" t="s">
        <v>20</v>
      </c>
      <c r="C79" s="19" t="s">
        <v>1</v>
      </c>
      <c r="D79" s="20" t="s">
        <v>152</v>
      </c>
      <c r="E79" s="20" t="s">
        <v>79</v>
      </c>
      <c r="F79" s="21" t="s">
        <v>80</v>
      </c>
      <c r="G79" s="38" t="s">
        <v>81</v>
      </c>
      <c r="H79" s="39" t="s">
        <v>82</v>
      </c>
      <c r="I79" s="39" t="s">
        <v>83</v>
      </c>
      <c r="J79" s="21" t="s">
        <v>84</v>
      </c>
      <c r="K79" s="21" t="s">
        <v>113</v>
      </c>
      <c r="L79" s="21" t="s">
        <v>86</v>
      </c>
      <c r="M79" s="21" t="s">
        <v>115</v>
      </c>
      <c r="N79" s="21" t="s">
        <v>102</v>
      </c>
      <c r="O79" s="20" t="s">
        <v>452</v>
      </c>
      <c r="P79" s="45">
        <v>45649</v>
      </c>
      <c r="Q79" s="39" t="s">
        <v>453</v>
      </c>
      <c r="R79" s="19">
        <v>94.67</v>
      </c>
      <c r="S79" s="21">
        <v>0.1</v>
      </c>
      <c r="T79" s="21">
        <v>104.137</v>
      </c>
      <c r="U79" s="44" t="s">
        <v>439</v>
      </c>
      <c r="V79" s="22">
        <v>45673</v>
      </c>
      <c r="W79" s="54" t="s">
        <v>91</v>
      </c>
      <c r="X79" s="23"/>
      <c r="Y79" s="23" t="s">
        <v>92</v>
      </c>
      <c r="Z79" s="56"/>
      <c r="AA79" s="24">
        <v>70</v>
      </c>
      <c r="AB79" s="19"/>
      <c r="AC79" s="46" t="s">
        <v>94</v>
      </c>
      <c r="AD79" s="15" t="str">
        <f ca="1">IF(AND($D79&lt;&gt;"",COUNTIF(OFFSET(UFS!$E$2,MATCH($D79&amp;"",UFS!$A$2:$A$175,0)-1,0,COUNTIF(UFS!$A$2:$A$175,$D79&amp;""),1),M79)&gt;0),"Valide","Invalide")</f>
        <v>Valide</v>
      </c>
      <c r="AH79" s="15" t="str">
        <f t="shared" si="1"/>
        <v>En attente</v>
      </c>
    </row>
    <row r="80" spans="1:34" s="15" customFormat="1" ht="45" hidden="1" customHeight="1" x14ac:dyDescent="0.3">
      <c r="A80" s="42">
        <v>79</v>
      </c>
      <c r="B80" s="19" t="s">
        <v>16</v>
      </c>
      <c r="C80" s="19" t="s">
        <v>30</v>
      </c>
      <c r="D80" s="20" t="s">
        <v>200</v>
      </c>
      <c r="E80" s="20" t="s">
        <v>79</v>
      </c>
      <c r="F80" s="21" t="s">
        <v>80</v>
      </c>
      <c r="G80" s="38" t="s">
        <v>81</v>
      </c>
      <c r="H80" s="39" t="s">
        <v>82</v>
      </c>
      <c r="I80" s="39" t="s">
        <v>83</v>
      </c>
      <c r="J80" s="21" t="s">
        <v>144</v>
      </c>
      <c r="K80" s="21" t="s">
        <v>145</v>
      </c>
      <c r="L80" s="21" t="s">
        <v>203</v>
      </c>
      <c r="M80" s="21" t="s">
        <v>109</v>
      </c>
      <c r="N80" s="21" t="s">
        <v>109</v>
      </c>
      <c r="O80" s="20" t="s">
        <v>454</v>
      </c>
      <c r="P80" s="45">
        <v>45673</v>
      </c>
      <c r="Q80" s="39" t="s">
        <v>455</v>
      </c>
      <c r="R80" s="19">
        <v>2186.38</v>
      </c>
      <c r="S80" s="21">
        <v>0.2</v>
      </c>
      <c r="T80" s="21">
        <v>2623.6559999999999</v>
      </c>
      <c r="U80" s="44" t="s">
        <v>456</v>
      </c>
      <c r="V80" s="22">
        <v>45674</v>
      </c>
      <c r="W80" s="54" t="s">
        <v>91</v>
      </c>
      <c r="X80" s="23"/>
      <c r="Y80" s="23" t="s">
        <v>92</v>
      </c>
      <c r="Z80" s="56"/>
      <c r="AA80" s="24">
        <v>71</v>
      </c>
      <c r="AB80" s="19"/>
      <c r="AC80" s="46" t="s">
        <v>94</v>
      </c>
      <c r="AD80" s="15" t="e">
        <f ca="1">IF(AND($D80&lt;&gt;"",COUNTIF(OFFSET(UFS!$E$2,MATCH($D80&amp;"",UFS!$A$2:$A$175,0)-1,0,COUNTIF(UFS!$A$2:$A$175,$D80&amp;""),1),M80)&gt;0),"Valide","Invalide")</f>
        <v>#N/A</v>
      </c>
      <c r="AH80" s="15" t="str">
        <f t="shared" si="1"/>
        <v>En attente</v>
      </c>
    </row>
    <row r="81" spans="1:34" s="15" customFormat="1" ht="45" hidden="1" customHeight="1" x14ac:dyDescent="0.3">
      <c r="A81" s="42">
        <v>80</v>
      </c>
      <c r="B81" s="19" t="s">
        <v>24</v>
      </c>
      <c r="C81" s="19" t="s">
        <v>34</v>
      </c>
      <c r="D81" s="20" t="s">
        <v>123</v>
      </c>
      <c r="E81" s="20" t="s">
        <v>79</v>
      </c>
      <c r="F81" s="21" t="s">
        <v>80</v>
      </c>
      <c r="G81" s="38" t="s">
        <v>81</v>
      </c>
      <c r="H81" s="39" t="s">
        <v>267</v>
      </c>
      <c r="I81" s="39" t="s">
        <v>83</v>
      </c>
      <c r="J81" s="21" t="s">
        <v>124</v>
      </c>
      <c r="K81" s="21" t="s">
        <v>125</v>
      </c>
      <c r="L81" s="21" t="s">
        <v>126</v>
      </c>
      <c r="M81" s="21" t="s">
        <v>109</v>
      </c>
      <c r="N81" s="21" t="s">
        <v>109</v>
      </c>
      <c r="O81" s="38" t="s">
        <v>457</v>
      </c>
      <c r="P81" s="45">
        <v>45673</v>
      </c>
      <c r="Q81" s="39" t="s">
        <v>458</v>
      </c>
      <c r="R81" s="19">
        <v>1451.41</v>
      </c>
      <c r="S81" s="21">
        <v>0.1</v>
      </c>
      <c r="T81" s="21">
        <v>1596.5510000000002</v>
      </c>
      <c r="U81" s="44" t="s">
        <v>459</v>
      </c>
      <c r="V81" s="22">
        <v>45674</v>
      </c>
      <c r="W81" s="54" t="s">
        <v>91</v>
      </c>
      <c r="X81" s="23"/>
      <c r="Y81" s="23" t="s">
        <v>92</v>
      </c>
      <c r="Z81" s="56"/>
      <c r="AA81" s="24">
        <v>76</v>
      </c>
      <c r="AB81" s="19"/>
      <c r="AC81" s="46" t="s">
        <v>94</v>
      </c>
      <c r="AD81" s="15" t="str">
        <f ca="1">IF(AND($D81&lt;&gt;"",COUNTIF(OFFSET(UFS!$E$2,MATCH($D81&amp;"",UFS!$A$2:$A$175,0)-1,0,COUNTIF(UFS!$A$2:$A$175,$D81&amp;""),1),M81)&gt;0),"Valide","Invalide")</f>
        <v>Valide</v>
      </c>
      <c r="AH81" s="15" t="str">
        <f t="shared" si="1"/>
        <v>En attente</v>
      </c>
    </row>
    <row r="82" spans="1:34" s="15" customFormat="1" ht="45" customHeight="1" x14ac:dyDescent="0.3">
      <c r="A82" s="42">
        <v>81</v>
      </c>
      <c r="B82" s="19" t="s">
        <v>24</v>
      </c>
      <c r="C82" s="19" t="s">
        <v>28</v>
      </c>
      <c r="D82" s="20" t="s">
        <v>460</v>
      </c>
      <c r="E82" s="20" t="s">
        <v>79</v>
      </c>
      <c r="F82" s="21" t="s">
        <v>80</v>
      </c>
      <c r="G82" s="38" t="s">
        <v>81</v>
      </c>
      <c r="H82" s="39" t="s">
        <v>82</v>
      </c>
      <c r="I82" s="39" t="s">
        <v>83</v>
      </c>
      <c r="J82" s="21" t="s">
        <v>461</v>
      </c>
      <c r="K82" s="21" t="s">
        <v>145</v>
      </c>
      <c r="L82" s="21" t="s">
        <v>120</v>
      </c>
      <c r="M82" s="21" t="s">
        <v>343</v>
      </c>
      <c r="N82" s="21" t="s">
        <v>87</v>
      </c>
      <c r="O82" s="20" t="s">
        <v>462</v>
      </c>
      <c r="P82" s="45">
        <v>45674</v>
      </c>
      <c r="Q82" s="39" t="s">
        <v>394</v>
      </c>
      <c r="R82" s="19">
        <v>9823.8700000000008</v>
      </c>
      <c r="S82" s="21">
        <v>0.2</v>
      </c>
      <c r="T82" s="21">
        <v>11788.644</v>
      </c>
      <c r="U82" s="60" t="s">
        <v>463</v>
      </c>
      <c r="V82" s="22">
        <v>45686</v>
      </c>
      <c r="W82" s="54"/>
      <c r="X82" s="23"/>
      <c r="Y82" s="23" t="s">
        <v>92</v>
      </c>
      <c r="Z82" s="56"/>
      <c r="AA82" s="24">
        <v>72</v>
      </c>
      <c r="AB82" s="19" t="s">
        <v>356</v>
      </c>
      <c r="AC82" s="49" t="s">
        <v>161</v>
      </c>
      <c r="AD82" s="15" t="str">
        <f ca="1">IF(AND($D82&lt;&gt;"",COUNTIF(OFFSET(UFS!$E$2,MATCH($D82&amp;"",UFS!$A$2:$A$175,0)-1,0,COUNTIF(UFS!$A$2:$A$175,$D82&amp;""),1),M82)&gt;0),"Valide","Invalide")</f>
        <v>Valide</v>
      </c>
      <c r="AH82" s="15" t="str">
        <f t="shared" si="1"/>
        <v>En attente</v>
      </c>
    </row>
    <row r="83" spans="1:34" s="15" customFormat="1" ht="45" hidden="1" customHeight="1" x14ac:dyDescent="0.3">
      <c r="A83" s="42">
        <v>82</v>
      </c>
      <c r="B83" s="19" t="s">
        <v>16</v>
      </c>
      <c r="C83" s="19" t="s">
        <v>5</v>
      </c>
      <c r="D83" s="20" t="s">
        <v>464</v>
      </c>
      <c r="E83" s="20" t="s">
        <v>79</v>
      </c>
      <c r="F83" s="21" t="s">
        <v>80</v>
      </c>
      <c r="G83" s="38" t="s">
        <v>182</v>
      </c>
      <c r="H83" s="39" t="s">
        <v>82</v>
      </c>
      <c r="I83" s="39" t="s">
        <v>83</v>
      </c>
      <c r="J83" s="21" t="s">
        <v>144</v>
      </c>
      <c r="K83" s="21" t="s">
        <v>350</v>
      </c>
      <c r="L83" s="21" t="s">
        <v>278</v>
      </c>
      <c r="M83" s="21" t="s">
        <v>351</v>
      </c>
      <c r="N83" s="21" t="s">
        <v>151</v>
      </c>
      <c r="O83" s="20" t="s">
        <v>465</v>
      </c>
      <c r="P83" s="45">
        <v>45674</v>
      </c>
      <c r="Q83" s="39" t="s">
        <v>466</v>
      </c>
      <c r="R83" s="19">
        <v>1355.64</v>
      </c>
      <c r="S83" s="21">
        <v>0.1</v>
      </c>
      <c r="T83" s="21">
        <v>1491.2040000000002</v>
      </c>
      <c r="U83" s="44" t="s">
        <v>467</v>
      </c>
      <c r="V83" s="22">
        <v>45677</v>
      </c>
      <c r="W83" s="54" t="s">
        <v>91</v>
      </c>
      <c r="X83" s="23"/>
      <c r="Y83" s="23" t="s">
        <v>92</v>
      </c>
      <c r="Z83" s="56"/>
      <c r="AA83" s="24">
        <v>66</v>
      </c>
      <c r="AB83" s="45">
        <v>45729</v>
      </c>
      <c r="AC83" s="46" t="s">
        <v>94</v>
      </c>
      <c r="AD83" s="15" t="str">
        <f ca="1">IF(AND($D83&lt;&gt;"",COUNTIF(OFFSET(UFS!$E$2,MATCH($D83&amp;"",UFS!$A$2:$A$175,0)-1,0,COUNTIF(UFS!$A$2:$A$175,$D83&amp;""),1),M83)&gt;0),"Valide","Invalide")</f>
        <v>Valide</v>
      </c>
      <c r="AH83" s="15" t="str">
        <f t="shared" si="1"/>
        <v>En attente</v>
      </c>
    </row>
    <row r="84" spans="1:34" s="15" customFormat="1" ht="45" hidden="1" customHeight="1" x14ac:dyDescent="0.3">
      <c r="A84" s="42">
        <v>83</v>
      </c>
      <c r="B84" s="19" t="s">
        <v>16</v>
      </c>
      <c r="C84" s="19" t="s">
        <v>5</v>
      </c>
      <c r="D84" s="20" t="s">
        <v>468</v>
      </c>
      <c r="E84" s="20" t="s">
        <v>79</v>
      </c>
      <c r="F84" s="21" t="s">
        <v>80</v>
      </c>
      <c r="G84" s="38" t="s">
        <v>182</v>
      </c>
      <c r="H84" s="39" t="s">
        <v>82</v>
      </c>
      <c r="I84" s="39" t="s">
        <v>83</v>
      </c>
      <c r="J84" s="21" t="s">
        <v>144</v>
      </c>
      <c r="K84" s="21" t="s">
        <v>145</v>
      </c>
      <c r="L84" s="21" t="s">
        <v>278</v>
      </c>
      <c r="M84" s="21" t="s">
        <v>469</v>
      </c>
      <c r="N84" s="21" t="s">
        <v>87</v>
      </c>
      <c r="O84" s="20" t="s">
        <v>470</v>
      </c>
      <c r="P84" s="45">
        <v>45671</v>
      </c>
      <c r="Q84" s="39" t="s">
        <v>471</v>
      </c>
      <c r="R84" s="19">
        <v>5779.44</v>
      </c>
      <c r="S84" s="21">
        <v>0.2</v>
      </c>
      <c r="T84" s="21">
        <v>6935.3279999999995</v>
      </c>
      <c r="U84" s="44" t="s">
        <v>472</v>
      </c>
      <c r="V84" s="22">
        <v>45677</v>
      </c>
      <c r="W84" s="54" t="s">
        <v>91</v>
      </c>
      <c r="X84" s="23"/>
      <c r="Y84" s="23" t="s">
        <v>92</v>
      </c>
      <c r="Z84" s="56"/>
      <c r="AA84" s="24">
        <v>73</v>
      </c>
      <c r="AB84" s="47">
        <v>45720</v>
      </c>
      <c r="AC84" s="46" t="s">
        <v>94</v>
      </c>
      <c r="AD84" s="15" t="str">
        <f ca="1">IF(AND($D84&lt;&gt;"",COUNTIF(OFFSET(UFS!$E$2,MATCH($D84&amp;"",UFS!$A$2:$A$175,0)-1,0,COUNTIF(UFS!$A$2:$A$175,$D84&amp;""),1),M84)&gt;0),"Valide","Invalide")</f>
        <v>Valide</v>
      </c>
      <c r="AH84" s="15" t="str">
        <f t="shared" si="1"/>
        <v>En attente</v>
      </c>
    </row>
    <row r="85" spans="1:34" s="15" customFormat="1" ht="45" hidden="1" customHeight="1" x14ac:dyDescent="0.3">
      <c r="A85" s="42">
        <v>84</v>
      </c>
      <c r="B85" s="19" t="s">
        <v>16</v>
      </c>
      <c r="C85" s="19" t="s">
        <v>28</v>
      </c>
      <c r="D85" s="20" t="s">
        <v>473</v>
      </c>
      <c r="E85" s="20" t="s">
        <v>79</v>
      </c>
      <c r="F85" s="21" t="s">
        <v>80</v>
      </c>
      <c r="G85" s="38" t="s">
        <v>182</v>
      </c>
      <c r="H85" s="39" t="s">
        <v>82</v>
      </c>
      <c r="I85" s="39" t="s">
        <v>83</v>
      </c>
      <c r="J85" s="21" t="s">
        <v>268</v>
      </c>
      <c r="K85" s="21" t="s">
        <v>269</v>
      </c>
      <c r="L85" s="21" t="s">
        <v>270</v>
      </c>
      <c r="M85" s="21" t="s">
        <v>269</v>
      </c>
      <c r="N85" s="21" t="s">
        <v>87</v>
      </c>
      <c r="O85" s="20" t="s">
        <v>474</v>
      </c>
      <c r="P85" s="45">
        <v>45674</v>
      </c>
      <c r="Q85" s="39" t="s">
        <v>475</v>
      </c>
      <c r="R85" s="19">
        <v>4885.1499999999996</v>
      </c>
      <c r="S85" s="21">
        <v>0.2</v>
      </c>
      <c r="T85" s="21">
        <v>5862.1799999999994</v>
      </c>
      <c r="U85" s="44" t="s">
        <v>476</v>
      </c>
      <c r="V85" s="22">
        <v>45677</v>
      </c>
      <c r="W85" s="54" t="s">
        <v>91</v>
      </c>
      <c r="X85" s="23"/>
      <c r="Y85" s="23" t="s">
        <v>92</v>
      </c>
      <c r="Z85" s="56"/>
      <c r="AA85" s="24">
        <v>74</v>
      </c>
      <c r="AB85" s="47">
        <v>45705</v>
      </c>
      <c r="AC85" s="46" t="s">
        <v>94</v>
      </c>
      <c r="AD85" s="15" t="str">
        <f ca="1">IF(AND($D85&lt;&gt;"",COUNTIF(OFFSET(UFS!$E$2,MATCH($D85&amp;"",UFS!$A$2:$A$175,0)-1,0,COUNTIF(UFS!$A$2:$A$175,$D85&amp;""),1),M85)&gt;0),"Valide","Invalide")</f>
        <v>Valide</v>
      </c>
      <c r="AH85" s="15" t="str">
        <f t="shared" si="1"/>
        <v>En attente</v>
      </c>
    </row>
    <row r="86" spans="1:34" s="15" customFormat="1" ht="45" hidden="1" customHeight="1" x14ac:dyDescent="0.3">
      <c r="A86" s="42">
        <v>85</v>
      </c>
      <c r="B86" s="19" t="s">
        <v>20</v>
      </c>
      <c r="C86" s="19" t="s">
        <v>7</v>
      </c>
      <c r="D86" s="20" t="s">
        <v>413</v>
      </c>
      <c r="E86" s="20" t="s">
        <v>79</v>
      </c>
      <c r="F86" s="21" t="s">
        <v>80</v>
      </c>
      <c r="G86" s="38" t="s">
        <v>241</v>
      </c>
      <c r="H86" s="39" t="s">
        <v>261</v>
      </c>
      <c r="I86" s="39" t="s">
        <v>262</v>
      </c>
      <c r="J86" s="21" t="s">
        <v>183</v>
      </c>
      <c r="K86" s="21" t="s">
        <v>184</v>
      </c>
      <c r="L86" s="21" t="s">
        <v>185</v>
      </c>
      <c r="M86" s="21" t="s">
        <v>109</v>
      </c>
      <c r="N86" s="21" t="s">
        <v>109</v>
      </c>
      <c r="O86" s="20" t="s">
        <v>477</v>
      </c>
      <c r="P86" s="45">
        <v>45615</v>
      </c>
      <c r="Q86" s="39" t="s">
        <v>478</v>
      </c>
      <c r="R86" s="19">
        <v>2632.5</v>
      </c>
      <c r="S86" s="21">
        <v>0.1</v>
      </c>
      <c r="T86" s="21">
        <v>2895.75</v>
      </c>
      <c r="U86" s="44" t="s">
        <v>265</v>
      </c>
      <c r="V86" s="22">
        <v>45677</v>
      </c>
      <c r="W86" s="54" t="s">
        <v>91</v>
      </c>
      <c r="X86" s="23"/>
      <c r="Y86" s="23" t="s">
        <v>92</v>
      </c>
      <c r="Z86" s="56"/>
      <c r="AA86" s="24">
        <v>80</v>
      </c>
      <c r="AB86" s="19"/>
      <c r="AC86" s="19"/>
      <c r="AD86" s="15" t="str">
        <f ca="1">IF(AND($D86&lt;&gt;"",COUNTIF(OFFSET(UFS!$E$2,MATCH($D86&amp;"",UFS!$A$2:$A$175,0)-1,0,COUNTIF(UFS!$A$2:$A$175,$D86&amp;""),1),M86)&gt;0),"Valide","Invalide")</f>
        <v>Valide</v>
      </c>
      <c r="AH86" s="15" t="str">
        <f t="shared" si="1"/>
        <v>En attente</v>
      </c>
    </row>
    <row r="87" spans="1:34" s="15" customFormat="1" ht="45" hidden="1" customHeight="1" x14ac:dyDescent="0.3">
      <c r="A87" s="42">
        <v>86</v>
      </c>
      <c r="B87" s="19" t="s">
        <v>20</v>
      </c>
      <c r="C87" s="19" t="s">
        <v>7</v>
      </c>
      <c r="D87" s="20" t="s">
        <v>413</v>
      </c>
      <c r="E87" s="20" t="s">
        <v>79</v>
      </c>
      <c r="F87" s="21" t="s">
        <v>80</v>
      </c>
      <c r="G87" s="38" t="s">
        <v>241</v>
      </c>
      <c r="H87" s="39" t="s">
        <v>261</v>
      </c>
      <c r="I87" s="39" t="s">
        <v>262</v>
      </c>
      <c r="J87" s="21" t="s">
        <v>183</v>
      </c>
      <c r="K87" s="21" t="s">
        <v>184</v>
      </c>
      <c r="L87" s="21" t="s">
        <v>185</v>
      </c>
      <c r="M87" s="21" t="s">
        <v>109</v>
      </c>
      <c r="N87" s="21" t="s">
        <v>109</v>
      </c>
      <c r="O87" s="20" t="s">
        <v>479</v>
      </c>
      <c r="P87" s="45">
        <v>45618</v>
      </c>
      <c r="Q87" s="39" t="s">
        <v>480</v>
      </c>
      <c r="R87" s="19">
        <v>13065</v>
      </c>
      <c r="S87" s="21">
        <v>0.1</v>
      </c>
      <c r="T87" s="21">
        <v>14371.5</v>
      </c>
      <c r="U87" s="44" t="s">
        <v>265</v>
      </c>
      <c r="V87" s="22">
        <v>45677</v>
      </c>
      <c r="W87" s="54" t="s">
        <v>91</v>
      </c>
      <c r="X87" s="23"/>
      <c r="Y87" s="23" t="s">
        <v>92</v>
      </c>
      <c r="Z87" s="56"/>
      <c r="AA87" s="24">
        <v>81</v>
      </c>
      <c r="AB87" s="19"/>
      <c r="AC87" s="19"/>
      <c r="AD87" s="15" t="str">
        <f ca="1">IF(AND($D87&lt;&gt;"",COUNTIF(OFFSET(UFS!$E$2,MATCH($D87&amp;"",UFS!$A$2:$A$175,0)-1,0,COUNTIF(UFS!$A$2:$A$175,$D87&amp;""),1),M87)&gt;0),"Valide","Invalide")</f>
        <v>Valide</v>
      </c>
      <c r="AH87" s="15" t="str">
        <f t="shared" si="1"/>
        <v>En attente</v>
      </c>
    </row>
    <row r="88" spans="1:34" s="15" customFormat="1" ht="45" hidden="1" customHeight="1" x14ac:dyDescent="0.3">
      <c r="A88" s="42">
        <v>87</v>
      </c>
      <c r="B88" s="19" t="s">
        <v>4</v>
      </c>
      <c r="C88" s="19" t="s">
        <v>36</v>
      </c>
      <c r="D88" s="20" t="s">
        <v>123</v>
      </c>
      <c r="E88" s="20" t="s">
        <v>79</v>
      </c>
      <c r="F88" s="21" t="s">
        <v>80</v>
      </c>
      <c r="G88" s="38" t="s">
        <v>241</v>
      </c>
      <c r="H88" s="39" t="s">
        <v>252</v>
      </c>
      <c r="I88" s="39" t="s">
        <v>253</v>
      </c>
      <c r="J88" s="21" t="s">
        <v>124</v>
      </c>
      <c r="K88" s="21" t="s">
        <v>125</v>
      </c>
      <c r="L88" s="21" t="s">
        <v>126</v>
      </c>
      <c r="M88" s="21" t="s">
        <v>109</v>
      </c>
      <c r="N88" s="21" t="s">
        <v>109</v>
      </c>
      <c r="O88" s="20" t="s">
        <v>481</v>
      </c>
      <c r="P88" s="45">
        <v>45667</v>
      </c>
      <c r="Q88" s="39" t="s">
        <v>482</v>
      </c>
      <c r="R88" s="19">
        <v>1053</v>
      </c>
      <c r="S88" s="21">
        <v>0.1</v>
      </c>
      <c r="T88" s="21">
        <v>1158.3</v>
      </c>
      <c r="U88" s="44" t="s">
        <v>483</v>
      </c>
      <c r="V88" s="22">
        <v>45677</v>
      </c>
      <c r="W88" s="54" t="s">
        <v>91</v>
      </c>
      <c r="X88" s="23"/>
      <c r="Y88" s="23" t="s">
        <v>92</v>
      </c>
      <c r="Z88" s="56"/>
      <c r="AA88" s="24">
        <v>82</v>
      </c>
      <c r="AB88" s="19"/>
      <c r="AC88" s="46" t="s">
        <v>94</v>
      </c>
      <c r="AD88" s="15" t="str">
        <f ca="1">IF(AND($D88&lt;&gt;"",COUNTIF(OFFSET(UFS!$E$2,MATCH($D88&amp;"",UFS!$A$2:$A$175,0)-1,0,COUNTIF(UFS!$A$2:$A$175,$D88&amp;""),1),M88)&gt;0),"Valide","Invalide")</f>
        <v>Valide</v>
      </c>
      <c r="AH88" s="15" t="str">
        <f t="shared" si="1"/>
        <v>En attente</v>
      </c>
    </row>
    <row r="89" spans="1:34" s="15" customFormat="1" ht="45" hidden="1" customHeight="1" x14ac:dyDescent="0.3">
      <c r="A89" s="42">
        <v>88</v>
      </c>
      <c r="B89" s="19" t="s">
        <v>4</v>
      </c>
      <c r="C89" s="19" t="s">
        <v>36</v>
      </c>
      <c r="D89" s="20" t="s">
        <v>123</v>
      </c>
      <c r="E89" s="20" t="s">
        <v>79</v>
      </c>
      <c r="F89" s="21" t="s">
        <v>80</v>
      </c>
      <c r="G89" s="38" t="s">
        <v>241</v>
      </c>
      <c r="H89" s="39" t="s">
        <v>252</v>
      </c>
      <c r="I89" s="39" t="s">
        <v>253</v>
      </c>
      <c r="J89" s="21" t="s">
        <v>124</v>
      </c>
      <c r="K89" s="21" t="s">
        <v>125</v>
      </c>
      <c r="L89" s="21" t="s">
        <v>126</v>
      </c>
      <c r="M89" s="21" t="s">
        <v>109</v>
      </c>
      <c r="N89" s="21" t="s">
        <v>109</v>
      </c>
      <c r="O89" s="20" t="s">
        <v>484</v>
      </c>
      <c r="P89" s="45">
        <v>45667</v>
      </c>
      <c r="Q89" s="39" t="s">
        <v>485</v>
      </c>
      <c r="R89" s="19">
        <v>10948.5</v>
      </c>
      <c r="S89" s="21">
        <v>0.1</v>
      </c>
      <c r="T89" s="21">
        <v>12043.35</v>
      </c>
      <c r="U89" s="44" t="s">
        <v>486</v>
      </c>
      <c r="V89" s="22">
        <v>45677</v>
      </c>
      <c r="W89" s="54" t="s">
        <v>91</v>
      </c>
      <c r="X89" s="23"/>
      <c r="Y89" s="23" t="s">
        <v>92</v>
      </c>
      <c r="Z89" s="56"/>
      <c r="AA89" s="24">
        <v>83</v>
      </c>
      <c r="AB89" s="19"/>
      <c r="AC89" s="19"/>
      <c r="AD89" s="15" t="str">
        <f ca="1">IF(AND($D89&lt;&gt;"",COUNTIF(OFFSET(UFS!$E$2,MATCH($D89&amp;"",UFS!$A$2:$A$175,0)-1,0,COUNTIF(UFS!$A$2:$A$175,$D89&amp;""),1),M89)&gt;0),"Valide","Invalide")</f>
        <v>Valide</v>
      </c>
      <c r="AH89" s="15" t="str">
        <f t="shared" si="1"/>
        <v>En attente</v>
      </c>
    </row>
    <row r="90" spans="1:34" s="15" customFormat="1" ht="45" hidden="1" customHeight="1" x14ac:dyDescent="0.3">
      <c r="A90" s="42">
        <v>89</v>
      </c>
      <c r="B90" s="19" t="s">
        <v>4</v>
      </c>
      <c r="C90" s="19" t="s">
        <v>36</v>
      </c>
      <c r="D90" s="20" t="s">
        <v>123</v>
      </c>
      <c r="E90" s="20" t="s">
        <v>79</v>
      </c>
      <c r="F90" s="21" t="s">
        <v>80</v>
      </c>
      <c r="G90" s="38" t="s">
        <v>241</v>
      </c>
      <c r="H90" s="39" t="s">
        <v>252</v>
      </c>
      <c r="I90" s="39" t="s">
        <v>253</v>
      </c>
      <c r="J90" s="21" t="s">
        <v>124</v>
      </c>
      <c r="K90" s="21" t="s">
        <v>125</v>
      </c>
      <c r="L90" s="21" t="s">
        <v>126</v>
      </c>
      <c r="M90" s="21" t="s">
        <v>109</v>
      </c>
      <c r="N90" s="21" t="s">
        <v>109</v>
      </c>
      <c r="O90" s="20" t="s">
        <v>487</v>
      </c>
      <c r="P90" s="45">
        <v>45667</v>
      </c>
      <c r="Q90" s="39" t="s">
        <v>488</v>
      </c>
      <c r="R90" s="19">
        <v>5846.85</v>
      </c>
      <c r="S90" s="21">
        <v>0.1</v>
      </c>
      <c r="T90" s="21">
        <v>6431.5350000000008</v>
      </c>
      <c r="U90" s="44" t="s">
        <v>489</v>
      </c>
      <c r="V90" s="22">
        <v>45677</v>
      </c>
      <c r="W90" s="54"/>
      <c r="X90" s="23"/>
      <c r="Y90" s="23" t="s">
        <v>92</v>
      </c>
      <c r="Z90" s="56"/>
      <c r="AA90" s="24">
        <v>84</v>
      </c>
      <c r="AB90" s="19"/>
      <c r="AC90" s="19"/>
      <c r="AD90" s="15" t="str">
        <f ca="1">IF(AND($D90&lt;&gt;"",COUNTIF(OFFSET(UFS!$E$2,MATCH($D90&amp;"",UFS!$A$2:$A$175,0)-1,0,COUNTIF(UFS!$A$2:$A$175,$D90&amp;""),1),M90)&gt;0),"Valide","Invalide")</f>
        <v>Valide</v>
      </c>
      <c r="AH90" s="15" t="str">
        <f t="shared" si="1"/>
        <v>En attente</v>
      </c>
    </row>
    <row r="91" spans="1:34" s="15" customFormat="1" ht="45" hidden="1" customHeight="1" x14ac:dyDescent="0.3">
      <c r="A91" s="42">
        <v>90</v>
      </c>
      <c r="B91" s="19" t="s">
        <v>26</v>
      </c>
      <c r="C91" s="19" t="s">
        <v>28</v>
      </c>
      <c r="D91" s="20" t="s">
        <v>490</v>
      </c>
      <c r="E91" s="20" t="s">
        <v>79</v>
      </c>
      <c r="F91" s="21" t="s">
        <v>80</v>
      </c>
      <c r="G91" s="38" t="s">
        <v>182</v>
      </c>
      <c r="H91" s="39" t="s">
        <v>82</v>
      </c>
      <c r="I91" s="39" t="s">
        <v>83</v>
      </c>
      <c r="J91" s="21" t="s">
        <v>183</v>
      </c>
      <c r="K91" s="21" t="s">
        <v>491</v>
      </c>
      <c r="L91" s="21" t="s">
        <v>492</v>
      </c>
      <c r="M91" s="21" t="s">
        <v>491</v>
      </c>
      <c r="N91" s="21" t="s">
        <v>87</v>
      </c>
      <c r="O91" s="20" t="s">
        <v>493</v>
      </c>
      <c r="P91" s="45">
        <v>45667</v>
      </c>
      <c r="Q91" s="39" t="s">
        <v>494</v>
      </c>
      <c r="R91" s="19">
        <v>1502.83</v>
      </c>
      <c r="S91" s="21">
        <v>0.2</v>
      </c>
      <c r="T91" s="21">
        <v>1803.396</v>
      </c>
      <c r="U91" s="44" t="s">
        <v>495</v>
      </c>
      <c r="V91" s="22">
        <v>45677</v>
      </c>
      <c r="W91" s="54" t="s">
        <v>91</v>
      </c>
      <c r="X91" s="23"/>
      <c r="Y91" s="23" t="s">
        <v>92</v>
      </c>
      <c r="Z91" s="56"/>
      <c r="AA91" s="24">
        <v>75</v>
      </c>
      <c r="AB91" s="19"/>
      <c r="AC91" s="19"/>
      <c r="AD91" s="15" t="str">
        <f ca="1">IF(AND($D91&lt;&gt;"",COUNTIF(OFFSET(UFS!$E$2,MATCH($D91&amp;"",UFS!$A$2:$A$175,0)-1,0,COUNTIF(UFS!$A$2:$A$175,$D91&amp;""),1),M91)&gt;0),"Valide","Invalide")</f>
        <v>Valide</v>
      </c>
      <c r="AH91" s="15" t="str">
        <f t="shared" si="1"/>
        <v>En attente</v>
      </c>
    </row>
    <row r="92" spans="1:34" s="15" customFormat="1" ht="45" hidden="1" customHeight="1" x14ac:dyDescent="0.3">
      <c r="A92" s="42">
        <v>91</v>
      </c>
      <c r="B92" s="19" t="s">
        <v>26</v>
      </c>
      <c r="C92" s="19" t="s">
        <v>35</v>
      </c>
      <c r="D92" s="20" t="s">
        <v>496</v>
      </c>
      <c r="E92" s="20" t="s">
        <v>79</v>
      </c>
      <c r="F92" s="21" t="s">
        <v>80</v>
      </c>
      <c r="G92" s="38" t="s">
        <v>182</v>
      </c>
      <c r="H92" s="39" t="s">
        <v>215</v>
      </c>
      <c r="I92" s="39" t="s">
        <v>83</v>
      </c>
      <c r="J92" s="21" t="s">
        <v>497</v>
      </c>
      <c r="K92" s="21" t="s">
        <v>498</v>
      </c>
      <c r="L92" s="21" t="s">
        <v>499</v>
      </c>
      <c r="M92" s="21" t="s">
        <v>498</v>
      </c>
      <c r="N92" s="21" t="s">
        <v>87</v>
      </c>
      <c r="O92" s="20" t="s">
        <v>500</v>
      </c>
      <c r="P92" s="45">
        <v>45639</v>
      </c>
      <c r="Q92" s="39" t="s">
        <v>501</v>
      </c>
      <c r="R92" s="19">
        <v>433.33</v>
      </c>
      <c r="S92" s="21">
        <v>0.2</v>
      </c>
      <c r="T92" s="21">
        <v>519.99599999999998</v>
      </c>
      <c r="U92" s="44" t="s">
        <v>502</v>
      </c>
      <c r="V92" s="22">
        <v>45679</v>
      </c>
      <c r="W92" s="54" t="s">
        <v>91</v>
      </c>
      <c r="X92" s="23"/>
      <c r="Y92" s="23" t="s">
        <v>92</v>
      </c>
      <c r="Z92" s="56"/>
      <c r="AA92" s="24">
        <v>77</v>
      </c>
      <c r="AB92" s="19"/>
      <c r="AC92" s="19"/>
      <c r="AD92" s="15" t="str">
        <f ca="1">IF(AND($D92&lt;&gt;"",COUNTIF(OFFSET(UFS!$E$2,MATCH($D92&amp;"",UFS!$A$2:$A$175,0)-1,0,COUNTIF(UFS!$A$2:$A$175,$D92&amp;""),1),M92)&gt;0),"Valide","Invalide")</f>
        <v>Valide</v>
      </c>
      <c r="AH92" s="15" t="str">
        <f t="shared" si="1"/>
        <v>En attente</v>
      </c>
    </row>
    <row r="93" spans="1:34" s="15" customFormat="1" ht="45" hidden="1" customHeight="1" x14ac:dyDescent="0.3">
      <c r="A93" s="42">
        <v>92</v>
      </c>
      <c r="B93" s="19" t="s">
        <v>26</v>
      </c>
      <c r="C93" s="19" t="s">
        <v>30</v>
      </c>
      <c r="D93" s="20" t="s">
        <v>162</v>
      </c>
      <c r="E93" s="20" t="s">
        <v>96</v>
      </c>
      <c r="F93" s="21" t="s">
        <v>80</v>
      </c>
      <c r="G93" s="38" t="s">
        <v>169</v>
      </c>
      <c r="H93" s="39"/>
      <c r="I93" s="39" t="s">
        <v>503</v>
      </c>
      <c r="J93" s="21" t="s">
        <v>144</v>
      </c>
      <c r="K93" s="21" t="s">
        <v>145</v>
      </c>
      <c r="L93" s="21" t="s">
        <v>120</v>
      </c>
      <c r="M93" s="21" t="s">
        <v>164</v>
      </c>
      <c r="N93" s="21" t="s">
        <v>165</v>
      </c>
      <c r="O93" s="20" t="s">
        <v>504</v>
      </c>
      <c r="P93" s="45">
        <v>45679</v>
      </c>
      <c r="Q93" s="39" t="s">
        <v>505</v>
      </c>
      <c r="R93" s="19">
        <v>3381</v>
      </c>
      <c r="S93" s="21">
        <v>0.2</v>
      </c>
      <c r="T93" s="21">
        <v>4057.2</v>
      </c>
      <c r="U93" s="44" t="s">
        <v>506</v>
      </c>
      <c r="V93" s="22">
        <v>45681</v>
      </c>
      <c r="W93" s="54" t="s">
        <v>91</v>
      </c>
      <c r="X93" s="23"/>
      <c r="Y93" s="23" t="s">
        <v>92</v>
      </c>
      <c r="Z93" s="56"/>
      <c r="AA93" s="24">
        <v>123</v>
      </c>
      <c r="AB93" s="19"/>
      <c r="AC93" s="46" t="s">
        <v>94</v>
      </c>
      <c r="AD93" s="15" t="e">
        <f ca="1">IF(AND($D93&lt;&gt;"",COUNTIF(OFFSET(UFS!$E$2,MATCH($D93&amp;"",UFS!$A$2:$A$175,0)-1,0,COUNTIF(UFS!$A$2:$A$175,$D93&amp;""),1),M93)&gt;0),"Valide","Invalide")</f>
        <v>#N/A</v>
      </c>
      <c r="AH93" s="15" t="str">
        <f t="shared" si="1"/>
        <v>En attente</v>
      </c>
    </row>
    <row r="94" spans="1:34" s="15" customFormat="1" ht="45" hidden="1" customHeight="1" x14ac:dyDescent="0.3">
      <c r="A94" s="42">
        <v>93</v>
      </c>
      <c r="B94" s="19" t="s">
        <v>16</v>
      </c>
      <c r="C94" s="19" t="s">
        <v>34</v>
      </c>
      <c r="D94" s="20" t="s">
        <v>222</v>
      </c>
      <c r="E94" s="20" t="s">
        <v>96</v>
      </c>
      <c r="F94" s="21" t="s">
        <v>223</v>
      </c>
      <c r="G94" s="38" t="s">
        <v>507</v>
      </c>
      <c r="H94" s="39"/>
      <c r="I94" s="39" t="s">
        <v>224</v>
      </c>
      <c r="J94" s="21" t="s">
        <v>144</v>
      </c>
      <c r="K94" s="21" t="s">
        <v>145</v>
      </c>
      <c r="L94" s="21" t="s">
        <v>225</v>
      </c>
      <c r="M94" s="21" t="s">
        <v>226</v>
      </c>
      <c r="N94" s="21" t="s">
        <v>227</v>
      </c>
      <c r="O94" s="20" t="s">
        <v>508</v>
      </c>
      <c r="P94" s="45">
        <v>45779</v>
      </c>
      <c r="Q94" s="39" t="s">
        <v>509</v>
      </c>
      <c r="R94" s="19">
        <v>33038.629999999997</v>
      </c>
      <c r="S94" s="21">
        <v>0.2</v>
      </c>
      <c r="T94" s="21">
        <v>39646.356</v>
      </c>
      <c r="U94" s="60" t="s">
        <v>510</v>
      </c>
      <c r="V94" s="22">
        <v>45680</v>
      </c>
      <c r="W94" s="54" t="s">
        <v>91</v>
      </c>
      <c r="X94" s="23" t="s">
        <v>430</v>
      </c>
      <c r="Y94" s="23" t="s">
        <v>92</v>
      </c>
      <c r="Z94" s="75" t="s">
        <v>511</v>
      </c>
      <c r="AA94" s="24">
        <v>853372</v>
      </c>
      <c r="AB94" s="19"/>
      <c r="AC94" s="46" t="s">
        <v>94</v>
      </c>
      <c r="AD94" s="15" t="str">
        <f ca="1">IF(AND($D94&lt;&gt;"",COUNTIF(OFFSET(UFS!$E$2,MATCH($D94&amp;"",UFS!$A$2:$A$175,0)-1,0,COUNTIF(UFS!$A$2:$A$175,$D94&amp;""),1),M94)&gt;0),"Valide","Invalide")</f>
        <v>Valide</v>
      </c>
      <c r="AH94" s="15" t="str">
        <f t="shared" si="1"/>
        <v>En attente</v>
      </c>
    </row>
    <row r="95" spans="1:34" s="15" customFormat="1" ht="45" hidden="1" customHeight="1" x14ac:dyDescent="0.3">
      <c r="A95" s="42">
        <v>94</v>
      </c>
      <c r="B95" s="19" t="s">
        <v>26</v>
      </c>
      <c r="C95" s="19" t="s">
        <v>11</v>
      </c>
      <c r="D95" s="20" t="s">
        <v>512</v>
      </c>
      <c r="E95" s="20" t="s">
        <v>79</v>
      </c>
      <c r="F95" s="21" t="s">
        <v>80</v>
      </c>
      <c r="G95" s="38" t="s">
        <v>182</v>
      </c>
      <c r="H95" s="39" t="s">
        <v>82</v>
      </c>
      <c r="I95" s="39" t="s">
        <v>83</v>
      </c>
      <c r="J95" s="21" t="s">
        <v>98</v>
      </c>
      <c r="K95" s="21" t="s">
        <v>99</v>
      </c>
      <c r="L95" s="21" t="s">
        <v>100</v>
      </c>
      <c r="M95" s="21" t="s">
        <v>101</v>
      </c>
      <c r="N95" s="21" t="s">
        <v>87</v>
      </c>
      <c r="O95" s="20" t="s">
        <v>513</v>
      </c>
      <c r="P95" s="45">
        <v>45666</v>
      </c>
      <c r="Q95" s="39" t="s">
        <v>514</v>
      </c>
      <c r="R95" s="19">
        <v>5324.43</v>
      </c>
      <c r="S95" s="21">
        <v>0.2</v>
      </c>
      <c r="T95" s="21">
        <v>6389.3160000000007</v>
      </c>
      <c r="U95" s="44" t="s">
        <v>515</v>
      </c>
      <c r="V95" s="22">
        <v>45680</v>
      </c>
      <c r="W95" s="54" t="s">
        <v>91</v>
      </c>
      <c r="X95" s="23"/>
      <c r="Y95" s="23" t="s">
        <v>92</v>
      </c>
      <c r="Z95" s="56"/>
      <c r="AA95" s="24">
        <v>85</v>
      </c>
      <c r="AB95" s="19"/>
      <c r="AC95" s="19"/>
      <c r="AD95" s="15" t="str">
        <f ca="1">IF(AND($D95&lt;&gt;"",COUNTIF(OFFSET(UFS!$E$2,MATCH($D95&amp;"",UFS!$A$2:$A$175,0)-1,0,COUNTIF(UFS!$A$2:$A$175,$D95&amp;""),1),M95)&gt;0),"Valide","Invalide")</f>
        <v>Valide</v>
      </c>
      <c r="AH95" s="15" t="str">
        <f t="shared" si="1"/>
        <v>En attente</v>
      </c>
    </row>
    <row r="96" spans="1:34" s="15" customFormat="1" ht="82.35" hidden="1" customHeight="1" x14ac:dyDescent="0.3">
      <c r="A96" s="42">
        <v>95</v>
      </c>
      <c r="B96" s="19" t="s">
        <v>6</v>
      </c>
      <c r="C96" s="19" t="s">
        <v>17</v>
      </c>
      <c r="D96" s="20" t="s">
        <v>516</v>
      </c>
      <c r="E96" s="20" t="s">
        <v>79</v>
      </c>
      <c r="F96" s="21" t="s">
        <v>80</v>
      </c>
      <c r="G96" s="38" t="s">
        <v>241</v>
      </c>
      <c r="H96" s="39" t="s">
        <v>517</v>
      </c>
      <c r="I96" s="39" t="s">
        <v>518</v>
      </c>
      <c r="J96" s="21" t="s">
        <v>497</v>
      </c>
      <c r="K96" s="21" t="s">
        <v>498</v>
      </c>
      <c r="L96" s="21" t="s">
        <v>499</v>
      </c>
      <c r="M96" s="21" t="s">
        <v>498</v>
      </c>
      <c r="N96" s="21" t="s">
        <v>151</v>
      </c>
      <c r="O96" s="20" t="s">
        <v>519</v>
      </c>
      <c r="P96" s="45">
        <v>45555</v>
      </c>
      <c r="Q96" s="39" t="s">
        <v>520</v>
      </c>
      <c r="R96" s="19">
        <v>7731.64</v>
      </c>
      <c r="S96" s="21">
        <v>0.2</v>
      </c>
      <c r="T96" s="21">
        <v>9277.9680000000008</v>
      </c>
      <c r="U96" s="44" t="s">
        <v>521</v>
      </c>
      <c r="V96" s="22">
        <v>45681</v>
      </c>
      <c r="W96" s="54" t="s">
        <v>91</v>
      </c>
      <c r="X96" s="23"/>
      <c r="Y96" s="23" t="s">
        <v>92</v>
      </c>
      <c r="Z96" s="56" t="s">
        <v>522</v>
      </c>
      <c r="AA96" s="24">
        <v>148</v>
      </c>
      <c r="AB96" s="19"/>
      <c r="AC96" s="46" t="s">
        <v>94</v>
      </c>
      <c r="AD96" s="15" t="str">
        <f ca="1">IF(AND($D96&lt;&gt;"",COUNTIF(OFFSET(UFS!$E$2,MATCH($D96&amp;"",UFS!$A$2:$A$175,0)-1,0,COUNTIF(UFS!$A$2:$A$175,$D96&amp;""),1),M96)&gt;0),"Valide","Invalide")</f>
        <v>Valide</v>
      </c>
      <c r="AH96" s="15" t="str">
        <f t="shared" si="1"/>
        <v>En attente</v>
      </c>
    </row>
    <row r="97" spans="1:34" s="15" customFormat="1" ht="45" hidden="1" customHeight="1" x14ac:dyDescent="0.3">
      <c r="A97" s="42">
        <v>96</v>
      </c>
      <c r="B97" s="19" t="s">
        <v>6</v>
      </c>
      <c r="C97" s="19" t="s">
        <v>31</v>
      </c>
      <c r="D97" s="20" t="s">
        <v>523</v>
      </c>
      <c r="E97" s="20" t="s">
        <v>79</v>
      </c>
      <c r="F97" s="21" t="s">
        <v>80</v>
      </c>
      <c r="G97" s="38" t="s">
        <v>241</v>
      </c>
      <c r="H97" s="39" t="s">
        <v>242</v>
      </c>
      <c r="I97" s="39" t="s">
        <v>243</v>
      </c>
      <c r="J97" s="21" t="s">
        <v>341</v>
      </c>
      <c r="K97" s="21" t="s">
        <v>145</v>
      </c>
      <c r="L97" s="21" t="s">
        <v>192</v>
      </c>
      <c r="M97" s="21" t="s">
        <v>343</v>
      </c>
      <c r="N97" s="21" t="s">
        <v>151</v>
      </c>
      <c r="O97" s="20" t="s">
        <v>524</v>
      </c>
      <c r="P97" s="45">
        <v>45569</v>
      </c>
      <c r="Q97" s="39" t="s">
        <v>525</v>
      </c>
      <c r="R97" s="19">
        <v>1525.93</v>
      </c>
      <c r="S97" s="21">
        <v>0.2</v>
      </c>
      <c r="T97" s="21">
        <v>1831.116</v>
      </c>
      <c r="U97" s="44" t="s">
        <v>526</v>
      </c>
      <c r="V97" s="22">
        <v>45681</v>
      </c>
      <c r="W97" s="54" t="s">
        <v>91</v>
      </c>
      <c r="X97" s="23"/>
      <c r="Y97" s="23" t="s">
        <v>92</v>
      </c>
      <c r="Z97" s="56"/>
      <c r="AA97" s="24">
        <v>86</v>
      </c>
      <c r="AB97" s="19"/>
      <c r="AC97" s="46" t="s">
        <v>94</v>
      </c>
      <c r="AD97" s="15" t="str">
        <f ca="1">IF(AND($D97&lt;&gt;"",COUNTIF(OFFSET(UFS!$E$2,MATCH($D97&amp;"",UFS!$A$2:$A$175,0)-1,0,COUNTIF(UFS!$A$2:$A$175,$D97&amp;""),1),M97)&gt;0),"Valide","Invalide")</f>
        <v>Valide</v>
      </c>
      <c r="AH97" s="15" t="str">
        <f t="shared" si="1"/>
        <v>En attente</v>
      </c>
    </row>
    <row r="98" spans="1:34" s="15" customFormat="1" ht="45" hidden="1" customHeight="1" x14ac:dyDescent="0.3">
      <c r="A98" s="42">
        <v>97</v>
      </c>
      <c r="B98" s="19" t="s">
        <v>6</v>
      </c>
      <c r="C98" s="19" t="s">
        <v>31</v>
      </c>
      <c r="D98" s="20" t="s">
        <v>527</v>
      </c>
      <c r="E98" s="20" t="s">
        <v>79</v>
      </c>
      <c r="F98" s="21" t="s">
        <v>80</v>
      </c>
      <c r="G98" s="38" t="s">
        <v>241</v>
      </c>
      <c r="H98" s="39" t="s">
        <v>242</v>
      </c>
      <c r="I98" s="39" t="s">
        <v>243</v>
      </c>
      <c r="J98" s="21" t="s">
        <v>144</v>
      </c>
      <c r="K98" s="21" t="s">
        <v>145</v>
      </c>
      <c r="L98" s="21" t="s">
        <v>86</v>
      </c>
      <c r="M98" s="21" t="s">
        <v>528</v>
      </c>
      <c r="N98" s="21" t="s">
        <v>529</v>
      </c>
      <c r="O98" s="20" t="s">
        <v>530</v>
      </c>
      <c r="P98" s="45">
        <v>45630</v>
      </c>
      <c r="Q98" s="39" t="s">
        <v>531</v>
      </c>
      <c r="R98" s="19">
        <v>1412.96</v>
      </c>
      <c r="S98" s="21">
        <v>0.1</v>
      </c>
      <c r="T98" s="21">
        <v>1554.2560000000001</v>
      </c>
      <c r="U98" s="44" t="s">
        <v>532</v>
      </c>
      <c r="V98" s="22">
        <v>45681</v>
      </c>
      <c r="W98" s="54" t="s">
        <v>91</v>
      </c>
      <c r="X98" s="23"/>
      <c r="Y98" s="23" t="s">
        <v>92</v>
      </c>
      <c r="Z98" s="56"/>
      <c r="AA98" s="24">
        <v>87</v>
      </c>
      <c r="AB98" s="19"/>
      <c r="AC98" s="46" t="s">
        <v>94</v>
      </c>
      <c r="AD98" s="15" t="str">
        <f ca="1">IF(AND($D98&lt;&gt;"",COUNTIF(OFFSET(UFS!$E$2,MATCH($D98&amp;"",UFS!$A$2:$A$175,0)-1,0,COUNTIF(UFS!$A$2:$A$175,$D98&amp;""),1),M98)&gt;0),"Valide","Invalide")</f>
        <v>Valide</v>
      </c>
      <c r="AH98" s="15" t="str">
        <f t="shared" si="1"/>
        <v>En attente</v>
      </c>
    </row>
    <row r="99" spans="1:34" s="15" customFormat="1" ht="45" hidden="1" customHeight="1" x14ac:dyDescent="0.3">
      <c r="A99" s="42">
        <v>98</v>
      </c>
      <c r="B99" s="19" t="s">
        <v>6</v>
      </c>
      <c r="C99" s="19" t="s">
        <v>21</v>
      </c>
      <c r="D99" s="20" t="s">
        <v>200</v>
      </c>
      <c r="E99" s="20" t="s">
        <v>79</v>
      </c>
      <c r="F99" s="21" t="s">
        <v>80</v>
      </c>
      <c r="G99" s="38" t="s">
        <v>533</v>
      </c>
      <c r="H99" s="39" t="s">
        <v>534</v>
      </c>
      <c r="I99" s="39" t="s">
        <v>535</v>
      </c>
      <c r="J99" s="21" t="s">
        <v>144</v>
      </c>
      <c r="K99" s="21" t="s">
        <v>145</v>
      </c>
      <c r="L99" s="21" t="s">
        <v>203</v>
      </c>
      <c r="M99" s="21" t="s">
        <v>109</v>
      </c>
      <c r="N99" s="21" t="s">
        <v>109</v>
      </c>
      <c r="O99" s="20" t="s">
        <v>536</v>
      </c>
      <c r="P99" s="45">
        <v>45400</v>
      </c>
      <c r="Q99" s="39" t="s">
        <v>537</v>
      </c>
      <c r="R99" s="19">
        <v>9999</v>
      </c>
      <c r="S99" s="21">
        <v>0.2</v>
      </c>
      <c r="T99" s="21">
        <v>11998.8</v>
      </c>
      <c r="U99" s="44" t="s">
        <v>538</v>
      </c>
      <c r="V99" s="22">
        <v>45681</v>
      </c>
      <c r="W99" s="54" t="s">
        <v>91</v>
      </c>
      <c r="X99" s="23"/>
      <c r="Y99" s="23" t="s">
        <v>92</v>
      </c>
      <c r="Z99" s="56" t="s">
        <v>539</v>
      </c>
      <c r="AA99" s="24">
        <v>186</v>
      </c>
      <c r="AB99" s="19"/>
      <c r="AC99" s="46" t="s">
        <v>94</v>
      </c>
      <c r="AD99" s="15" t="e">
        <f ca="1">IF(AND($D99&lt;&gt;"",COUNTIF(OFFSET(UFS!$E$2,MATCH($D99&amp;"",UFS!$A$2:$A$175,0)-1,0,COUNTIF(UFS!$A$2:$A$175,$D99&amp;""),1),M99)&gt;0),"Valide","Invalide")</f>
        <v>#N/A</v>
      </c>
      <c r="AH99" s="15" t="str">
        <f t="shared" si="1"/>
        <v>En attente</v>
      </c>
    </row>
    <row r="100" spans="1:34" s="15" customFormat="1" ht="45" hidden="1" customHeight="1" x14ac:dyDescent="0.3">
      <c r="A100" s="42">
        <v>99</v>
      </c>
      <c r="B100" s="19" t="s">
        <v>6</v>
      </c>
      <c r="C100" s="19" t="s">
        <v>21</v>
      </c>
      <c r="D100" s="20" t="s">
        <v>200</v>
      </c>
      <c r="E100" s="20" t="s">
        <v>79</v>
      </c>
      <c r="F100" s="21" t="s">
        <v>80</v>
      </c>
      <c r="G100" s="38" t="s">
        <v>533</v>
      </c>
      <c r="H100" s="39" t="s">
        <v>534</v>
      </c>
      <c r="I100" s="39"/>
      <c r="J100" s="21" t="s">
        <v>144</v>
      </c>
      <c r="K100" s="21" t="s">
        <v>145</v>
      </c>
      <c r="L100" s="21" t="s">
        <v>203</v>
      </c>
      <c r="M100" s="21" t="s">
        <v>109</v>
      </c>
      <c r="N100" s="21" t="s">
        <v>109</v>
      </c>
      <c r="O100" s="20" t="s">
        <v>540</v>
      </c>
      <c r="P100" s="45">
        <v>45608</v>
      </c>
      <c r="Q100" s="39" t="s">
        <v>541</v>
      </c>
      <c r="R100" s="19">
        <v>1681.5</v>
      </c>
      <c r="S100" s="21">
        <v>0.2</v>
      </c>
      <c r="T100" s="21">
        <v>2017.8</v>
      </c>
      <c r="U100" s="44" t="s">
        <v>542</v>
      </c>
      <c r="V100" s="22">
        <v>45681</v>
      </c>
      <c r="W100" s="54" t="s">
        <v>91</v>
      </c>
      <c r="X100" s="23"/>
      <c r="Y100" s="23" t="s">
        <v>92</v>
      </c>
      <c r="Z100" s="56" t="s">
        <v>539</v>
      </c>
      <c r="AA100" s="24">
        <v>88</v>
      </c>
      <c r="AB100" s="19"/>
      <c r="AC100" s="46" t="s">
        <v>94</v>
      </c>
      <c r="AD100" s="15" t="e">
        <f ca="1">IF(AND($D100&lt;&gt;"",COUNTIF(OFFSET(UFS!$E$2,MATCH($D100&amp;"",UFS!$A$2:$A$175,0)-1,0,COUNTIF(UFS!$A$2:$A$175,$D100&amp;""),1),M100)&gt;0),"Valide","Invalide")</f>
        <v>#N/A</v>
      </c>
      <c r="AH100" s="15" t="str">
        <f t="shared" si="1"/>
        <v>En attente</v>
      </c>
    </row>
    <row r="101" spans="1:34" s="15" customFormat="1" ht="45" hidden="1" customHeight="1" x14ac:dyDescent="0.3">
      <c r="A101" s="42">
        <v>100</v>
      </c>
      <c r="B101" s="19" t="s">
        <v>26</v>
      </c>
      <c r="C101" s="19" t="s">
        <v>35</v>
      </c>
      <c r="D101" s="20" t="s">
        <v>543</v>
      </c>
      <c r="E101" s="20" t="s">
        <v>79</v>
      </c>
      <c r="F101" s="21" t="s">
        <v>80</v>
      </c>
      <c r="G101" s="38" t="s">
        <v>81</v>
      </c>
      <c r="H101" s="39" t="s">
        <v>426</v>
      </c>
      <c r="I101" s="39" t="s">
        <v>83</v>
      </c>
      <c r="J101" s="21" t="s">
        <v>183</v>
      </c>
      <c r="K101" s="21" t="s">
        <v>544</v>
      </c>
      <c r="L101" s="21" t="s">
        <v>342</v>
      </c>
      <c r="M101" s="21" t="s">
        <v>544</v>
      </c>
      <c r="N101" s="21" t="s">
        <v>151</v>
      </c>
      <c r="O101" s="20" t="s">
        <v>545</v>
      </c>
      <c r="P101" s="45">
        <v>45681</v>
      </c>
      <c r="Q101" s="39" t="s">
        <v>546</v>
      </c>
      <c r="R101" s="19">
        <v>1336.1</v>
      </c>
      <c r="S101" s="21">
        <v>0.2</v>
      </c>
      <c r="T101" s="21">
        <v>1603.32</v>
      </c>
      <c r="U101" s="44" t="s">
        <v>547</v>
      </c>
      <c r="V101" s="22">
        <v>45681</v>
      </c>
      <c r="W101" s="54" t="s">
        <v>91</v>
      </c>
      <c r="X101" s="23"/>
      <c r="Y101" s="23" t="s">
        <v>92</v>
      </c>
      <c r="Z101" s="56"/>
      <c r="AA101" s="24">
        <v>89</v>
      </c>
      <c r="AB101" s="19"/>
      <c r="AC101" s="19"/>
      <c r="AD101" s="15" t="str">
        <f ca="1">IF(AND($D101&lt;&gt;"",COUNTIF(OFFSET(UFS!$E$2,MATCH($D101&amp;"",UFS!$A$2:$A$175,0)-1,0,COUNTIF(UFS!$A$2:$A$175,$D101&amp;""),1),M101)&gt;0),"Valide","Invalide")</f>
        <v>Valide</v>
      </c>
      <c r="AH101" s="15" t="str">
        <f t="shared" si="1"/>
        <v>En attente</v>
      </c>
    </row>
    <row r="102" spans="1:34" s="15" customFormat="1" ht="45" hidden="1" customHeight="1" x14ac:dyDescent="0.3">
      <c r="A102" s="42">
        <v>101</v>
      </c>
      <c r="B102" s="19" t="s">
        <v>0</v>
      </c>
      <c r="C102" s="19" t="s">
        <v>1</v>
      </c>
      <c r="D102" s="20" t="s">
        <v>548</v>
      </c>
      <c r="E102" s="20" t="s">
        <v>79</v>
      </c>
      <c r="F102" s="21" t="s">
        <v>80</v>
      </c>
      <c r="G102" s="38" t="s">
        <v>81</v>
      </c>
      <c r="H102" s="39" t="s">
        <v>82</v>
      </c>
      <c r="I102" s="39" t="s">
        <v>83</v>
      </c>
      <c r="J102" s="21" t="s">
        <v>144</v>
      </c>
      <c r="K102" s="21" t="s">
        <v>145</v>
      </c>
      <c r="L102" s="21" t="s">
        <v>549</v>
      </c>
      <c r="M102" s="21" t="s">
        <v>549</v>
      </c>
      <c r="N102" s="21" t="s">
        <v>550</v>
      </c>
      <c r="O102" s="20" t="s">
        <v>551</v>
      </c>
      <c r="P102" s="45">
        <v>45681</v>
      </c>
      <c r="Q102" s="39" t="s">
        <v>149</v>
      </c>
      <c r="R102" s="19">
        <v>1489.44</v>
      </c>
      <c r="S102" s="21">
        <v>0.2</v>
      </c>
      <c r="T102" s="21">
        <v>1787.328</v>
      </c>
      <c r="U102" s="44" t="s">
        <v>552</v>
      </c>
      <c r="V102" s="22">
        <v>45681</v>
      </c>
      <c r="W102" s="54" t="s">
        <v>91</v>
      </c>
      <c r="X102" s="23"/>
      <c r="Y102" s="23" t="s">
        <v>92</v>
      </c>
      <c r="Z102" s="56"/>
      <c r="AA102" s="24">
        <v>90</v>
      </c>
      <c r="AB102" s="19"/>
      <c r="AC102" s="19"/>
      <c r="AD102" s="15" t="str">
        <f ca="1">IF(AND($D102&lt;&gt;"",COUNTIF(OFFSET(UFS!$E$2,MATCH($D102&amp;"",UFS!$A$2:$A$175,0)-1,0,COUNTIF(UFS!$A$2:$A$175,$D102&amp;""),1),M102)&gt;0),"Valide","Invalide")</f>
        <v>Valide</v>
      </c>
      <c r="AH102" s="15" t="str">
        <f t="shared" si="1"/>
        <v>En attente</v>
      </c>
    </row>
    <row r="103" spans="1:34" s="15" customFormat="1" ht="45" hidden="1" customHeight="1" x14ac:dyDescent="0.3">
      <c r="A103" s="42">
        <v>102</v>
      </c>
      <c r="B103" s="19" t="s">
        <v>24</v>
      </c>
      <c r="C103" s="19" t="s">
        <v>15</v>
      </c>
      <c r="D103" s="20" t="s">
        <v>174</v>
      </c>
      <c r="E103" s="20" t="s">
        <v>96</v>
      </c>
      <c r="F103" s="21" t="s">
        <v>80</v>
      </c>
      <c r="G103" s="38" t="s">
        <v>288</v>
      </c>
      <c r="H103" s="39"/>
      <c r="I103" s="39" t="s">
        <v>176</v>
      </c>
      <c r="J103" s="21" t="s">
        <v>124</v>
      </c>
      <c r="K103" s="21" t="s">
        <v>125</v>
      </c>
      <c r="L103" s="21" t="s">
        <v>177</v>
      </c>
      <c r="M103" s="21" t="s">
        <v>136</v>
      </c>
      <c r="N103" s="21" t="s">
        <v>102</v>
      </c>
      <c r="O103" s="20" t="s">
        <v>553</v>
      </c>
      <c r="P103" s="45">
        <v>45680</v>
      </c>
      <c r="Q103" s="39" t="s">
        <v>554</v>
      </c>
      <c r="R103" s="19">
        <v>7900.36</v>
      </c>
      <c r="S103" s="21">
        <v>0.1</v>
      </c>
      <c r="T103" s="21">
        <v>8690.3959999999988</v>
      </c>
      <c r="U103" s="44" t="s">
        <v>180</v>
      </c>
      <c r="V103" s="22">
        <v>45681</v>
      </c>
      <c r="W103" s="54" t="s">
        <v>91</v>
      </c>
      <c r="X103" s="23"/>
      <c r="Y103" s="23" t="s">
        <v>92</v>
      </c>
      <c r="Z103" s="56"/>
      <c r="AA103" s="24">
        <v>105</v>
      </c>
      <c r="AB103" s="19"/>
      <c r="AC103" s="46" t="s">
        <v>94</v>
      </c>
      <c r="AD103" s="15" t="str">
        <f ca="1">IF(AND($D103&lt;&gt;"",COUNTIF(OFFSET(UFS!$E$2,MATCH($D103&amp;"",UFS!$A$2:$A$175,0)-1,0,COUNTIF(UFS!$A$2:$A$175,$D103&amp;""),1),M103)&gt;0),"Valide","Invalide")</f>
        <v>Valide</v>
      </c>
      <c r="AH103" s="15" t="str">
        <f t="shared" si="1"/>
        <v>En attente</v>
      </c>
    </row>
    <row r="104" spans="1:34" s="15" customFormat="1" ht="45" hidden="1" customHeight="1" x14ac:dyDescent="0.3">
      <c r="A104" s="42">
        <v>103</v>
      </c>
      <c r="B104" s="19" t="s">
        <v>24</v>
      </c>
      <c r="C104" s="19" t="s">
        <v>15</v>
      </c>
      <c r="D104" s="20" t="s">
        <v>134</v>
      </c>
      <c r="E104" s="20" t="s">
        <v>79</v>
      </c>
      <c r="F104" s="21" t="s">
        <v>80</v>
      </c>
      <c r="G104" s="38" t="s">
        <v>81</v>
      </c>
      <c r="H104" s="39" t="s">
        <v>139</v>
      </c>
      <c r="I104" s="39" t="s">
        <v>83</v>
      </c>
      <c r="J104" s="21" t="s">
        <v>124</v>
      </c>
      <c r="K104" s="21" t="s">
        <v>125</v>
      </c>
      <c r="L104" s="21" t="s">
        <v>135</v>
      </c>
      <c r="M104" s="21" t="s">
        <v>136</v>
      </c>
      <c r="N104" s="21" t="s">
        <v>102</v>
      </c>
      <c r="O104" s="20" t="s">
        <v>555</v>
      </c>
      <c r="P104" s="45">
        <v>45680</v>
      </c>
      <c r="Q104" s="39" t="s">
        <v>556</v>
      </c>
      <c r="R104" s="19">
        <v>244.64</v>
      </c>
      <c r="S104" s="21">
        <v>0.1</v>
      </c>
      <c r="T104" s="21">
        <v>269.10399999999998</v>
      </c>
      <c r="U104" s="44" t="s">
        <v>557</v>
      </c>
      <c r="V104" s="22">
        <v>45681</v>
      </c>
      <c r="W104" s="54" t="s">
        <v>91</v>
      </c>
      <c r="X104" s="23"/>
      <c r="Y104" s="23" t="s">
        <v>92</v>
      </c>
      <c r="Z104" s="56"/>
      <c r="AA104" s="24">
        <v>91</v>
      </c>
      <c r="AB104" s="19"/>
      <c r="AC104" s="46" t="s">
        <v>94</v>
      </c>
      <c r="AD104" s="15" t="str">
        <f ca="1">IF(AND($D104&lt;&gt;"",COUNTIF(OFFSET(UFS!$E$2,MATCH($D104&amp;"",UFS!$A$2:$A$175,0)-1,0,COUNTIF(UFS!$A$2:$A$175,$D104&amp;""),1),M104)&gt;0),"Valide","Invalide")</f>
        <v>Valide</v>
      </c>
      <c r="AH104" s="15" t="str">
        <f t="shared" si="1"/>
        <v>En attente</v>
      </c>
    </row>
    <row r="105" spans="1:34" s="15" customFormat="1" ht="45" hidden="1" customHeight="1" x14ac:dyDescent="0.3">
      <c r="A105" s="42">
        <v>104</v>
      </c>
      <c r="B105" s="19" t="s">
        <v>24</v>
      </c>
      <c r="C105" s="19" t="s">
        <v>35</v>
      </c>
      <c r="D105" s="20" t="s">
        <v>460</v>
      </c>
      <c r="E105" s="20" t="s">
        <v>79</v>
      </c>
      <c r="F105" s="21" t="s">
        <v>80</v>
      </c>
      <c r="G105" s="38" t="s">
        <v>81</v>
      </c>
      <c r="H105" s="39" t="s">
        <v>215</v>
      </c>
      <c r="I105" s="39" t="s">
        <v>83</v>
      </c>
      <c r="J105" s="21" t="s">
        <v>461</v>
      </c>
      <c r="K105" s="21" t="s">
        <v>145</v>
      </c>
      <c r="L105" s="21" t="s">
        <v>120</v>
      </c>
      <c r="M105" s="21" t="s">
        <v>343</v>
      </c>
      <c r="N105" s="21" t="s">
        <v>87</v>
      </c>
      <c r="O105" s="20" t="s">
        <v>558</v>
      </c>
      <c r="P105" s="45">
        <v>45681</v>
      </c>
      <c r="Q105" s="39" t="s">
        <v>559</v>
      </c>
      <c r="R105" s="19">
        <v>97.43</v>
      </c>
      <c r="S105" s="21">
        <v>0.2</v>
      </c>
      <c r="T105" s="21">
        <v>116.91600000000001</v>
      </c>
      <c r="U105" s="44" t="s">
        <v>218</v>
      </c>
      <c r="V105" s="22">
        <v>45681</v>
      </c>
      <c r="W105" s="54" t="s">
        <v>91</v>
      </c>
      <c r="X105" s="23"/>
      <c r="Y105" s="23" t="s">
        <v>92</v>
      </c>
      <c r="Z105" s="56"/>
      <c r="AA105" s="24">
        <v>92</v>
      </c>
      <c r="AB105" s="47">
        <v>45769</v>
      </c>
      <c r="AC105" s="46" t="s">
        <v>94</v>
      </c>
      <c r="AD105" s="15" t="str">
        <f ca="1">IF(AND($D105&lt;&gt;"",COUNTIF(OFFSET(UFS!$E$2,MATCH($D105&amp;"",UFS!$A$2:$A$175,0)-1,0,COUNTIF(UFS!$A$2:$A$175,$D105&amp;""),1),M105)&gt;0),"Valide","Invalide")</f>
        <v>Valide</v>
      </c>
      <c r="AH105" s="15" t="str">
        <f t="shared" si="1"/>
        <v>En attente</v>
      </c>
    </row>
    <row r="106" spans="1:34" s="15" customFormat="1" ht="45" hidden="1" customHeight="1" x14ac:dyDescent="0.3">
      <c r="A106" s="42">
        <v>105</v>
      </c>
      <c r="B106" s="19" t="s">
        <v>16</v>
      </c>
      <c r="C106" s="19" t="s">
        <v>11</v>
      </c>
      <c r="D106" s="20" t="s">
        <v>190</v>
      </c>
      <c r="E106" s="20" t="s">
        <v>96</v>
      </c>
      <c r="F106" s="21" t="s">
        <v>80</v>
      </c>
      <c r="G106" s="38" t="s">
        <v>169</v>
      </c>
      <c r="H106" s="39" t="s">
        <v>560</v>
      </c>
      <c r="I106" s="39" t="s">
        <v>191</v>
      </c>
      <c r="J106" s="21" t="s">
        <v>144</v>
      </c>
      <c r="K106" s="21" t="s">
        <v>145</v>
      </c>
      <c r="L106" s="21" t="s">
        <v>192</v>
      </c>
      <c r="M106" s="21" t="s">
        <v>193</v>
      </c>
      <c r="N106" s="21" t="s">
        <v>102</v>
      </c>
      <c r="O106" s="20" t="s">
        <v>561</v>
      </c>
      <c r="P106" s="45">
        <v>45681</v>
      </c>
      <c r="Q106" s="39" t="s">
        <v>562</v>
      </c>
      <c r="R106" s="19">
        <v>6802.84</v>
      </c>
      <c r="S106" s="21">
        <v>0.1</v>
      </c>
      <c r="T106" s="21">
        <v>7483.1239999999998</v>
      </c>
      <c r="U106" s="44" t="s">
        <v>563</v>
      </c>
      <c r="V106" s="22">
        <v>45681</v>
      </c>
      <c r="W106" s="54" t="s">
        <v>91</v>
      </c>
      <c r="X106" s="23"/>
      <c r="Y106" s="23" t="s">
        <v>92</v>
      </c>
      <c r="Z106" s="58" t="s">
        <v>564</v>
      </c>
      <c r="AA106" s="24">
        <v>106</v>
      </c>
      <c r="AB106" s="47">
        <v>45691</v>
      </c>
      <c r="AC106" s="46" t="s">
        <v>94</v>
      </c>
      <c r="AD106" s="15" t="e">
        <f ca="1">IF(AND($D106&lt;&gt;"",COUNTIF(OFFSET(UFS!$E$2,MATCH($D106&amp;"",UFS!$A$2:$A$175,0)-1,0,COUNTIF(UFS!$A$2:$A$175,$D106&amp;""),1),M106)&gt;0),"Valide","Invalide")</f>
        <v>#N/A</v>
      </c>
      <c r="AH106" s="15" t="str">
        <f t="shared" si="1"/>
        <v>En attente</v>
      </c>
    </row>
    <row r="107" spans="1:34" s="15" customFormat="1" ht="45" hidden="1" customHeight="1" x14ac:dyDescent="0.3">
      <c r="A107" s="42">
        <v>106</v>
      </c>
      <c r="B107" s="19" t="s">
        <v>24</v>
      </c>
      <c r="C107" s="19" t="s">
        <v>151</v>
      </c>
      <c r="D107" s="20" t="s">
        <v>174</v>
      </c>
      <c r="E107" s="20" t="s">
        <v>79</v>
      </c>
      <c r="F107" s="21" t="s">
        <v>80</v>
      </c>
      <c r="G107" s="38" t="s">
        <v>81</v>
      </c>
      <c r="H107" s="39" t="s">
        <v>82</v>
      </c>
      <c r="I107" s="39" t="s">
        <v>83</v>
      </c>
      <c r="J107" s="21" t="s">
        <v>124</v>
      </c>
      <c r="K107" s="21" t="s">
        <v>125</v>
      </c>
      <c r="L107" s="21" t="s">
        <v>177</v>
      </c>
      <c r="M107" s="21" t="s">
        <v>136</v>
      </c>
      <c r="N107" s="21" t="s">
        <v>102</v>
      </c>
      <c r="O107" s="20" t="s">
        <v>565</v>
      </c>
      <c r="P107" s="45">
        <v>45684</v>
      </c>
      <c r="Q107" s="39" t="s">
        <v>566</v>
      </c>
      <c r="R107" s="19">
        <v>1833</v>
      </c>
      <c r="S107" s="21">
        <v>0.1</v>
      </c>
      <c r="T107" s="21">
        <v>2016.3</v>
      </c>
      <c r="U107" s="44" t="s">
        <v>155</v>
      </c>
      <c r="V107" s="22">
        <v>45684</v>
      </c>
      <c r="W107" s="54" t="s">
        <v>91</v>
      </c>
      <c r="X107" s="23"/>
      <c r="Y107" s="23" t="s">
        <v>92</v>
      </c>
      <c r="Z107" s="56"/>
      <c r="AA107" s="24">
        <v>93</v>
      </c>
      <c r="AB107" s="19"/>
      <c r="AC107" s="46" t="s">
        <v>94</v>
      </c>
      <c r="AD107" s="15" t="str">
        <f ca="1">IF(AND($D107&lt;&gt;"",COUNTIF(OFFSET(UFS!$E$2,MATCH($D107&amp;"",UFS!$A$2:$A$175,0)-1,0,COUNTIF(UFS!$A$2:$A$175,$D107&amp;""),1),M107)&gt;0),"Valide","Invalide")</f>
        <v>Valide</v>
      </c>
      <c r="AH107" s="15" t="str">
        <f t="shared" si="1"/>
        <v>En attente</v>
      </c>
    </row>
    <row r="108" spans="1:34" s="15" customFormat="1" ht="44.1" hidden="1" customHeight="1" x14ac:dyDescent="0.3">
      <c r="A108" s="42">
        <v>107</v>
      </c>
      <c r="B108" s="19" t="s">
        <v>14</v>
      </c>
      <c r="C108" s="19" t="s">
        <v>15</v>
      </c>
      <c r="D108" s="20" t="s">
        <v>95</v>
      </c>
      <c r="E108" s="20" t="s">
        <v>96</v>
      </c>
      <c r="F108" s="21" t="s">
        <v>80</v>
      </c>
      <c r="G108" s="38" t="s">
        <v>97</v>
      </c>
      <c r="H108" s="39"/>
      <c r="I108" s="39" t="s">
        <v>47</v>
      </c>
      <c r="J108" s="21" t="s">
        <v>98</v>
      </c>
      <c r="K108" s="21" t="s">
        <v>99</v>
      </c>
      <c r="L108" s="21" t="s">
        <v>100</v>
      </c>
      <c r="M108" s="21" t="s">
        <v>101</v>
      </c>
      <c r="N108" s="21" t="s">
        <v>102</v>
      </c>
      <c r="O108" s="20" t="s">
        <v>567</v>
      </c>
      <c r="P108" s="45">
        <v>45672</v>
      </c>
      <c r="Q108" s="39" t="s">
        <v>568</v>
      </c>
      <c r="R108" s="19">
        <v>1048.47</v>
      </c>
      <c r="S108" s="21">
        <v>0.1</v>
      </c>
      <c r="T108" s="21">
        <v>1048.47</v>
      </c>
      <c r="U108" s="44" t="s">
        <v>569</v>
      </c>
      <c r="V108" s="22">
        <v>45684</v>
      </c>
      <c r="W108" s="54" t="s">
        <v>91</v>
      </c>
      <c r="X108" s="23"/>
      <c r="Y108" s="23" t="s">
        <v>92</v>
      </c>
      <c r="Z108" s="56"/>
      <c r="AA108" s="24">
        <v>65</v>
      </c>
      <c r="AB108" s="19"/>
      <c r="AC108" s="19"/>
      <c r="AD108" s="15" t="str">
        <f ca="1">IF(AND($D108&lt;&gt;"",COUNTIF(OFFSET(UFS!$E$2,MATCH($D108&amp;"",UFS!$A$2:$A$175,0)-1,0,COUNTIF(UFS!$A$2:$A$175,$D108&amp;""),1),M108)&gt;0),"Valide","Invalide")</f>
        <v>Valide</v>
      </c>
      <c r="AH108" s="15" t="str">
        <f t="shared" si="1"/>
        <v>En attente</v>
      </c>
    </row>
    <row r="109" spans="1:34" s="15" customFormat="1" ht="45" hidden="1" customHeight="1" x14ac:dyDescent="0.3">
      <c r="A109" s="42">
        <v>108</v>
      </c>
      <c r="B109" s="19" t="s">
        <v>4</v>
      </c>
      <c r="C109" s="19" t="s">
        <v>36</v>
      </c>
      <c r="D109" s="20" t="s">
        <v>123</v>
      </c>
      <c r="E109" s="20" t="s">
        <v>79</v>
      </c>
      <c r="F109" s="21" t="s">
        <v>80</v>
      </c>
      <c r="G109" s="38" t="s">
        <v>241</v>
      </c>
      <c r="H109" s="39" t="s">
        <v>252</v>
      </c>
      <c r="I109" s="39" t="s">
        <v>253</v>
      </c>
      <c r="J109" s="21" t="s">
        <v>124</v>
      </c>
      <c r="K109" s="21" t="s">
        <v>125</v>
      </c>
      <c r="L109" s="21" t="s">
        <v>126</v>
      </c>
      <c r="M109" s="21" t="s">
        <v>109</v>
      </c>
      <c r="N109" s="21" t="s">
        <v>109</v>
      </c>
      <c r="O109" s="20" t="s">
        <v>570</v>
      </c>
      <c r="P109" s="45">
        <v>45679</v>
      </c>
      <c r="Q109" s="39" t="s">
        <v>571</v>
      </c>
      <c r="R109" s="19">
        <v>9255</v>
      </c>
      <c r="S109" s="21">
        <v>0.1</v>
      </c>
      <c r="T109" s="21">
        <v>10180.5</v>
      </c>
      <c r="U109" s="44" t="s">
        <v>399</v>
      </c>
      <c r="V109" s="22">
        <v>45685</v>
      </c>
      <c r="W109" s="54" t="s">
        <v>91</v>
      </c>
      <c r="X109" s="23"/>
      <c r="Y109" s="23" t="s">
        <v>92</v>
      </c>
      <c r="Z109" s="56"/>
      <c r="AA109" s="24">
        <v>94</v>
      </c>
      <c r="AB109" s="19"/>
      <c r="AC109" s="19"/>
      <c r="AD109" s="15" t="str">
        <f ca="1">IF(AND($D109&lt;&gt;"",COUNTIF(OFFSET(UFS!$E$2,MATCH($D109&amp;"",UFS!$A$2:$A$175,0)-1,0,COUNTIF(UFS!$A$2:$A$175,$D109&amp;""),1),M109)&gt;0),"Valide","Invalide")</f>
        <v>Valide</v>
      </c>
      <c r="AH109" s="15" t="str">
        <f t="shared" si="1"/>
        <v>En attente</v>
      </c>
    </row>
    <row r="110" spans="1:34" s="15" customFormat="1" ht="45" hidden="1" customHeight="1" x14ac:dyDescent="0.3">
      <c r="A110" s="42">
        <v>109</v>
      </c>
      <c r="B110" s="19" t="s">
        <v>16</v>
      </c>
      <c r="C110" s="19" t="s">
        <v>15</v>
      </c>
      <c r="D110" s="20" t="s">
        <v>190</v>
      </c>
      <c r="E110" s="20" t="s">
        <v>96</v>
      </c>
      <c r="F110" s="21" t="s">
        <v>80</v>
      </c>
      <c r="G110" s="38" t="s">
        <v>169</v>
      </c>
      <c r="H110" s="39"/>
      <c r="I110" s="39" t="s">
        <v>572</v>
      </c>
      <c r="J110" s="21" t="s">
        <v>144</v>
      </c>
      <c r="K110" s="21" t="s">
        <v>145</v>
      </c>
      <c r="L110" s="21" t="s">
        <v>192</v>
      </c>
      <c r="M110" s="21" t="s">
        <v>193</v>
      </c>
      <c r="N110" s="21" t="s">
        <v>102</v>
      </c>
      <c r="O110" s="20" t="s">
        <v>573</v>
      </c>
      <c r="P110" s="45">
        <v>45684</v>
      </c>
      <c r="Q110" s="39" t="s">
        <v>574</v>
      </c>
      <c r="R110" s="19">
        <v>3272.62</v>
      </c>
      <c r="S110" s="21">
        <v>0.1</v>
      </c>
      <c r="T110" s="21">
        <v>3599.8820000000001</v>
      </c>
      <c r="U110" s="44" t="s">
        <v>575</v>
      </c>
      <c r="V110" s="22">
        <v>45685</v>
      </c>
      <c r="W110" s="54" t="s">
        <v>91</v>
      </c>
      <c r="X110" s="23"/>
      <c r="Y110" s="23" t="s">
        <v>92</v>
      </c>
      <c r="Z110" s="58" t="s">
        <v>576</v>
      </c>
      <c r="AA110" s="24">
        <v>113</v>
      </c>
      <c r="AB110" s="19"/>
      <c r="AC110" s="46" t="s">
        <v>94</v>
      </c>
      <c r="AD110" s="15" t="e">
        <f ca="1">IF(AND($D110&lt;&gt;"",COUNTIF(OFFSET(UFS!$E$2,MATCH($D110&amp;"",UFS!$A$2:$A$175,0)-1,0,COUNTIF(UFS!$A$2:$A$175,$D110&amp;""),1),M110)&gt;0),"Valide","Invalide")</f>
        <v>#N/A</v>
      </c>
      <c r="AH110" s="15" t="str">
        <f t="shared" si="1"/>
        <v>En attente</v>
      </c>
    </row>
    <row r="111" spans="1:34" s="15" customFormat="1" ht="45" hidden="1" customHeight="1" x14ac:dyDescent="0.3">
      <c r="A111" s="42">
        <v>110</v>
      </c>
      <c r="B111" s="19" t="s">
        <v>26</v>
      </c>
      <c r="C111" s="19" t="s">
        <v>15</v>
      </c>
      <c r="D111" s="20" t="s">
        <v>432</v>
      </c>
      <c r="E111" s="20" t="s">
        <v>79</v>
      </c>
      <c r="F111" s="21" t="s">
        <v>433</v>
      </c>
      <c r="G111" s="38" t="s">
        <v>182</v>
      </c>
      <c r="H111" s="39" t="s">
        <v>577</v>
      </c>
      <c r="I111" s="39" t="s">
        <v>83</v>
      </c>
      <c r="J111" s="21" t="s">
        <v>144</v>
      </c>
      <c r="K111" s="21" t="s">
        <v>145</v>
      </c>
      <c r="L111" s="21" t="s">
        <v>434</v>
      </c>
      <c r="M111" s="21" t="s">
        <v>435</v>
      </c>
      <c r="N111" s="21" t="s">
        <v>436</v>
      </c>
      <c r="O111" s="20" t="s">
        <v>578</v>
      </c>
      <c r="P111" s="45">
        <v>45681</v>
      </c>
      <c r="Q111" s="39" t="s">
        <v>579</v>
      </c>
      <c r="R111" s="19">
        <v>4176.55</v>
      </c>
      <c r="S111" s="21">
        <v>0.1</v>
      </c>
      <c r="T111" s="21">
        <v>4594.2049999999999</v>
      </c>
      <c r="U111" s="60" t="s">
        <v>580</v>
      </c>
      <c r="V111" s="22">
        <v>45685</v>
      </c>
      <c r="W111" s="54" t="s">
        <v>91</v>
      </c>
      <c r="X111" s="23"/>
      <c r="Y111" s="23" t="s">
        <v>92</v>
      </c>
      <c r="Z111" s="56" t="s">
        <v>581</v>
      </c>
      <c r="AA111" s="24">
        <v>150</v>
      </c>
      <c r="AB111" s="19"/>
      <c r="AC111" s="46" t="s">
        <v>94</v>
      </c>
      <c r="AD111" s="15" t="str">
        <f ca="1">IF(AND($D111&lt;&gt;"",COUNTIF(OFFSET(UFS!$E$2,MATCH($D111&amp;"",UFS!$A$2:$A$175,0)-1,0,COUNTIF(UFS!$A$2:$A$175,$D111&amp;""),1),M111)&gt;0),"Valide","Invalide")</f>
        <v>Valide</v>
      </c>
      <c r="AH111" s="15" t="str">
        <f t="shared" si="1"/>
        <v>En attente</v>
      </c>
    </row>
    <row r="112" spans="1:34" s="15" customFormat="1" ht="45" hidden="1" customHeight="1" x14ac:dyDescent="0.3">
      <c r="A112" s="42">
        <v>111</v>
      </c>
      <c r="B112" s="19" t="s">
        <v>26</v>
      </c>
      <c r="C112" s="19" t="s">
        <v>15</v>
      </c>
      <c r="D112" s="20" t="s">
        <v>582</v>
      </c>
      <c r="E112" s="20" t="s">
        <v>79</v>
      </c>
      <c r="F112" s="21" t="s">
        <v>80</v>
      </c>
      <c r="G112" s="38" t="s">
        <v>182</v>
      </c>
      <c r="H112" s="39" t="s">
        <v>139</v>
      </c>
      <c r="I112" s="39" t="s">
        <v>83</v>
      </c>
      <c r="J112" s="21" t="s">
        <v>144</v>
      </c>
      <c r="K112" s="21" t="s">
        <v>145</v>
      </c>
      <c r="L112" s="21" t="s">
        <v>328</v>
      </c>
      <c r="M112" s="21" t="s">
        <v>327</v>
      </c>
      <c r="N112" s="21" t="s">
        <v>102</v>
      </c>
      <c r="O112" s="20" t="s">
        <v>583</v>
      </c>
      <c r="P112" s="45">
        <v>45681</v>
      </c>
      <c r="Q112" s="39" t="s">
        <v>584</v>
      </c>
      <c r="R112" s="19">
        <v>1175.6600000000001</v>
      </c>
      <c r="S112" s="21">
        <v>0.1</v>
      </c>
      <c r="T112" s="21">
        <v>1293.2260000000001</v>
      </c>
      <c r="U112" s="44" t="s">
        <v>585</v>
      </c>
      <c r="V112" s="22">
        <v>45685</v>
      </c>
      <c r="W112" s="54" t="s">
        <v>91</v>
      </c>
      <c r="X112" s="23"/>
      <c r="Y112" s="23" t="s">
        <v>92</v>
      </c>
      <c r="Z112" s="56"/>
      <c r="AA112" s="24">
        <v>95</v>
      </c>
      <c r="AB112" s="19"/>
      <c r="AC112" s="19"/>
      <c r="AD112" s="15" t="str">
        <f ca="1">IF(AND($D112&lt;&gt;"",COUNTIF(OFFSET(UFS!$E$2,MATCH($D112&amp;"",UFS!$A$2:$A$175,0)-1,0,COUNTIF(UFS!$A$2:$A$175,$D112&amp;""),1),M112)&gt;0),"Valide","Invalide")</f>
        <v>Invalide</v>
      </c>
      <c r="AH112" s="15" t="str">
        <f t="shared" si="1"/>
        <v>En attente</v>
      </c>
    </row>
    <row r="113" spans="1:34" s="15" customFormat="1" ht="45" hidden="1" customHeight="1" x14ac:dyDescent="0.3">
      <c r="A113" s="42">
        <v>112</v>
      </c>
      <c r="B113" s="19" t="s">
        <v>0</v>
      </c>
      <c r="C113" s="19" t="s">
        <v>586</v>
      </c>
      <c r="D113" s="20" t="s">
        <v>587</v>
      </c>
      <c r="E113" s="20" t="s">
        <v>79</v>
      </c>
      <c r="F113" s="21" t="s">
        <v>80</v>
      </c>
      <c r="G113" s="38" t="s">
        <v>81</v>
      </c>
      <c r="H113" s="39" t="s">
        <v>588</v>
      </c>
      <c r="I113" s="39"/>
      <c r="J113" s="21" t="s">
        <v>144</v>
      </c>
      <c r="K113" s="21" t="s">
        <v>145</v>
      </c>
      <c r="L113" s="21" t="s">
        <v>203</v>
      </c>
      <c r="M113" s="21" t="s">
        <v>589</v>
      </c>
      <c r="N113" s="21" t="s">
        <v>589</v>
      </c>
      <c r="O113" s="20" t="s">
        <v>590</v>
      </c>
      <c r="P113" s="45">
        <v>45673</v>
      </c>
      <c r="Q113" s="39" t="s">
        <v>591</v>
      </c>
      <c r="R113" s="19">
        <v>1299.1500000000001</v>
      </c>
      <c r="S113" s="21">
        <v>0.2</v>
      </c>
      <c r="T113" s="21">
        <v>1558.98</v>
      </c>
      <c r="U113" s="44" t="s">
        <v>592</v>
      </c>
      <c r="V113" s="22">
        <v>45685</v>
      </c>
      <c r="W113" s="54" t="s">
        <v>91</v>
      </c>
      <c r="X113" s="23"/>
      <c r="Y113" s="23" t="s">
        <v>92</v>
      </c>
      <c r="Z113" s="56" t="s">
        <v>593</v>
      </c>
      <c r="AA113" s="24">
        <v>107</v>
      </c>
      <c r="AB113" s="19"/>
      <c r="AC113" s="19"/>
      <c r="AD113" s="15" t="str">
        <f ca="1">IF(AND($D113&lt;&gt;"",COUNTIF(OFFSET(UFS!$E$2,MATCH($D113&amp;"",UFS!$A$2:$A$175,0)-1,0,COUNTIF(UFS!$A$2:$A$175,$D113&amp;""),1),M113)&gt;0),"Valide","Invalide")</f>
        <v>Valide</v>
      </c>
      <c r="AH113" s="15" t="str">
        <f t="shared" si="1"/>
        <v>En attente</v>
      </c>
    </row>
    <row r="114" spans="1:34" s="15" customFormat="1" ht="45" hidden="1" customHeight="1" x14ac:dyDescent="0.3">
      <c r="A114" s="42">
        <v>113</v>
      </c>
      <c r="B114" s="19" t="s">
        <v>20</v>
      </c>
      <c r="C114" s="19" t="s">
        <v>1</v>
      </c>
      <c r="D114" s="20" t="s">
        <v>432</v>
      </c>
      <c r="E114" s="20" t="s">
        <v>79</v>
      </c>
      <c r="F114" s="21" t="s">
        <v>433</v>
      </c>
      <c r="G114" s="38" t="s">
        <v>81</v>
      </c>
      <c r="H114" s="39" t="s">
        <v>82</v>
      </c>
      <c r="I114" s="39" t="s">
        <v>83</v>
      </c>
      <c r="J114" s="21" t="s">
        <v>144</v>
      </c>
      <c r="K114" s="21" t="s">
        <v>145</v>
      </c>
      <c r="L114" s="21" t="s">
        <v>434</v>
      </c>
      <c r="M114" s="21" t="s">
        <v>435</v>
      </c>
      <c r="N114" s="21" t="s">
        <v>436</v>
      </c>
      <c r="O114" s="20" t="s">
        <v>594</v>
      </c>
      <c r="P114" s="45">
        <v>45678</v>
      </c>
      <c r="Q114" s="39" t="s">
        <v>595</v>
      </c>
      <c r="R114" s="19">
        <v>1027.82</v>
      </c>
      <c r="S114" s="21">
        <v>0.1</v>
      </c>
      <c r="T114" s="21">
        <v>1130.6019999999999</v>
      </c>
      <c r="U114" s="60" t="s">
        <v>439</v>
      </c>
      <c r="V114" s="22">
        <v>45685</v>
      </c>
      <c r="W114" s="54" t="s">
        <v>91</v>
      </c>
      <c r="X114" s="23"/>
      <c r="Y114" s="23" t="s">
        <v>92</v>
      </c>
      <c r="Z114" s="56"/>
      <c r="AA114" s="24">
        <v>96</v>
      </c>
      <c r="AB114" s="19"/>
      <c r="AC114" s="46" t="s">
        <v>94</v>
      </c>
      <c r="AD114" s="15" t="str">
        <f ca="1">IF(AND($D114&lt;&gt;"",COUNTIF(OFFSET(UFS!$E$2,MATCH($D114&amp;"",UFS!$A$2:$A$175,0)-1,0,COUNTIF(UFS!$A$2:$A$175,$D114&amp;""),1),M114)&gt;0),"Valide","Invalide")</f>
        <v>Valide</v>
      </c>
      <c r="AH114" s="15" t="str">
        <f t="shared" si="1"/>
        <v>En attente</v>
      </c>
    </row>
    <row r="115" spans="1:34" s="15" customFormat="1" ht="49.5" hidden="1" customHeight="1" x14ac:dyDescent="0.3">
      <c r="A115" s="42">
        <v>114</v>
      </c>
      <c r="B115" s="19" t="s">
        <v>20</v>
      </c>
      <c r="C115" s="19" t="s">
        <v>1</v>
      </c>
      <c r="D115" s="20" t="s">
        <v>473</v>
      </c>
      <c r="E115" s="20" t="s">
        <v>79</v>
      </c>
      <c r="F115" s="21" t="s">
        <v>80</v>
      </c>
      <c r="G115" s="38" t="s">
        <v>81</v>
      </c>
      <c r="H115" s="39" t="s">
        <v>82</v>
      </c>
      <c r="I115" s="39" t="s">
        <v>83</v>
      </c>
      <c r="J115" s="21" t="s">
        <v>268</v>
      </c>
      <c r="K115" s="21" t="s">
        <v>269</v>
      </c>
      <c r="L115" s="21" t="s">
        <v>270</v>
      </c>
      <c r="M115" s="21" t="s">
        <v>269</v>
      </c>
      <c r="N115" s="21" t="s">
        <v>87</v>
      </c>
      <c r="O115" s="20" t="s">
        <v>596</v>
      </c>
      <c r="P115" s="45">
        <v>45678</v>
      </c>
      <c r="Q115" s="39" t="s">
        <v>597</v>
      </c>
      <c r="R115" s="19">
        <v>369.66</v>
      </c>
      <c r="S115" s="21">
        <v>0.2</v>
      </c>
      <c r="T115" s="21">
        <v>443.59200000000004</v>
      </c>
      <c r="U115" s="44" t="s">
        <v>439</v>
      </c>
      <c r="V115" s="22">
        <v>45685</v>
      </c>
      <c r="W115" s="54" t="s">
        <v>91</v>
      </c>
      <c r="X115" s="23"/>
      <c r="Y115" s="23" t="s">
        <v>92</v>
      </c>
      <c r="Z115" s="56"/>
      <c r="AA115" s="24">
        <v>97</v>
      </c>
      <c r="AB115" s="19"/>
      <c r="AC115" s="46" t="s">
        <v>94</v>
      </c>
      <c r="AD115" s="15" t="str">
        <f ca="1">IF(AND($D115&lt;&gt;"",COUNTIF(OFFSET(UFS!$E$2,MATCH($D115&amp;"",UFS!$A$2:$A$175,0)-1,0,COUNTIF(UFS!$A$2:$A$175,$D115&amp;""),1),M115)&gt;0),"Valide","Invalide")</f>
        <v>Valide</v>
      </c>
      <c r="AH115" s="15" t="str">
        <f t="shared" si="1"/>
        <v>En attente</v>
      </c>
    </row>
    <row r="116" spans="1:34" s="15" customFormat="1" ht="40.5" hidden="1" customHeight="1" x14ac:dyDescent="0.3">
      <c r="A116" s="42">
        <v>115</v>
      </c>
      <c r="B116" s="19" t="s">
        <v>20</v>
      </c>
      <c r="C116" s="19" t="s">
        <v>1</v>
      </c>
      <c r="D116" s="20" t="s">
        <v>598</v>
      </c>
      <c r="E116" s="20" t="s">
        <v>79</v>
      </c>
      <c r="F116" s="21" t="s">
        <v>80</v>
      </c>
      <c r="G116" s="38" t="s">
        <v>81</v>
      </c>
      <c r="H116" s="39" t="s">
        <v>82</v>
      </c>
      <c r="I116" s="39" t="s">
        <v>83</v>
      </c>
      <c r="J116" s="21" t="s">
        <v>183</v>
      </c>
      <c r="K116" s="21" t="s">
        <v>184</v>
      </c>
      <c r="L116" s="21" t="s">
        <v>492</v>
      </c>
      <c r="M116" s="21" t="s">
        <v>186</v>
      </c>
      <c r="N116" s="21" t="s">
        <v>102</v>
      </c>
      <c r="O116" s="20" t="s">
        <v>599</v>
      </c>
      <c r="P116" s="45">
        <v>45678</v>
      </c>
      <c r="Q116" s="39" t="s">
        <v>600</v>
      </c>
      <c r="R116" s="19">
        <v>369.66</v>
      </c>
      <c r="S116" s="21">
        <v>0.1</v>
      </c>
      <c r="T116" s="21">
        <v>406.62600000000003</v>
      </c>
      <c r="U116" s="44" t="s">
        <v>439</v>
      </c>
      <c r="V116" s="22">
        <v>45685</v>
      </c>
      <c r="W116" s="54" t="s">
        <v>91</v>
      </c>
      <c r="X116" s="23"/>
      <c r="Y116" s="23" t="s">
        <v>92</v>
      </c>
      <c r="Z116" s="56"/>
      <c r="AA116" s="24">
        <v>144</v>
      </c>
      <c r="AB116" s="19"/>
      <c r="AC116" s="46" t="s">
        <v>94</v>
      </c>
      <c r="AD116" s="15" t="str">
        <f ca="1">IF(AND($D116&lt;&gt;"",COUNTIF(OFFSET(UFS!$E$2,MATCH($D116&amp;"",UFS!$A$2:$A$175,0)-1,0,COUNTIF(UFS!$A$2:$A$175,$D116&amp;""),1),M116)&gt;0),"Valide","Invalide")</f>
        <v>Valide</v>
      </c>
      <c r="AH116" s="15" t="str">
        <f t="shared" si="1"/>
        <v>En attente</v>
      </c>
    </row>
    <row r="117" spans="1:34" s="15" customFormat="1" ht="45.75" hidden="1" customHeight="1" x14ac:dyDescent="0.3">
      <c r="A117" s="42">
        <v>116</v>
      </c>
      <c r="B117" s="19" t="s">
        <v>20</v>
      </c>
      <c r="C117" s="19" t="s">
        <v>1</v>
      </c>
      <c r="D117" s="20" t="s">
        <v>512</v>
      </c>
      <c r="E117" s="20" t="s">
        <v>79</v>
      </c>
      <c r="F117" s="21" t="s">
        <v>80</v>
      </c>
      <c r="G117" s="38" t="s">
        <v>81</v>
      </c>
      <c r="H117" s="39" t="s">
        <v>82</v>
      </c>
      <c r="I117" s="39" t="s">
        <v>83</v>
      </c>
      <c r="J117" s="21" t="s">
        <v>98</v>
      </c>
      <c r="K117" s="21" t="s">
        <v>99</v>
      </c>
      <c r="L117" s="21" t="s">
        <v>100</v>
      </c>
      <c r="M117" s="21" t="s">
        <v>101</v>
      </c>
      <c r="N117" s="21" t="s">
        <v>87</v>
      </c>
      <c r="O117" s="20" t="s">
        <v>601</v>
      </c>
      <c r="P117" s="45">
        <v>45678</v>
      </c>
      <c r="Q117" s="39" t="s">
        <v>602</v>
      </c>
      <c r="R117" s="19">
        <v>94.64</v>
      </c>
      <c r="S117" s="21">
        <v>0.2</v>
      </c>
      <c r="T117" s="21">
        <v>113.568</v>
      </c>
      <c r="U117" s="44" t="s">
        <v>439</v>
      </c>
      <c r="V117" s="22">
        <v>45685</v>
      </c>
      <c r="W117" s="54" t="s">
        <v>91</v>
      </c>
      <c r="X117" s="23"/>
      <c r="Y117" s="23" t="s">
        <v>92</v>
      </c>
      <c r="Z117" s="56"/>
      <c r="AA117" s="24">
        <v>145</v>
      </c>
      <c r="AB117" s="19"/>
      <c r="AC117" s="46" t="s">
        <v>94</v>
      </c>
      <c r="AD117" s="15" t="str">
        <f ca="1">IF(AND($D117&lt;&gt;"",COUNTIF(OFFSET(UFS!$E$2,MATCH($D117&amp;"",UFS!$A$2:$A$175,0)-1,0,COUNTIF(UFS!$A$2:$A$175,$D117&amp;""),1),M117)&gt;0),"Valide","Invalide")</f>
        <v>Valide</v>
      </c>
      <c r="AH117" s="15" t="str">
        <f t="shared" si="1"/>
        <v>En attente</v>
      </c>
    </row>
    <row r="118" spans="1:34" s="15" customFormat="1" ht="39" hidden="1" customHeight="1" x14ac:dyDescent="0.3">
      <c r="A118" s="42">
        <v>117</v>
      </c>
      <c r="B118" s="19" t="s">
        <v>14</v>
      </c>
      <c r="C118" s="19" t="s">
        <v>603</v>
      </c>
      <c r="D118" s="32" t="s">
        <v>604</v>
      </c>
      <c r="E118" s="20" t="s">
        <v>79</v>
      </c>
      <c r="F118" s="21" t="s">
        <v>80</v>
      </c>
      <c r="G118" s="38" t="s">
        <v>182</v>
      </c>
      <c r="H118" s="39"/>
      <c r="I118" s="39" t="s">
        <v>83</v>
      </c>
      <c r="J118" s="21" t="s">
        <v>144</v>
      </c>
      <c r="K118" s="21" t="s">
        <v>145</v>
      </c>
      <c r="L118" s="21" t="s">
        <v>146</v>
      </c>
      <c r="M118" s="21" t="s">
        <v>146</v>
      </c>
      <c r="N118" s="21" t="s">
        <v>605</v>
      </c>
      <c r="O118" s="38" t="s">
        <v>606</v>
      </c>
      <c r="P118" s="45">
        <v>45685</v>
      </c>
      <c r="Q118" s="39" t="s">
        <v>607</v>
      </c>
      <c r="R118" s="19">
        <v>340</v>
      </c>
      <c r="S118" s="21">
        <v>0.2</v>
      </c>
      <c r="T118" s="21">
        <v>408</v>
      </c>
      <c r="U118" s="44" t="s">
        <v>608</v>
      </c>
      <c r="V118" s="22">
        <v>45685</v>
      </c>
      <c r="W118" s="54" t="s">
        <v>91</v>
      </c>
      <c r="X118" s="23"/>
      <c r="Y118" s="23" t="s">
        <v>92</v>
      </c>
      <c r="Z118" s="56" t="s">
        <v>609</v>
      </c>
      <c r="AA118" s="24">
        <v>0</v>
      </c>
      <c r="AB118" s="19"/>
      <c r="AC118" s="19"/>
      <c r="AD118" s="15" t="str">
        <f ca="1">IF(AND($D118&lt;&gt;"",COUNTIF(OFFSET(UFS!$E$2,MATCH($D118&amp;"",UFS!$A$2:$A$175,0)-1,0,COUNTIF(UFS!$A$2:$A$175,$D118&amp;""),1),M118)&gt;0),"Valide","Invalide")</f>
        <v>Valide</v>
      </c>
      <c r="AH118" s="15" t="str">
        <f t="shared" si="1"/>
        <v>En attente</v>
      </c>
    </row>
    <row r="119" spans="1:34" s="15" customFormat="1" ht="53.25" hidden="1" customHeight="1" x14ac:dyDescent="0.3">
      <c r="A119" s="42">
        <v>118</v>
      </c>
      <c r="B119" s="19" t="s">
        <v>26</v>
      </c>
      <c r="C119" s="19" t="s">
        <v>35</v>
      </c>
      <c r="D119" s="20" t="s">
        <v>610</v>
      </c>
      <c r="E119" s="20" t="s">
        <v>79</v>
      </c>
      <c r="F119" s="21" t="s">
        <v>80</v>
      </c>
      <c r="G119" s="38" t="s">
        <v>81</v>
      </c>
      <c r="H119" s="39" t="s">
        <v>215</v>
      </c>
      <c r="I119" s="39" t="s">
        <v>83</v>
      </c>
      <c r="J119" s="21" t="s">
        <v>144</v>
      </c>
      <c r="K119" s="21" t="s">
        <v>145</v>
      </c>
      <c r="L119" s="21" t="s">
        <v>611</v>
      </c>
      <c r="M119" s="21" t="s">
        <v>612</v>
      </c>
      <c r="N119" s="21" t="s">
        <v>613</v>
      </c>
      <c r="O119" s="20" t="s">
        <v>614</v>
      </c>
      <c r="P119" s="45">
        <v>45684</v>
      </c>
      <c r="Q119" s="39" t="s">
        <v>615</v>
      </c>
      <c r="R119" s="19">
        <v>480.1</v>
      </c>
      <c r="S119" s="21">
        <v>0.2</v>
      </c>
      <c r="T119" s="21">
        <v>576.12</v>
      </c>
      <c r="U119" s="44" t="s">
        <v>616</v>
      </c>
      <c r="V119" s="22">
        <v>45685</v>
      </c>
      <c r="W119" s="54" t="s">
        <v>91</v>
      </c>
      <c r="X119" s="23"/>
      <c r="Y119" s="23" t="s">
        <v>92</v>
      </c>
      <c r="Z119" s="56"/>
      <c r="AA119" s="24">
        <v>108</v>
      </c>
      <c r="AB119" s="19"/>
      <c r="AC119" s="19"/>
      <c r="AD119" s="15" t="str">
        <f ca="1">IF(AND($D119&lt;&gt;"",COUNTIF(OFFSET(UFS!$E$2,MATCH($D119&amp;"",UFS!$A$2:$A$175,0)-1,0,COUNTIF(UFS!$A$2:$A$175,$D119&amp;""),1),M119)&gt;0),"Valide","Invalide")</f>
        <v>Valide</v>
      </c>
      <c r="AH119" s="15" t="str">
        <f t="shared" si="1"/>
        <v>En attente</v>
      </c>
    </row>
    <row r="120" spans="1:34" s="15" customFormat="1" ht="46.5" hidden="1" customHeight="1" x14ac:dyDescent="0.3">
      <c r="A120" s="42">
        <v>119</v>
      </c>
      <c r="B120" s="19" t="s">
        <v>6</v>
      </c>
      <c r="C120" s="19" t="s">
        <v>31</v>
      </c>
      <c r="D120" s="20" t="s">
        <v>413</v>
      </c>
      <c r="E120" s="20" t="s">
        <v>79</v>
      </c>
      <c r="F120" s="21" t="s">
        <v>80</v>
      </c>
      <c r="G120" s="38" t="s">
        <v>241</v>
      </c>
      <c r="H120" s="39" t="s">
        <v>242</v>
      </c>
      <c r="I120" s="39" t="s">
        <v>243</v>
      </c>
      <c r="J120" s="21" t="s">
        <v>183</v>
      </c>
      <c r="K120" s="21" t="s">
        <v>184</v>
      </c>
      <c r="L120" s="21" t="s">
        <v>185</v>
      </c>
      <c r="M120" s="21" t="s">
        <v>109</v>
      </c>
      <c r="N120" s="21" t="s">
        <v>109</v>
      </c>
      <c r="O120" s="20" t="s">
        <v>617</v>
      </c>
      <c r="P120" s="45">
        <v>45685</v>
      </c>
      <c r="Q120" s="39" t="s">
        <v>618</v>
      </c>
      <c r="R120" s="19">
        <v>668.82</v>
      </c>
      <c r="S120" s="21">
        <v>0.1</v>
      </c>
      <c r="T120" s="21">
        <v>735.70200000000011</v>
      </c>
      <c r="U120" s="44" t="s">
        <v>619</v>
      </c>
      <c r="V120" s="22">
        <v>45686</v>
      </c>
      <c r="W120" s="54" t="s">
        <v>91</v>
      </c>
      <c r="X120" s="23"/>
      <c r="Y120" s="23" t="s">
        <v>92</v>
      </c>
      <c r="Z120" s="56"/>
      <c r="AA120" s="24">
        <v>109</v>
      </c>
      <c r="AB120" s="19"/>
      <c r="AC120" s="46" t="s">
        <v>94</v>
      </c>
      <c r="AD120" s="15" t="str">
        <f ca="1">IF(AND($D120&lt;&gt;"",COUNTIF(OFFSET(UFS!$E$2,MATCH($D120&amp;"",UFS!$A$2:$A$175,0)-1,0,COUNTIF(UFS!$A$2:$A$175,$D120&amp;""),1),M120)&gt;0),"Valide","Invalide")</f>
        <v>Valide</v>
      </c>
      <c r="AH120" s="15" t="str">
        <f t="shared" si="1"/>
        <v>En attente</v>
      </c>
    </row>
    <row r="121" spans="1:34" s="15" customFormat="1" ht="36.75" hidden="1" customHeight="1" x14ac:dyDescent="0.3">
      <c r="A121" s="42">
        <v>120</v>
      </c>
      <c r="B121" s="19" t="s">
        <v>16</v>
      </c>
      <c r="C121" s="19" t="s">
        <v>35</v>
      </c>
      <c r="D121" s="20" t="s">
        <v>543</v>
      </c>
      <c r="E121" s="20" t="s">
        <v>79</v>
      </c>
      <c r="F121" s="21" t="s">
        <v>80</v>
      </c>
      <c r="G121" s="38" t="s">
        <v>81</v>
      </c>
      <c r="H121" s="39" t="s">
        <v>215</v>
      </c>
      <c r="I121" s="39" t="s">
        <v>83</v>
      </c>
      <c r="J121" s="21" t="s">
        <v>183</v>
      </c>
      <c r="K121" s="21" t="s">
        <v>544</v>
      </c>
      <c r="L121" s="21" t="s">
        <v>342</v>
      </c>
      <c r="M121" s="21" t="s">
        <v>544</v>
      </c>
      <c r="N121" s="21" t="s">
        <v>151</v>
      </c>
      <c r="O121" s="20" t="s">
        <v>620</v>
      </c>
      <c r="P121" s="45">
        <v>45686</v>
      </c>
      <c r="Q121" s="39" t="s">
        <v>559</v>
      </c>
      <c r="R121" s="19">
        <v>480.1</v>
      </c>
      <c r="S121" s="21">
        <v>0.2</v>
      </c>
      <c r="T121" s="21">
        <v>576.12</v>
      </c>
      <c r="U121" s="44" t="s">
        <v>621</v>
      </c>
      <c r="V121" s="22">
        <v>45686</v>
      </c>
      <c r="W121" s="54" t="s">
        <v>91</v>
      </c>
      <c r="X121" s="23"/>
      <c r="Y121" s="23" t="s">
        <v>92</v>
      </c>
      <c r="Z121" s="56"/>
      <c r="AA121" s="24">
        <v>98</v>
      </c>
      <c r="AB121" s="19"/>
      <c r="AC121" s="46" t="s">
        <v>94</v>
      </c>
      <c r="AD121" s="15" t="str">
        <f ca="1">IF(AND($D121&lt;&gt;"",COUNTIF(OFFSET(UFS!$E$2,MATCH($D121&amp;"",UFS!$A$2:$A$175,0)-1,0,COUNTIF(UFS!$A$2:$A$175,$D121&amp;""),1),M121)&gt;0),"Valide","Invalide")</f>
        <v>Valide</v>
      </c>
      <c r="AH121" s="15" t="str">
        <f t="shared" si="1"/>
        <v>En attente</v>
      </c>
    </row>
    <row r="122" spans="1:34" s="15" customFormat="1" ht="49.5" hidden="1" customHeight="1" x14ac:dyDescent="0.3">
      <c r="A122" s="42">
        <v>121</v>
      </c>
      <c r="B122" s="19" t="s">
        <v>16</v>
      </c>
      <c r="C122" s="19" t="s">
        <v>28</v>
      </c>
      <c r="D122" s="20" t="s">
        <v>464</v>
      </c>
      <c r="E122" s="20" t="s">
        <v>79</v>
      </c>
      <c r="F122" s="21" t="s">
        <v>80</v>
      </c>
      <c r="G122" s="38" t="s">
        <v>182</v>
      </c>
      <c r="H122" s="39" t="s">
        <v>82</v>
      </c>
      <c r="I122" s="39" t="s">
        <v>83</v>
      </c>
      <c r="J122" s="21" t="s">
        <v>144</v>
      </c>
      <c r="K122" s="21" t="s">
        <v>350</v>
      </c>
      <c r="L122" s="21" t="s">
        <v>278</v>
      </c>
      <c r="M122" s="21" t="s">
        <v>351</v>
      </c>
      <c r="N122" s="21" t="s">
        <v>151</v>
      </c>
      <c r="O122" s="20" t="s">
        <v>622</v>
      </c>
      <c r="P122" s="45">
        <v>45686</v>
      </c>
      <c r="Q122" s="39" t="s">
        <v>623</v>
      </c>
      <c r="R122" s="19">
        <v>22704.36</v>
      </c>
      <c r="S122" s="21">
        <v>0.1</v>
      </c>
      <c r="T122" s="21">
        <v>24974.796000000002</v>
      </c>
      <c r="U122" s="44" t="s">
        <v>624</v>
      </c>
      <c r="V122" s="22">
        <v>45686</v>
      </c>
      <c r="W122" s="54" t="s">
        <v>91</v>
      </c>
      <c r="X122" s="23"/>
      <c r="Y122" s="23" t="s">
        <v>92</v>
      </c>
      <c r="Z122" s="56"/>
      <c r="AA122" s="24">
        <v>110</v>
      </c>
      <c r="AB122" s="19"/>
      <c r="AC122" s="46" t="s">
        <v>94</v>
      </c>
      <c r="AD122" s="15" t="str">
        <f ca="1">IF(AND($D122&lt;&gt;"",COUNTIF(OFFSET(UFS!$E$2,MATCH($D122&amp;"",UFS!$A$2:$A$175,0)-1,0,COUNTIF(UFS!$A$2:$A$175,$D122&amp;""),1),M122)&gt;0),"Valide","Invalide")</f>
        <v>Valide</v>
      </c>
      <c r="AH122" s="15" t="str">
        <f t="shared" si="1"/>
        <v>En attente</v>
      </c>
    </row>
    <row r="123" spans="1:34" s="15" customFormat="1" ht="49.5" hidden="1" customHeight="1" x14ac:dyDescent="0.3">
      <c r="A123" s="42">
        <v>122</v>
      </c>
      <c r="B123" s="19" t="s">
        <v>24</v>
      </c>
      <c r="C123" s="19" t="s">
        <v>35</v>
      </c>
      <c r="D123" s="20" t="s">
        <v>174</v>
      </c>
      <c r="E123" s="20" t="s">
        <v>79</v>
      </c>
      <c r="F123" s="21" t="s">
        <v>80</v>
      </c>
      <c r="G123" s="38" t="s">
        <v>81</v>
      </c>
      <c r="H123" s="39" t="s">
        <v>215</v>
      </c>
      <c r="I123" s="39" t="s">
        <v>83</v>
      </c>
      <c r="J123" s="21" t="s">
        <v>124</v>
      </c>
      <c r="K123" s="21" t="s">
        <v>125</v>
      </c>
      <c r="L123" s="21" t="s">
        <v>177</v>
      </c>
      <c r="M123" s="21" t="s">
        <v>136</v>
      </c>
      <c r="N123" s="21" t="s">
        <v>102</v>
      </c>
      <c r="O123" s="20" t="s">
        <v>625</v>
      </c>
      <c r="P123" s="45">
        <v>45686</v>
      </c>
      <c r="Q123" s="39" t="s">
        <v>626</v>
      </c>
      <c r="R123" s="19">
        <v>338.66</v>
      </c>
      <c r="S123" s="21">
        <v>0.1</v>
      </c>
      <c r="T123" s="21">
        <v>372.52600000000001</v>
      </c>
      <c r="U123" s="44" t="s">
        <v>627</v>
      </c>
      <c r="V123" s="22">
        <v>45686</v>
      </c>
      <c r="W123" s="54" t="s">
        <v>91</v>
      </c>
      <c r="X123" s="23"/>
      <c r="Y123" s="23" t="s">
        <v>92</v>
      </c>
      <c r="Z123" s="56"/>
      <c r="AA123" s="24">
        <v>111</v>
      </c>
      <c r="AB123" s="19"/>
      <c r="AC123" s="46" t="s">
        <v>94</v>
      </c>
      <c r="AD123" s="15" t="str">
        <f ca="1">IF(AND($D123&lt;&gt;"",COUNTIF(OFFSET(UFS!$E$2,MATCH($D123&amp;"",UFS!$A$2:$A$175,0)-1,0,COUNTIF(UFS!$A$2:$A$175,$D123&amp;""),1),M123)&gt;0),"Valide","Invalide")</f>
        <v>Valide</v>
      </c>
      <c r="AH123" s="15" t="str">
        <f t="shared" si="1"/>
        <v>En attente</v>
      </c>
    </row>
    <row r="124" spans="1:34" s="15" customFormat="1" ht="42.75" hidden="1" customHeight="1" x14ac:dyDescent="0.3">
      <c r="A124" s="42">
        <v>123</v>
      </c>
      <c r="B124" s="19" t="s">
        <v>24</v>
      </c>
      <c r="C124" s="19" t="s">
        <v>11</v>
      </c>
      <c r="D124" s="20" t="s">
        <v>628</v>
      </c>
      <c r="E124" s="20" t="s">
        <v>79</v>
      </c>
      <c r="F124" s="21" t="s">
        <v>80</v>
      </c>
      <c r="G124" s="38" t="s">
        <v>81</v>
      </c>
      <c r="H124" s="39" t="s">
        <v>82</v>
      </c>
      <c r="I124" s="39" t="s">
        <v>83</v>
      </c>
      <c r="J124" s="21" t="s">
        <v>124</v>
      </c>
      <c r="K124" s="21" t="s">
        <v>125</v>
      </c>
      <c r="L124" s="21" t="s">
        <v>629</v>
      </c>
      <c r="M124" s="21" t="s">
        <v>136</v>
      </c>
      <c r="N124" s="21" t="s">
        <v>102</v>
      </c>
      <c r="O124" s="20" t="s">
        <v>630</v>
      </c>
      <c r="P124" s="45">
        <v>45684</v>
      </c>
      <c r="Q124" s="39" t="s">
        <v>631</v>
      </c>
      <c r="R124" s="19">
        <v>1565.29</v>
      </c>
      <c r="S124" s="21">
        <v>0.1</v>
      </c>
      <c r="T124" s="21">
        <v>1565.29</v>
      </c>
      <c r="U124" s="44" t="s">
        <v>632</v>
      </c>
      <c r="V124" s="22">
        <v>45686</v>
      </c>
      <c r="W124" s="54" t="s">
        <v>91</v>
      </c>
      <c r="X124" s="23"/>
      <c r="Y124" s="23" t="s">
        <v>92</v>
      </c>
      <c r="Z124" s="56"/>
      <c r="AA124" s="24">
        <v>112</v>
      </c>
      <c r="AB124" s="19"/>
      <c r="AC124" s="46" t="s">
        <v>94</v>
      </c>
      <c r="AD124" s="15" t="str">
        <f ca="1">IF(AND($D124&lt;&gt;"",COUNTIF(OFFSET(UFS!$E$2,MATCH($D124&amp;"",UFS!$A$2:$A$175,0)-1,0,COUNTIF(UFS!$A$2:$A$175,$D124&amp;""),1),M124)&gt;0),"Valide","Invalide")</f>
        <v>Valide</v>
      </c>
      <c r="AH124" s="15" t="str">
        <f t="shared" si="1"/>
        <v>En attente</v>
      </c>
    </row>
    <row r="125" spans="1:34" s="15" customFormat="1" ht="59.25" hidden="1" customHeight="1" x14ac:dyDescent="0.3">
      <c r="A125" s="42">
        <v>124</v>
      </c>
      <c r="B125" s="19" t="s">
        <v>20</v>
      </c>
      <c r="C125" s="19" t="s">
        <v>37</v>
      </c>
      <c r="D125" s="20" t="s">
        <v>633</v>
      </c>
      <c r="E125" s="20" t="s">
        <v>79</v>
      </c>
      <c r="F125" s="21" t="s">
        <v>80</v>
      </c>
      <c r="G125" s="38" t="s">
        <v>241</v>
      </c>
      <c r="H125" s="39" t="s">
        <v>367</v>
      </c>
      <c r="I125" s="39" t="s">
        <v>368</v>
      </c>
      <c r="J125" s="21" t="s">
        <v>634</v>
      </c>
      <c r="K125" s="21" t="s">
        <v>635</v>
      </c>
      <c r="L125" s="21" t="s">
        <v>636</v>
      </c>
      <c r="M125" s="21" t="s">
        <v>637</v>
      </c>
      <c r="N125" s="21" t="s">
        <v>151</v>
      </c>
      <c r="O125" s="20" t="s">
        <v>638</v>
      </c>
      <c r="P125" s="45">
        <v>45695</v>
      </c>
      <c r="Q125" s="39" t="s">
        <v>639</v>
      </c>
      <c r="R125" s="19">
        <v>14065.19</v>
      </c>
      <c r="S125" s="21">
        <v>0.2</v>
      </c>
      <c r="T125" s="21">
        <v>16878.227999999999</v>
      </c>
      <c r="U125" s="44" t="s">
        <v>371</v>
      </c>
      <c r="V125" s="22">
        <v>45687</v>
      </c>
      <c r="W125" s="54" t="s">
        <v>91</v>
      </c>
      <c r="X125" s="23"/>
      <c r="Y125" s="23" t="s">
        <v>92</v>
      </c>
      <c r="Z125" s="56" t="s">
        <v>640</v>
      </c>
      <c r="AA125" s="24">
        <v>146</v>
      </c>
      <c r="AB125" s="19"/>
      <c r="AC125" s="46" t="s">
        <v>94</v>
      </c>
      <c r="AD125" s="15" t="str">
        <f ca="1">IF(AND($D125&lt;&gt;"",COUNTIF(OFFSET(UFS!$E$2,MATCH($D125&amp;"",UFS!$A$2:$A$175,0)-1,0,COUNTIF(UFS!$A$2:$A$175,$D125&amp;""),1),M125)&gt;0),"Valide","Invalide")</f>
        <v>Valide</v>
      </c>
      <c r="AH125" s="15" t="str">
        <f t="shared" si="1"/>
        <v>En attente</v>
      </c>
    </row>
    <row r="126" spans="1:34" s="15" customFormat="1" ht="41.25" hidden="1" customHeight="1" x14ac:dyDescent="0.3">
      <c r="A126" s="42">
        <v>125</v>
      </c>
      <c r="B126" s="19" t="s">
        <v>425</v>
      </c>
      <c r="C126" s="19" t="s">
        <v>35</v>
      </c>
      <c r="D126" s="20" t="s">
        <v>604</v>
      </c>
      <c r="E126" s="20" t="s">
        <v>79</v>
      </c>
      <c r="F126" s="21" t="s">
        <v>80</v>
      </c>
      <c r="G126" s="38" t="s">
        <v>81</v>
      </c>
      <c r="H126" s="39" t="s">
        <v>367</v>
      </c>
      <c r="I126" s="39" t="s">
        <v>83</v>
      </c>
      <c r="J126" s="21" t="s">
        <v>144</v>
      </c>
      <c r="K126" s="21" t="s">
        <v>145</v>
      </c>
      <c r="L126" s="21" t="s">
        <v>146</v>
      </c>
      <c r="M126" s="21" t="s">
        <v>146</v>
      </c>
      <c r="N126" s="21" t="s">
        <v>605</v>
      </c>
      <c r="O126" s="20" t="s">
        <v>641</v>
      </c>
      <c r="P126" s="45">
        <v>45622</v>
      </c>
      <c r="Q126" s="39" t="s">
        <v>642</v>
      </c>
      <c r="R126" s="19">
        <v>2738.83</v>
      </c>
      <c r="S126" s="21">
        <v>0.2</v>
      </c>
      <c r="T126" s="21">
        <v>3286.596</v>
      </c>
      <c r="U126" s="44" t="s">
        <v>429</v>
      </c>
      <c r="V126" s="22">
        <v>45687</v>
      </c>
      <c r="W126" s="54" t="s">
        <v>91</v>
      </c>
      <c r="X126" s="23"/>
      <c r="Y126" s="23" t="s">
        <v>92</v>
      </c>
      <c r="Z126" s="56"/>
      <c r="AA126" s="24">
        <v>114</v>
      </c>
      <c r="AB126" s="19"/>
      <c r="AC126" s="19"/>
      <c r="AD126" s="15" t="str">
        <f ca="1">IF(AND($D126&lt;&gt;"",COUNTIF(OFFSET(UFS!$E$2,MATCH($D126&amp;"",UFS!$A$2:$A$175,0)-1,0,COUNTIF(UFS!$A$2:$A$175,$D126&amp;""),1),M126)&gt;0),"Valide","Invalide")</f>
        <v>Valide</v>
      </c>
      <c r="AH126" s="15" t="str">
        <f t="shared" si="1"/>
        <v>En attente</v>
      </c>
    </row>
    <row r="127" spans="1:34" s="15" customFormat="1" ht="50.25" hidden="1" customHeight="1" x14ac:dyDescent="0.3">
      <c r="A127" s="42">
        <v>126</v>
      </c>
      <c r="B127" s="19" t="s">
        <v>425</v>
      </c>
      <c r="C127" s="19" t="s">
        <v>23</v>
      </c>
      <c r="D127" s="20" t="s">
        <v>190</v>
      </c>
      <c r="E127" s="20" t="s">
        <v>79</v>
      </c>
      <c r="F127" s="21" t="s">
        <v>80</v>
      </c>
      <c r="G127" s="38" t="s">
        <v>241</v>
      </c>
      <c r="H127" s="39" t="s">
        <v>643</v>
      </c>
      <c r="I127" s="39" t="s">
        <v>644</v>
      </c>
      <c r="J127" s="21" t="s">
        <v>144</v>
      </c>
      <c r="K127" s="21" t="s">
        <v>145</v>
      </c>
      <c r="L127" s="21" t="s">
        <v>192</v>
      </c>
      <c r="M127" s="21" t="s">
        <v>193</v>
      </c>
      <c r="N127" s="21" t="s">
        <v>102</v>
      </c>
      <c r="O127" s="20" t="s">
        <v>645</v>
      </c>
      <c r="P127" s="45">
        <v>45684</v>
      </c>
      <c r="Q127" s="39" t="s">
        <v>646</v>
      </c>
      <c r="R127" s="19">
        <v>494.5</v>
      </c>
      <c r="S127" s="21">
        <v>0.1</v>
      </c>
      <c r="T127" s="21">
        <v>543.95000000000005</v>
      </c>
      <c r="U127" s="44" t="s">
        <v>429</v>
      </c>
      <c r="V127" s="22">
        <v>45687</v>
      </c>
      <c r="W127" s="54" t="s">
        <v>91</v>
      </c>
      <c r="X127" s="23"/>
      <c r="Y127" s="23" t="s">
        <v>92</v>
      </c>
      <c r="Z127" s="56"/>
      <c r="AA127" s="24">
        <v>115</v>
      </c>
      <c r="AB127" s="19"/>
      <c r="AC127" s="19"/>
      <c r="AD127" s="15" t="e">
        <f ca="1">IF(AND($D127&lt;&gt;"",COUNTIF(OFFSET(UFS!$E$2,MATCH($D127&amp;"",UFS!$A$2:$A$175,0)-1,0,COUNTIF(UFS!$A$2:$A$175,$D127&amp;""),1),M127)&gt;0),"Valide","Invalide")</f>
        <v>#N/A</v>
      </c>
      <c r="AH127" s="15" t="str">
        <f t="shared" si="1"/>
        <v>En attente</v>
      </c>
    </row>
    <row r="128" spans="1:34" s="15" customFormat="1" ht="44.25" hidden="1" customHeight="1" x14ac:dyDescent="0.3">
      <c r="A128" s="42">
        <v>127</v>
      </c>
      <c r="B128" s="19" t="s">
        <v>26</v>
      </c>
      <c r="C128" s="19" t="s">
        <v>35</v>
      </c>
      <c r="D128" s="20" t="s">
        <v>95</v>
      </c>
      <c r="E128" s="20" t="s">
        <v>79</v>
      </c>
      <c r="F128" s="21" t="s">
        <v>80</v>
      </c>
      <c r="G128" s="38" t="s">
        <v>182</v>
      </c>
      <c r="H128" s="39" t="s">
        <v>215</v>
      </c>
      <c r="I128" s="39" t="s">
        <v>83</v>
      </c>
      <c r="J128" s="21" t="s">
        <v>98</v>
      </c>
      <c r="K128" s="21" t="s">
        <v>99</v>
      </c>
      <c r="L128" s="21" t="s">
        <v>100</v>
      </c>
      <c r="M128" s="21" t="s">
        <v>101</v>
      </c>
      <c r="N128" s="21" t="s">
        <v>102</v>
      </c>
      <c r="O128" s="20" t="s">
        <v>647</v>
      </c>
      <c r="P128" s="45">
        <v>45687</v>
      </c>
      <c r="Q128" s="39" t="s">
        <v>648</v>
      </c>
      <c r="R128" s="19">
        <v>365.71</v>
      </c>
      <c r="S128" s="21">
        <v>0.1</v>
      </c>
      <c r="T128" s="21">
        <v>402.28100000000001</v>
      </c>
      <c r="U128" s="44" t="s">
        <v>649</v>
      </c>
      <c r="V128" s="22">
        <v>45687</v>
      </c>
      <c r="W128" s="54" t="s">
        <v>91</v>
      </c>
      <c r="X128" s="23"/>
      <c r="Y128" s="23" t="s">
        <v>92</v>
      </c>
      <c r="Z128" s="56"/>
      <c r="AA128" s="24">
        <v>116</v>
      </c>
      <c r="AB128" s="19"/>
      <c r="AC128" s="19"/>
      <c r="AD128" s="15" t="str">
        <f ca="1">IF(AND($D128&lt;&gt;"",COUNTIF(OFFSET(UFS!$E$2,MATCH($D128&amp;"",UFS!$A$2:$A$175,0)-1,0,COUNTIF(UFS!$A$2:$A$175,$D128&amp;""),1),M128)&gt;0),"Valide","Invalide")</f>
        <v>Valide</v>
      </c>
      <c r="AH128" s="15" t="str">
        <f t="shared" si="1"/>
        <v>En attente</v>
      </c>
    </row>
    <row r="129" spans="1:34" s="15" customFormat="1" ht="47.25" hidden="1" customHeight="1" x14ac:dyDescent="0.3">
      <c r="A129" s="42">
        <v>128</v>
      </c>
      <c r="B129" s="19" t="s">
        <v>16</v>
      </c>
      <c r="C129" s="19" t="s">
        <v>37</v>
      </c>
      <c r="D129" s="20" t="s">
        <v>222</v>
      </c>
      <c r="E129" s="20" t="s">
        <v>79</v>
      </c>
      <c r="F129" s="21" t="s">
        <v>223</v>
      </c>
      <c r="G129" s="38" t="s">
        <v>241</v>
      </c>
      <c r="H129" s="39" t="s">
        <v>367</v>
      </c>
      <c r="I129" s="39" t="s">
        <v>368</v>
      </c>
      <c r="J129" s="21" t="s">
        <v>144</v>
      </c>
      <c r="K129" s="21" t="s">
        <v>145</v>
      </c>
      <c r="L129" s="21" t="s">
        <v>225</v>
      </c>
      <c r="M129" s="21" t="s">
        <v>226</v>
      </c>
      <c r="N129" s="21" t="s">
        <v>227</v>
      </c>
      <c r="O129" s="20" t="s">
        <v>650</v>
      </c>
      <c r="P129" s="45">
        <v>45691</v>
      </c>
      <c r="Q129" s="39" t="s">
        <v>651</v>
      </c>
      <c r="R129" s="19">
        <v>15763.56</v>
      </c>
      <c r="S129" s="21">
        <v>0.2</v>
      </c>
      <c r="T129" s="21">
        <v>18916.272000000001</v>
      </c>
      <c r="U129" s="44" t="s">
        <v>652</v>
      </c>
      <c r="V129" s="22">
        <v>45691</v>
      </c>
      <c r="W129" s="54" t="s">
        <v>91</v>
      </c>
      <c r="X129" s="23"/>
      <c r="Y129" s="23" t="s">
        <v>376</v>
      </c>
      <c r="Z129" s="56" t="s">
        <v>653</v>
      </c>
      <c r="AA129" s="24"/>
      <c r="AB129" s="19"/>
      <c r="AC129" s="19"/>
      <c r="AD129" s="15" t="str">
        <f ca="1">IF(AND($D129&lt;&gt;"",COUNTIF(OFFSET(UFS!$E$2,MATCH($D129&amp;"",UFS!$A$2:$A$175,0)-1,0,COUNTIF(UFS!$A$2:$A$175,$D129&amp;""),1),M129)&gt;0),"Valide","Invalide")</f>
        <v>Valide</v>
      </c>
      <c r="AH129" s="15" t="str">
        <f t="shared" si="1"/>
        <v>En attente</v>
      </c>
    </row>
    <row r="130" spans="1:34" s="15" customFormat="1" ht="56.25" hidden="1" customHeight="1" x14ac:dyDescent="0.3">
      <c r="A130" s="42">
        <v>129</v>
      </c>
      <c r="B130" s="19" t="s">
        <v>24</v>
      </c>
      <c r="C130" s="19" t="s">
        <v>28</v>
      </c>
      <c r="D130" s="20" t="s">
        <v>174</v>
      </c>
      <c r="E130" s="20" t="s">
        <v>96</v>
      </c>
      <c r="F130" s="21" t="s">
        <v>80</v>
      </c>
      <c r="G130" s="38" t="s">
        <v>294</v>
      </c>
      <c r="H130" s="39"/>
      <c r="I130" s="39" t="s">
        <v>176</v>
      </c>
      <c r="J130" s="21" t="s">
        <v>124</v>
      </c>
      <c r="K130" s="21" t="s">
        <v>125</v>
      </c>
      <c r="L130" s="21" t="s">
        <v>177</v>
      </c>
      <c r="M130" s="21" t="s">
        <v>136</v>
      </c>
      <c r="N130" s="21" t="s">
        <v>102</v>
      </c>
      <c r="O130" s="20" t="s">
        <v>654</v>
      </c>
      <c r="P130" s="45">
        <v>45672</v>
      </c>
      <c r="Q130" s="39" t="s">
        <v>655</v>
      </c>
      <c r="R130" s="19">
        <v>908.99</v>
      </c>
      <c r="S130" s="21">
        <v>0.1</v>
      </c>
      <c r="T130" s="21">
        <v>999.88900000000001</v>
      </c>
      <c r="U130" s="44" t="s">
        <v>180</v>
      </c>
      <c r="V130" s="22">
        <v>45692</v>
      </c>
      <c r="W130" s="54" t="s">
        <v>91</v>
      </c>
      <c r="X130" s="23"/>
      <c r="Y130" s="23" t="s">
        <v>92</v>
      </c>
      <c r="Z130" s="56"/>
      <c r="AA130" s="24">
        <v>117</v>
      </c>
      <c r="AB130" s="19"/>
      <c r="AC130" s="46" t="s">
        <v>94</v>
      </c>
      <c r="AD130" s="15" t="str">
        <f ca="1">IF(AND($D130&lt;&gt;"",COUNTIF(OFFSET(UFS!$E$2,MATCH($D130&amp;"",UFS!$A$2:$A$175,0)-1,0,COUNTIF(UFS!$A$2:$A$175,$D130&amp;""),1),M130)&gt;0),"Valide","Invalide")</f>
        <v>Valide</v>
      </c>
      <c r="AH130" s="15" t="str">
        <f t="shared" si="1"/>
        <v>En attente</v>
      </c>
    </row>
    <row r="131" spans="1:34" s="15" customFormat="1" ht="42.75" hidden="1" customHeight="1" x14ac:dyDescent="0.3">
      <c r="A131" s="42">
        <v>130</v>
      </c>
      <c r="B131" s="19" t="s">
        <v>14</v>
      </c>
      <c r="C131" s="19" t="s">
        <v>656</v>
      </c>
      <c r="D131" s="20" t="s">
        <v>200</v>
      </c>
      <c r="E131" s="20" t="s">
        <v>96</v>
      </c>
      <c r="F131" s="21" t="s">
        <v>80</v>
      </c>
      <c r="G131" s="38" t="s">
        <v>657</v>
      </c>
      <c r="H131" s="39"/>
      <c r="I131" s="39" t="s">
        <v>658</v>
      </c>
      <c r="J131" s="21" t="s">
        <v>144</v>
      </c>
      <c r="K131" s="21" t="s">
        <v>145</v>
      </c>
      <c r="L131" s="21" t="s">
        <v>203</v>
      </c>
      <c r="M131" s="21" t="s">
        <v>109</v>
      </c>
      <c r="N131" s="21" t="s">
        <v>109</v>
      </c>
      <c r="O131" s="38" t="s">
        <v>659</v>
      </c>
      <c r="P131" s="45">
        <v>45686</v>
      </c>
      <c r="Q131" s="39" t="s">
        <v>660</v>
      </c>
      <c r="R131" s="19">
        <f>65248.5+33348</f>
        <v>98596.5</v>
      </c>
      <c r="S131" s="21">
        <v>0.2</v>
      </c>
      <c r="T131" s="21">
        <v>118315.8</v>
      </c>
      <c r="U131" s="44" t="s">
        <v>661</v>
      </c>
      <c r="V131" s="22">
        <v>45692</v>
      </c>
      <c r="W131" s="54" t="s">
        <v>91</v>
      </c>
      <c r="X131" s="23"/>
      <c r="Y131" s="23" t="s">
        <v>92</v>
      </c>
      <c r="Z131" s="56" t="s">
        <v>662</v>
      </c>
      <c r="AA131" s="24">
        <v>149</v>
      </c>
      <c r="AB131" s="19"/>
      <c r="AC131" s="19"/>
      <c r="AD131" s="15" t="e">
        <f ca="1">IF(AND($D131&lt;&gt;"",COUNTIF(OFFSET(UFS!$E$2,MATCH($D131&amp;"",UFS!$A$2:$A$175,0)-1,0,COUNTIF(UFS!$A$2:$A$175,$D131&amp;""),1),M131)&gt;0),"Valide","Invalide")</f>
        <v>#N/A</v>
      </c>
      <c r="AH131" s="15" t="str">
        <f t="shared" ref="AH131:AH194" si="2">IF(T131&lt;&gt;"","En attente","")</f>
        <v>En attente</v>
      </c>
    </row>
    <row r="132" spans="1:34" s="15" customFormat="1" ht="40.5" hidden="1" customHeight="1" x14ac:dyDescent="0.3">
      <c r="A132" s="42">
        <v>131</v>
      </c>
      <c r="B132" s="19" t="s">
        <v>20</v>
      </c>
      <c r="C132" s="19" t="s">
        <v>37</v>
      </c>
      <c r="D132" s="20" t="s">
        <v>260</v>
      </c>
      <c r="E132" s="20" t="s">
        <v>79</v>
      </c>
      <c r="F132" s="21" t="s">
        <v>80</v>
      </c>
      <c r="G132" s="38" t="s">
        <v>241</v>
      </c>
      <c r="H132" s="39" t="s">
        <v>367</v>
      </c>
      <c r="I132" s="39" t="s">
        <v>368</v>
      </c>
      <c r="J132" s="21" t="s">
        <v>84</v>
      </c>
      <c r="K132" s="21" t="s">
        <v>113</v>
      </c>
      <c r="L132" s="21" t="s">
        <v>86</v>
      </c>
      <c r="M132" s="21" t="s">
        <v>109</v>
      </c>
      <c r="N132" s="21" t="s">
        <v>109</v>
      </c>
      <c r="O132" s="20" t="s">
        <v>663</v>
      </c>
      <c r="P132" s="45">
        <v>45688</v>
      </c>
      <c r="Q132" s="39" t="s">
        <v>664</v>
      </c>
      <c r="R132" s="19">
        <v>90</v>
      </c>
      <c r="S132" s="21">
        <v>0.1</v>
      </c>
      <c r="T132" s="21">
        <v>99</v>
      </c>
      <c r="U132" s="44" t="s">
        <v>371</v>
      </c>
      <c r="V132" s="22">
        <v>45692</v>
      </c>
      <c r="W132" s="54" t="s">
        <v>91</v>
      </c>
      <c r="X132" s="23"/>
      <c r="Y132" s="23" t="s">
        <v>92</v>
      </c>
      <c r="Z132" s="56"/>
      <c r="AA132" s="24">
        <v>118</v>
      </c>
      <c r="AB132" s="19"/>
      <c r="AC132" s="46" t="s">
        <v>94</v>
      </c>
      <c r="AD132" s="15" t="str">
        <f ca="1">IF(AND($D132&lt;&gt;"",COUNTIF(OFFSET(UFS!$E$2,MATCH($D132&amp;"",UFS!$A$2:$A$175,0)-1,0,COUNTIF(UFS!$A$2:$A$175,$D132&amp;""),1),M132)&gt;0),"Valide","Invalide")</f>
        <v>Valide</v>
      </c>
      <c r="AH132" s="15" t="str">
        <f t="shared" si="2"/>
        <v>En attente</v>
      </c>
    </row>
    <row r="133" spans="1:34" s="15" customFormat="1" ht="45" hidden="1" customHeight="1" x14ac:dyDescent="0.3">
      <c r="A133" s="42">
        <v>132</v>
      </c>
      <c r="B133" s="19" t="s">
        <v>20</v>
      </c>
      <c r="C133" s="19" t="s">
        <v>37</v>
      </c>
      <c r="D133" s="20" t="s">
        <v>633</v>
      </c>
      <c r="E133" s="20" t="s">
        <v>79</v>
      </c>
      <c r="F133" s="21" t="s">
        <v>80</v>
      </c>
      <c r="G133" s="38" t="s">
        <v>241</v>
      </c>
      <c r="H133" s="39" t="s">
        <v>367</v>
      </c>
      <c r="I133" s="39" t="s">
        <v>368</v>
      </c>
      <c r="J133" s="21" t="s">
        <v>634</v>
      </c>
      <c r="K133" s="21" t="s">
        <v>635</v>
      </c>
      <c r="L133" s="21" t="s">
        <v>636</v>
      </c>
      <c r="M133" s="21" t="s">
        <v>637</v>
      </c>
      <c r="N133" s="21" t="s">
        <v>151</v>
      </c>
      <c r="O133" s="20" t="s">
        <v>665</v>
      </c>
      <c r="P133" s="45">
        <v>45688</v>
      </c>
      <c r="Q133" s="39" t="s">
        <v>666</v>
      </c>
      <c r="R133" s="19">
        <v>90</v>
      </c>
      <c r="S133" s="21">
        <v>0.2</v>
      </c>
      <c r="T133" s="21">
        <v>108</v>
      </c>
      <c r="U133" s="44" t="s">
        <v>371</v>
      </c>
      <c r="V133" s="22">
        <v>45692</v>
      </c>
      <c r="W133" s="54" t="s">
        <v>91</v>
      </c>
      <c r="X133" s="23"/>
      <c r="Y133" s="23" t="s">
        <v>92</v>
      </c>
      <c r="Z133" s="56"/>
      <c r="AA133" s="24">
        <v>119</v>
      </c>
      <c r="AB133" s="19"/>
      <c r="AC133" s="46" t="s">
        <v>94</v>
      </c>
      <c r="AD133" s="15" t="str">
        <f ca="1">IF(AND($D133&lt;&gt;"",COUNTIF(OFFSET(UFS!$E$2,MATCH($D133&amp;"",UFS!$A$2:$A$175,0)-1,0,COUNTIF(UFS!$A$2:$A$175,$D133&amp;""),1),M133)&gt;0),"Valide","Invalide")</f>
        <v>Valide</v>
      </c>
      <c r="AH133" s="15" t="str">
        <f t="shared" si="2"/>
        <v>En attente</v>
      </c>
    </row>
    <row r="134" spans="1:34" s="15" customFormat="1" ht="39" hidden="1" customHeight="1" x14ac:dyDescent="0.3">
      <c r="A134" s="42">
        <v>133</v>
      </c>
      <c r="B134" s="19" t="s">
        <v>20</v>
      </c>
      <c r="C134" s="19" t="s">
        <v>37</v>
      </c>
      <c r="D134" s="20" t="s">
        <v>260</v>
      </c>
      <c r="E134" s="20" t="s">
        <v>79</v>
      </c>
      <c r="F134" s="21" t="s">
        <v>80</v>
      </c>
      <c r="G134" s="38" t="s">
        <v>241</v>
      </c>
      <c r="H134" s="39" t="s">
        <v>367</v>
      </c>
      <c r="I134" s="39" t="s">
        <v>368</v>
      </c>
      <c r="J134" s="21" t="s">
        <v>84</v>
      </c>
      <c r="K134" s="21" t="s">
        <v>113</v>
      </c>
      <c r="L134" s="21" t="s">
        <v>86</v>
      </c>
      <c r="M134" s="21" t="s">
        <v>109</v>
      </c>
      <c r="N134" s="21" t="s">
        <v>109</v>
      </c>
      <c r="O134" s="20" t="s">
        <v>667</v>
      </c>
      <c r="P134" s="45">
        <v>45684</v>
      </c>
      <c r="Q134" s="39" t="s">
        <v>668</v>
      </c>
      <c r="R134" s="19">
        <v>12337.77</v>
      </c>
      <c r="S134" s="21">
        <v>0.1</v>
      </c>
      <c r="T134" s="21">
        <v>13571.547</v>
      </c>
      <c r="U134" s="44" t="s">
        <v>371</v>
      </c>
      <c r="V134" s="22">
        <v>45692</v>
      </c>
      <c r="W134" s="54" t="s">
        <v>91</v>
      </c>
      <c r="X134" s="23"/>
      <c r="Y134" s="23" t="s">
        <v>92</v>
      </c>
      <c r="Z134" s="56" t="s">
        <v>669</v>
      </c>
      <c r="AA134" s="24">
        <v>147</v>
      </c>
      <c r="AB134" s="19"/>
      <c r="AC134" s="46" t="s">
        <v>94</v>
      </c>
      <c r="AD134" s="15" t="str">
        <f ca="1">IF(AND($D134&lt;&gt;"",COUNTIF(OFFSET(UFS!$E$2,MATCH($D134&amp;"",UFS!$A$2:$A$175,0)-1,0,COUNTIF(UFS!$A$2:$A$175,$D134&amp;""),1),M134)&gt;0),"Valide","Invalide")</f>
        <v>Valide</v>
      </c>
      <c r="AH134" s="15" t="str">
        <f t="shared" si="2"/>
        <v>En attente</v>
      </c>
    </row>
    <row r="135" spans="1:34" s="15" customFormat="1" ht="52.5" hidden="1" customHeight="1" x14ac:dyDescent="0.3">
      <c r="A135" s="42">
        <v>134</v>
      </c>
      <c r="B135" s="19" t="s">
        <v>24</v>
      </c>
      <c r="C135" s="19" t="s">
        <v>28</v>
      </c>
      <c r="D135" s="20" t="s">
        <v>233</v>
      </c>
      <c r="E135" s="20" t="s">
        <v>79</v>
      </c>
      <c r="F135" s="21" t="s">
        <v>80</v>
      </c>
      <c r="G135" s="38" t="s">
        <v>81</v>
      </c>
      <c r="H135" s="39" t="s">
        <v>82</v>
      </c>
      <c r="I135" s="39" t="s">
        <v>83</v>
      </c>
      <c r="J135" s="21" t="s">
        <v>124</v>
      </c>
      <c r="K135" s="21" t="s">
        <v>235</v>
      </c>
      <c r="L135" s="21" t="s">
        <v>177</v>
      </c>
      <c r="M135" s="21" t="s">
        <v>109</v>
      </c>
      <c r="N135" s="21" t="s">
        <v>109</v>
      </c>
      <c r="O135" s="20" t="s">
        <v>670</v>
      </c>
      <c r="P135" s="47">
        <v>45692</v>
      </c>
      <c r="Q135" s="39" t="s">
        <v>671</v>
      </c>
      <c r="R135" s="19">
        <v>645.83000000000004</v>
      </c>
      <c r="S135" s="21">
        <v>0.1</v>
      </c>
      <c r="T135" s="21">
        <v>710.41300000000001</v>
      </c>
      <c r="U135" s="44" t="s">
        <v>672</v>
      </c>
      <c r="V135" s="22">
        <v>45692</v>
      </c>
      <c r="W135" s="54" t="s">
        <v>91</v>
      </c>
      <c r="X135" s="23"/>
      <c r="Y135" s="23" t="s">
        <v>92</v>
      </c>
      <c r="Z135" s="56"/>
      <c r="AA135" s="24">
        <v>120</v>
      </c>
      <c r="AB135" s="19"/>
      <c r="AC135" s="46" t="s">
        <v>94</v>
      </c>
      <c r="AD135" s="15" t="str">
        <f ca="1">IF(AND($D135&lt;&gt;"",COUNTIF(OFFSET(UFS!$E$2,MATCH($D135&amp;"",UFS!$A$2:$A$175,0)-1,0,COUNTIF(UFS!$A$2:$A$175,$D135&amp;""),1),M135)&gt;0),"Valide","Invalide")</f>
        <v>Valide</v>
      </c>
      <c r="AH135" s="15" t="str">
        <f t="shared" si="2"/>
        <v>En attente</v>
      </c>
    </row>
    <row r="136" spans="1:34" s="15" customFormat="1" ht="39" hidden="1" customHeight="1" x14ac:dyDescent="0.3">
      <c r="A136" s="42">
        <v>135</v>
      </c>
      <c r="B136" s="19" t="s">
        <v>4</v>
      </c>
      <c r="C136" s="19" t="s">
        <v>15</v>
      </c>
      <c r="D136" s="20" t="s">
        <v>156</v>
      </c>
      <c r="E136" s="20" t="s">
        <v>79</v>
      </c>
      <c r="F136" s="21" t="s">
        <v>80</v>
      </c>
      <c r="G136" s="38" t="s">
        <v>81</v>
      </c>
      <c r="H136" s="39" t="s">
        <v>139</v>
      </c>
      <c r="I136" s="39" t="s">
        <v>83</v>
      </c>
      <c r="J136" s="21" t="s">
        <v>144</v>
      </c>
      <c r="K136" s="21" t="s">
        <v>145</v>
      </c>
      <c r="L136" s="21" t="s">
        <v>146</v>
      </c>
      <c r="M136" s="21" t="s">
        <v>146</v>
      </c>
      <c r="N136" s="21" t="s">
        <v>157</v>
      </c>
      <c r="O136" s="20" t="s">
        <v>673</v>
      </c>
      <c r="P136" s="45">
        <v>45685</v>
      </c>
      <c r="Q136" s="39" t="s">
        <v>674</v>
      </c>
      <c r="R136" s="19">
        <v>796.19</v>
      </c>
      <c r="S136" s="21">
        <v>0.2</v>
      </c>
      <c r="T136" s="21">
        <v>955.42800000000011</v>
      </c>
      <c r="U136" s="44" t="s">
        <v>675</v>
      </c>
      <c r="V136" s="22">
        <v>45692</v>
      </c>
      <c r="W136" s="54" t="s">
        <v>91</v>
      </c>
      <c r="X136" s="23"/>
      <c r="Y136" s="23" t="s">
        <v>92</v>
      </c>
      <c r="Z136" s="56"/>
      <c r="AA136" s="24">
        <v>121</v>
      </c>
      <c r="AB136" s="19"/>
      <c r="AC136" s="19"/>
      <c r="AD136" s="15" t="str">
        <f ca="1">IF(AND($D136&lt;&gt;"",COUNTIF(OFFSET(UFS!$E$2,MATCH($D136&amp;"",UFS!$A$2:$A$175,0)-1,0,COUNTIF(UFS!$A$2:$A$175,$D136&amp;""),1),M136)&gt;0),"Valide","Invalide")</f>
        <v>Valide</v>
      </c>
      <c r="AH136" s="15" t="str">
        <f t="shared" si="2"/>
        <v>En attente</v>
      </c>
    </row>
    <row r="137" spans="1:34" s="15" customFormat="1" ht="48" hidden="1" customHeight="1" x14ac:dyDescent="0.3">
      <c r="A137" s="42">
        <v>136</v>
      </c>
      <c r="B137" s="19" t="s">
        <v>20</v>
      </c>
      <c r="C137" s="19" t="s">
        <v>676</v>
      </c>
      <c r="D137" s="20" t="s">
        <v>598</v>
      </c>
      <c r="E137" s="20" t="s">
        <v>79</v>
      </c>
      <c r="F137" s="21" t="s">
        <v>80</v>
      </c>
      <c r="G137" s="38" t="s">
        <v>241</v>
      </c>
      <c r="H137" s="39"/>
      <c r="I137" s="39" t="s">
        <v>677</v>
      </c>
      <c r="J137" s="21" t="s">
        <v>183</v>
      </c>
      <c r="K137" s="21" t="s">
        <v>184</v>
      </c>
      <c r="L137" s="21" t="s">
        <v>492</v>
      </c>
      <c r="M137" s="21" t="s">
        <v>186</v>
      </c>
      <c r="N137" s="21" t="s">
        <v>102</v>
      </c>
      <c r="O137" s="20" t="s">
        <v>678</v>
      </c>
      <c r="P137" s="45">
        <v>45684</v>
      </c>
      <c r="Q137" s="39" t="s">
        <v>679</v>
      </c>
      <c r="R137" s="19">
        <v>531.33000000000004</v>
      </c>
      <c r="S137" s="21">
        <v>0.1</v>
      </c>
      <c r="T137" s="21">
        <v>584.46300000000008</v>
      </c>
      <c r="U137" s="44" t="s">
        <v>680</v>
      </c>
      <c r="V137" s="22">
        <v>45692</v>
      </c>
      <c r="W137" s="54" t="s">
        <v>91</v>
      </c>
      <c r="X137" s="23"/>
      <c r="Y137" s="23" t="s">
        <v>92</v>
      </c>
      <c r="Z137" s="56"/>
      <c r="AA137" s="24">
        <v>125</v>
      </c>
      <c r="AB137" s="19"/>
      <c r="AC137" s="19"/>
      <c r="AD137" s="15" t="str">
        <f ca="1">IF(AND($D137&lt;&gt;"",COUNTIF(OFFSET(UFS!$E$2,MATCH($D137&amp;"",UFS!$A$2:$A$175,0)-1,0,COUNTIF(UFS!$A$2:$A$175,$D137&amp;""),1),M137)&gt;0),"Valide","Invalide")</f>
        <v>Valide</v>
      </c>
      <c r="AH137" s="15" t="str">
        <f t="shared" si="2"/>
        <v>En attente</v>
      </c>
    </row>
    <row r="138" spans="1:34" s="15" customFormat="1" ht="33" hidden="1" customHeight="1" x14ac:dyDescent="0.3">
      <c r="A138" s="42">
        <v>137</v>
      </c>
      <c r="B138" s="19" t="s">
        <v>10</v>
      </c>
      <c r="C138" s="19" t="s">
        <v>13</v>
      </c>
      <c r="D138" s="20" t="s">
        <v>200</v>
      </c>
      <c r="E138" s="20" t="s">
        <v>96</v>
      </c>
      <c r="F138" s="21" t="s">
        <v>80</v>
      </c>
      <c r="G138" s="38" t="s">
        <v>681</v>
      </c>
      <c r="H138" s="39"/>
      <c r="I138" s="39" t="s">
        <v>682</v>
      </c>
      <c r="J138" s="21" t="s">
        <v>144</v>
      </c>
      <c r="K138" s="21" t="s">
        <v>145</v>
      </c>
      <c r="L138" s="21" t="s">
        <v>203</v>
      </c>
      <c r="M138" s="21" t="s">
        <v>109</v>
      </c>
      <c r="N138" s="21" t="s">
        <v>109</v>
      </c>
      <c r="O138" s="20" t="s">
        <v>683</v>
      </c>
      <c r="P138" s="45">
        <v>45679</v>
      </c>
      <c r="Q138" s="39" t="s">
        <v>684</v>
      </c>
      <c r="R138" s="19">
        <v>151800</v>
      </c>
      <c r="S138" s="21">
        <v>0.2</v>
      </c>
      <c r="T138" s="21">
        <v>182160</v>
      </c>
      <c r="U138" s="44" t="s">
        <v>685</v>
      </c>
      <c r="V138" s="22">
        <v>45693</v>
      </c>
      <c r="W138" s="54" t="s">
        <v>91</v>
      </c>
      <c r="X138" s="23"/>
      <c r="Y138" s="23" t="s">
        <v>92</v>
      </c>
      <c r="Z138" s="56"/>
      <c r="AA138" s="24">
        <v>99</v>
      </c>
      <c r="AB138" s="19"/>
      <c r="AC138" s="19"/>
      <c r="AD138" s="15" t="e">
        <f ca="1">IF(AND($D138&lt;&gt;"",COUNTIF(OFFSET(UFS!$E$2,MATCH($D138&amp;"",UFS!$A$2:$A$175,0)-1,0,COUNTIF(UFS!$A$2:$A$175,$D138&amp;""),1),M138)&gt;0),"Valide","Invalide")</f>
        <v>#N/A</v>
      </c>
      <c r="AH138" s="15" t="str">
        <f t="shared" si="2"/>
        <v>En attente</v>
      </c>
    </row>
    <row r="139" spans="1:34" s="15" customFormat="1" ht="36" hidden="1" customHeight="1" x14ac:dyDescent="0.3">
      <c r="A139" s="42">
        <v>138</v>
      </c>
      <c r="B139" s="19" t="s">
        <v>10</v>
      </c>
      <c r="C139" s="19" t="s">
        <v>13</v>
      </c>
      <c r="D139" s="20" t="s">
        <v>200</v>
      </c>
      <c r="E139" s="20" t="s">
        <v>96</v>
      </c>
      <c r="F139" s="21" t="s">
        <v>80</v>
      </c>
      <c r="G139" s="38" t="s">
        <v>681</v>
      </c>
      <c r="H139" s="39"/>
      <c r="I139" s="39" t="s">
        <v>682</v>
      </c>
      <c r="J139" s="21" t="s">
        <v>144</v>
      </c>
      <c r="K139" s="21" t="s">
        <v>145</v>
      </c>
      <c r="L139" s="21" t="s">
        <v>203</v>
      </c>
      <c r="M139" s="21" t="s">
        <v>109</v>
      </c>
      <c r="N139" s="21" t="s">
        <v>109</v>
      </c>
      <c r="O139" s="20" t="s">
        <v>686</v>
      </c>
      <c r="P139" s="45">
        <v>45679</v>
      </c>
      <c r="Q139" s="39" t="s">
        <v>687</v>
      </c>
      <c r="R139" s="19">
        <v>177625</v>
      </c>
      <c r="S139" s="21">
        <v>0.2</v>
      </c>
      <c r="T139" s="21">
        <v>213150</v>
      </c>
      <c r="U139" s="44" t="s">
        <v>685</v>
      </c>
      <c r="V139" s="22">
        <v>45693</v>
      </c>
      <c r="W139" s="54" t="s">
        <v>91</v>
      </c>
      <c r="X139" s="23"/>
      <c r="Y139" s="23" t="s">
        <v>92</v>
      </c>
      <c r="Z139" s="56"/>
      <c r="AA139" s="24">
        <v>100</v>
      </c>
      <c r="AB139" s="19"/>
      <c r="AC139" s="19"/>
      <c r="AD139" s="15" t="e">
        <f ca="1">IF(AND($D139&lt;&gt;"",COUNTIF(OFFSET(UFS!$E$2,MATCH($D139&amp;"",UFS!$A$2:$A$175,0)-1,0,COUNTIF(UFS!$A$2:$A$175,$D139&amp;""),1),M139)&gt;0),"Valide","Invalide")</f>
        <v>#N/A</v>
      </c>
      <c r="AH139" s="15" t="str">
        <f t="shared" si="2"/>
        <v>En attente</v>
      </c>
    </row>
    <row r="140" spans="1:34" s="15" customFormat="1" ht="39" hidden="1" customHeight="1" x14ac:dyDescent="0.3">
      <c r="A140" s="42">
        <v>139</v>
      </c>
      <c r="B140" s="19" t="s">
        <v>10</v>
      </c>
      <c r="C140" s="19" t="s">
        <v>13</v>
      </c>
      <c r="D140" s="20" t="s">
        <v>200</v>
      </c>
      <c r="E140" s="20" t="s">
        <v>96</v>
      </c>
      <c r="F140" s="21" t="s">
        <v>80</v>
      </c>
      <c r="G140" s="38" t="s">
        <v>681</v>
      </c>
      <c r="H140" s="39"/>
      <c r="I140" s="39" t="s">
        <v>682</v>
      </c>
      <c r="J140" s="21" t="s">
        <v>144</v>
      </c>
      <c r="K140" s="21" t="s">
        <v>145</v>
      </c>
      <c r="L140" s="21" t="s">
        <v>203</v>
      </c>
      <c r="M140" s="21" t="s">
        <v>109</v>
      </c>
      <c r="N140" s="21" t="s">
        <v>109</v>
      </c>
      <c r="O140" s="20" t="s">
        <v>688</v>
      </c>
      <c r="P140" s="45">
        <v>45679</v>
      </c>
      <c r="Q140" s="39" t="s">
        <v>689</v>
      </c>
      <c r="R140" s="19">
        <v>46990</v>
      </c>
      <c r="S140" s="21">
        <v>0.2</v>
      </c>
      <c r="T140" s="21">
        <v>56388</v>
      </c>
      <c r="U140" s="44" t="s">
        <v>685</v>
      </c>
      <c r="V140" s="22">
        <v>45693</v>
      </c>
      <c r="W140" s="54" t="s">
        <v>91</v>
      </c>
      <c r="X140" s="23"/>
      <c r="Y140" s="23" t="s">
        <v>92</v>
      </c>
      <c r="Z140" s="56"/>
      <c r="AA140" s="24">
        <v>101</v>
      </c>
      <c r="AB140" s="19"/>
      <c r="AC140" s="19"/>
      <c r="AD140" s="15" t="e">
        <f ca="1">IF(AND($D140&lt;&gt;"",COUNTIF(OFFSET(UFS!$E$2,MATCH($D140&amp;"",UFS!$A$2:$A$175,0)-1,0,COUNTIF(UFS!$A$2:$A$175,$D140&amp;""),1),M140)&gt;0),"Valide","Invalide")</f>
        <v>#N/A</v>
      </c>
      <c r="AH140" s="15" t="str">
        <f t="shared" si="2"/>
        <v>En attente</v>
      </c>
    </row>
    <row r="141" spans="1:34" s="15" customFormat="1" ht="35.25" hidden="1" customHeight="1" x14ac:dyDescent="0.3">
      <c r="A141" s="42">
        <v>140</v>
      </c>
      <c r="B141" s="19" t="s">
        <v>10</v>
      </c>
      <c r="C141" s="19" t="s">
        <v>13</v>
      </c>
      <c r="D141" s="20" t="s">
        <v>200</v>
      </c>
      <c r="E141" s="20" t="s">
        <v>96</v>
      </c>
      <c r="F141" s="21" t="s">
        <v>80</v>
      </c>
      <c r="G141" s="38" t="s">
        <v>681</v>
      </c>
      <c r="H141" s="39"/>
      <c r="I141" s="39" t="s">
        <v>682</v>
      </c>
      <c r="J141" s="21" t="s">
        <v>144</v>
      </c>
      <c r="K141" s="21" t="s">
        <v>145</v>
      </c>
      <c r="L141" s="21" t="s">
        <v>203</v>
      </c>
      <c r="M141" s="21" t="s">
        <v>109</v>
      </c>
      <c r="N141" s="21" t="s">
        <v>109</v>
      </c>
      <c r="O141" s="20" t="s">
        <v>690</v>
      </c>
      <c r="P141" s="45">
        <v>45679</v>
      </c>
      <c r="Q141" s="39" t="s">
        <v>691</v>
      </c>
      <c r="R141" s="19">
        <v>13575</v>
      </c>
      <c r="S141" s="21">
        <v>0.2</v>
      </c>
      <c r="T141" s="21">
        <v>16290</v>
      </c>
      <c r="U141" s="44" t="s">
        <v>685</v>
      </c>
      <c r="V141" s="22">
        <v>45693</v>
      </c>
      <c r="W141" s="54" t="s">
        <v>91</v>
      </c>
      <c r="X141" s="23"/>
      <c r="Y141" s="23" t="s">
        <v>92</v>
      </c>
      <c r="Z141" s="56"/>
      <c r="AA141" s="24">
        <v>102</v>
      </c>
      <c r="AB141" s="19"/>
      <c r="AC141" s="19"/>
      <c r="AD141" s="15" t="e">
        <f ca="1">IF(AND($D141&lt;&gt;"",COUNTIF(OFFSET(UFS!$E$2,MATCH($D141&amp;"",UFS!$A$2:$A$175,0)-1,0,COUNTIF(UFS!$A$2:$A$175,$D141&amp;""),1),M141)&gt;0),"Valide","Invalide")</f>
        <v>#N/A</v>
      </c>
      <c r="AH141" s="15" t="str">
        <f t="shared" si="2"/>
        <v>En attente</v>
      </c>
    </row>
    <row r="142" spans="1:34" s="15" customFormat="1" ht="45" hidden="1" customHeight="1" x14ac:dyDescent="0.3">
      <c r="A142" s="42">
        <v>141</v>
      </c>
      <c r="B142" s="19" t="s">
        <v>20</v>
      </c>
      <c r="C142" s="19" t="s">
        <v>37</v>
      </c>
      <c r="D142" s="20" t="s">
        <v>692</v>
      </c>
      <c r="E142" s="20" t="s">
        <v>79</v>
      </c>
      <c r="F142" s="21" t="s">
        <v>80</v>
      </c>
      <c r="G142" s="38" t="s">
        <v>241</v>
      </c>
      <c r="H142" s="39" t="s">
        <v>367</v>
      </c>
      <c r="I142" s="39" t="s">
        <v>368</v>
      </c>
      <c r="J142" s="21" t="s">
        <v>144</v>
      </c>
      <c r="K142" s="21" t="s">
        <v>277</v>
      </c>
      <c r="L142" s="21" t="s">
        <v>278</v>
      </c>
      <c r="M142" s="21" t="s">
        <v>279</v>
      </c>
      <c r="N142" s="21" t="s">
        <v>693</v>
      </c>
      <c r="O142" s="20" t="s">
        <v>694</v>
      </c>
      <c r="P142" s="45">
        <v>45692</v>
      </c>
      <c r="Q142" s="39" t="s">
        <v>695</v>
      </c>
      <c r="R142" s="19">
        <v>417.88</v>
      </c>
      <c r="S142" s="21">
        <v>0.1</v>
      </c>
      <c r="T142" s="21">
        <v>459.66800000000001</v>
      </c>
      <c r="U142" s="44" t="s">
        <v>371</v>
      </c>
      <c r="V142" s="22">
        <v>45693</v>
      </c>
      <c r="W142" s="54" t="s">
        <v>91</v>
      </c>
      <c r="X142" s="23"/>
      <c r="Y142" s="23" t="s">
        <v>92</v>
      </c>
      <c r="Z142" s="56"/>
      <c r="AA142" s="24">
        <v>126</v>
      </c>
      <c r="AB142" s="19"/>
      <c r="AC142" s="46" t="s">
        <v>94</v>
      </c>
      <c r="AD142" s="15" t="str">
        <f ca="1">IF(AND($D142&lt;&gt;"",COUNTIF(OFFSET(UFS!$E$2,MATCH($D142&amp;"",UFS!$A$2:$A$175,0)-1,0,COUNTIF(UFS!$A$2:$A$175,$D142&amp;""),1),M142)&gt;0),"Valide","Invalide")</f>
        <v>Valide</v>
      </c>
      <c r="AH142" s="15" t="str">
        <f t="shared" si="2"/>
        <v>En attente</v>
      </c>
    </row>
    <row r="143" spans="1:34" s="15" customFormat="1" ht="39" hidden="1" customHeight="1" x14ac:dyDescent="0.3">
      <c r="A143" s="42">
        <v>142</v>
      </c>
      <c r="B143" s="19" t="s">
        <v>24</v>
      </c>
      <c r="C143" s="19" t="s">
        <v>28</v>
      </c>
      <c r="D143" s="20" t="s">
        <v>78</v>
      </c>
      <c r="E143" s="20" t="s">
        <v>79</v>
      </c>
      <c r="F143" s="21" t="s">
        <v>80</v>
      </c>
      <c r="G143" s="38" t="s">
        <v>81</v>
      </c>
      <c r="H143" s="39" t="s">
        <v>82</v>
      </c>
      <c r="I143" s="39" t="s">
        <v>83</v>
      </c>
      <c r="J143" s="21" t="s">
        <v>84</v>
      </c>
      <c r="K143" s="21" t="s">
        <v>85</v>
      </c>
      <c r="L143" s="21" t="s">
        <v>86</v>
      </c>
      <c r="M143" s="21" t="s">
        <v>85</v>
      </c>
      <c r="N143" s="21" t="s">
        <v>87</v>
      </c>
      <c r="O143" s="20" t="s">
        <v>696</v>
      </c>
      <c r="P143" s="45">
        <v>45692</v>
      </c>
      <c r="Q143" s="39" t="s">
        <v>697</v>
      </c>
      <c r="R143" s="19">
        <v>2464.75</v>
      </c>
      <c r="S143" s="21">
        <v>0.2</v>
      </c>
      <c r="T143" s="21">
        <v>2957.7</v>
      </c>
      <c r="U143" s="44" t="s">
        <v>698</v>
      </c>
      <c r="V143" s="22">
        <v>45693</v>
      </c>
      <c r="W143" s="54" t="s">
        <v>91</v>
      </c>
      <c r="X143" s="23"/>
      <c r="Y143" s="23" t="s">
        <v>92</v>
      </c>
      <c r="Z143" s="56"/>
      <c r="AA143" s="24">
        <v>127</v>
      </c>
      <c r="AB143" s="19"/>
      <c r="AC143" s="46" t="s">
        <v>94</v>
      </c>
      <c r="AD143" s="15" t="str">
        <f ca="1">IF(AND($D143&lt;&gt;"",COUNTIF(OFFSET(UFS!$E$2,MATCH($D143&amp;"",UFS!$A$2:$A$175,0)-1,0,COUNTIF(UFS!$A$2:$A$175,$D143&amp;""),1),M143)&gt;0),"Valide","Invalide")</f>
        <v>Valide</v>
      </c>
      <c r="AH143" s="15" t="str">
        <f t="shared" si="2"/>
        <v>En attente</v>
      </c>
    </row>
    <row r="144" spans="1:34" s="15" customFormat="1" ht="42.75" hidden="1" customHeight="1" x14ac:dyDescent="0.3">
      <c r="A144" s="42">
        <v>143</v>
      </c>
      <c r="B144" s="19" t="s">
        <v>24</v>
      </c>
      <c r="C144" s="19" t="s">
        <v>28</v>
      </c>
      <c r="D144" s="20" t="s">
        <v>699</v>
      </c>
      <c r="E144" s="20" t="s">
        <v>79</v>
      </c>
      <c r="F144" s="21" t="s">
        <v>80</v>
      </c>
      <c r="G144" s="38" t="s">
        <v>81</v>
      </c>
      <c r="H144" s="39" t="s">
        <v>82</v>
      </c>
      <c r="I144" s="39" t="s">
        <v>83</v>
      </c>
      <c r="J144" s="21" t="s">
        <v>700</v>
      </c>
      <c r="K144" s="21" t="s">
        <v>701</v>
      </c>
      <c r="L144" s="21" t="s">
        <v>114</v>
      </c>
      <c r="M144" s="21" t="s">
        <v>702</v>
      </c>
      <c r="N144" s="21" t="s">
        <v>151</v>
      </c>
      <c r="O144" s="20" t="s">
        <v>703</v>
      </c>
      <c r="P144" s="45">
        <v>45692</v>
      </c>
      <c r="Q144" s="39" t="s">
        <v>704</v>
      </c>
      <c r="R144" s="19">
        <v>2484.67</v>
      </c>
      <c r="S144" s="21">
        <v>0.2</v>
      </c>
      <c r="T144" s="21">
        <v>2981.6040000000003</v>
      </c>
      <c r="U144" s="44" t="s">
        <v>705</v>
      </c>
      <c r="V144" s="22">
        <v>45693</v>
      </c>
      <c r="W144" s="54" t="s">
        <v>91</v>
      </c>
      <c r="X144" s="23"/>
      <c r="Y144" s="23" t="s">
        <v>92</v>
      </c>
      <c r="Z144" s="56"/>
      <c r="AA144" s="24">
        <v>128</v>
      </c>
      <c r="AB144" s="19"/>
      <c r="AC144" s="46" t="s">
        <v>94</v>
      </c>
      <c r="AD144" s="15" t="str">
        <f ca="1">IF(AND($D144&lt;&gt;"",COUNTIF(OFFSET(UFS!$E$2,MATCH($D144&amp;"",UFS!$A$2:$A$175,0)-1,0,COUNTIF(UFS!$A$2:$A$175,$D144&amp;""),1),M144)&gt;0),"Valide","Invalide")</f>
        <v>Valide</v>
      </c>
      <c r="AH144" s="15" t="str">
        <f t="shared" si="2"/>
        <v>En attente</v>
      </c>
    </row>
    <row r="145" spans="1:34" s="15" customFormat="1" ht="34.5" hidden="1" customHeight="1" x14ac:dyDescent="0.3">
      <c r="A145" s="42">
        <v>144</v>
      </c>
      <c r="B145" s="19" t="s">
        <v>0</v>
      </c>
      <c r="C145" s="19" t="s">
        <v>586</v>
      </c>
      <c r="D145" s="20" t="s">
        <v>587</v>
      </c>
      <c r="E145" s="20" t="s">
        <v>79</v>
      </c>
      <c r="F145" s="21" t="s">
        <v>80</v>
      </c>
      <c r="G145" s="38" t="s">
        <v>81</v>
      </c>
      <c r="H145" s="39" t="s">
        <v>82</v>
      </c>
      <c r="I145" s="39" t="s">
        <v>706</v>
      </c>
      <c r="J145" s="21" t="s">
        <v>144</v>
      </c>
      <c r="K145" s="21" t="s">
        <v>145</v>
      </c>
      <c r="L145" s="21" t="s">
        <v>203</v>
      </c>
      <c r="M145" s="21" t="s">
        <v>589</v>
      </c>
      <c r="N145" s="21" t="s">
        <v>589</v>
      </c>
      <c r="O145" s="20" t="s">
        <v>707</v>
      </c>
      <c r="P145" s="45">
        <v>45692</v>
      </c>
      <c r="Q145" s="39" t="s">
        <v>708</v>
      </c>
      <c r="R145" s="19">
        <v>2656.6</v>
      </c>
      <c r="S145" s="21">
        <v>0.2</v>
      </c>
      <c r="T145" s="21">
        <v>3187.92</v>
      </c>
      <c r="U145" s="44" t="s">
        <v>592</v>
      </c>
      <c r="V145" s="22">
        <v>45693</v>
      </c>
      <c r="W145" s="54" t="s">
        <v>91</v>
      </c>
      <c r="X145" s="23"/>
      <c r="Y145" s="23" t="s">
        <v>92</v>
      </c>
      <c r="Z145" s="56"/>
      <c r="AA145" s="24">
        <v>129</v>
      </c>
      <c r="AB145" s="19"/>
      <c r="AC145" s="19"/>
      <c r="AD145" s="15" t="str">
        <f ca="1">IF(AND($D145&lt;&gt;"",COUNTIF(OFFSET(UFS!$E$2,MATCH($D145&amp;"",UFS!$A$2:$A$175,0)-1,0,COUNTIF(UFS!$A$2:$A$175,$D145&amp;""),1),M145)&gt;0),"Valide","Invalide")</f>
        <v>Valide</v>
      </c>
      <c r="AH145" s="15" t="str">
        <f t="shared" si="2"/>
        <v>En attente</v>
      </c>
    </row>
    <row r="146" spans="1:34" s="15" customFormat="1" ht="28.5" hidden="1" customHeight="1" x14ac:dyDescent="0.3">
      <c r="A146" s="42">
        <v>145</v>
      </c>
      <c r="B146" s="19" t="s">
        <v>709</v>
      </c>
      <c r="C146" s="19" t="s">
        <v>23</v>
      </c>
      <c r="D146" s="20" t="s">
        <v>106</v>
      </c>
      <c r="E146" s="20" t="s">
        <v>79</v>
      </c>
      <c r="F146" s="21" t="s">
        <v>80</v>
      </c>
      <c r="G146" s="38" t="s">
        <v>241</v>
      </c>
      <c r="H146" s="39" t="s">
        <v>643</v>
      </c>
      <c r="I146" s="39" t="s">
        <v>644</v>
      </c>
      <c r="J146" s="21" t="s">
        <v>98</v>
      </c>
      <c r="K146" s="21" t="s">
        <v>710</v>
      </c>
      <c r="L146" s="21" t="s">
        <v>100</v>
      </c>
      <c r="M146" s="21" t="s">
        <v>711</v>
      </c>
      <c r="N146" s="21" t="s">
        <v>711</v>
      </c>
      <c r="O146" s="20" t="s">
        <v>712</v>
      </c>
      <c r="P146" s="45">
        <v>45679</v>
      </c>
      <c r="Q146" s="39" t="s">
        <v>713</v>
      </c>
      <c r="R146" s="19">
        <v>7851.7</v>
      </c>
      <c r="S146" s="21">
        <v>0.1</v>
      </c>
      <c r="T146" s="21">
        <v>8636.8700000000008</v>
      </c>
      <c r="U146" s="44" t="s">
        <v>714</v>
      </c>
      <c r="V146" s="22">
        <v>45693</v>
      </c>
      <c r="W146" s="54" t="s">
        <v>91</v>
      </c>
      <c r="X146" s="23"/>
      <c r="Y146" s="23" t="s">
        <v>92</v>
      </c>
      <c r="Z146" s="56" t="s">
        <v>715</v>
      </c>
      <c r="AA146" s="24">
        <v>130</v>
      </c>
      <c r="AB146" s="19"/>
      <c r="AC146" s="19" t="s">
        <v>94</v>
      </c>
      <c r="AD146" s="15" t="str">
        <f ca="1">IF(AND($D146&lt;&gt;"",COUNTIF(OFFSET(UFS!$E$2,MATCH($D146&amp;"",UFS!$A$2:$A$175,0)-1,0,COUNTIF(UFS!$A$2:$A$175,$D146&amp;""),1),M146)&gt;0),"Valide","Invalide")</f>
        <v>Valide</v>
      </c>
      <c r="AH146" s="15" t="str">
        <f t="shared" si="2"/>
        <v>En attente</v>
      </c>
    </row>
    <row r="147" spans="1:34" s="15" customFormat="1" ht="41.25" hidden="1" customHeight="1" x14ac:dyDescent="0.3">
      <c r="A147" s="42">
        <v>146</v>
      </c>
      <c r="B147" s="19" t="s">
        <v>709</v>
      </c>
      <c r="C147" s="19" t="s">
        <v>23</v>
      </c>
      <c r="D147" s="20" t="s">
        <v>413</v>
      </c>
      <c r="E147" s="20" t="s">
        <v>79</v>
      </c>
      <c r="F147" s="21" t="s">
        <v>80</v>
      </c>
      <c r="G147" s="38" t="s">
        <v>241</v>
      </c>
      <c r="H147" s="39" t="s">
        <v>643</v>
      </c>
      <c r="I147" s="39" t="s">
        <v>644</v>
      </c>
      <c r="J147" s="21" t="s">
        <v>124</v>
      </c>
      <c r="K147" s="21" t="s">
        <v>716</v>
      </c>
      <c r="L147" s="21" t="s">
        <v>203</v>
      </c>
      <c r="M147" s="21" t="s">
        <v>711</v>
      </c>
      <c r="N147" s="21" t="s">
        <v>711</v>
      </c>
      <c r="O147" s="20" t="s">
        <v>717</v>
      </c>
      <c r="P147" s="45">
        <v>45686</v>
      </c>
      <c r="Q147" s="39" t="s">
        <v>718</v>
      </c>
      <c r="R147" s="19">
        <v>856.5</v>
      </c>
      <c r="S147" s="21">
        <v>0.1</v>
      </c>
      <c r="T147" s="21">
        <v>942.15</v>
      </c>
      <c r="U147" s="44" t="s">
        <v>714</v>
      </c>
      <c r="V147" s="22">
        <v>45693</v>
      </c>
      <c r="W147" s="54" t="s">
        <v>91</v>
      </c>
      <c r="X147" s="23"/>
      <c r="Y147" s="23" t="s">
        <v>92</v>
      </c>
      <c r="Z147" s="56"/>
      <c r="AA147" s="24">
        <v>131</v>
      </c>
      <c r="AB147" s="19"/>
      <c r="AC147" s="19" t="s">
        <v>94</v>
      </c>
      <c r="AD147" s="15" t="str">
        <f ca="1">IF(AND($D147&lt;&gt;"",COUNTIF(OFFSET(UFS!$E$2,MATCH($D147&amp;"",UFS!$A$2:$A$175,0)-1,0,COUNTIF(UFS!$A$2:$A$175,$D147&amp;""),1),M147)&gt;0),"Valide","Invalide")</f>
        <v>Valide</v>
      </c>
      <c r="AH147" s="15" t="str">
        <f t="shared" si="2"/>
        <v>En attente</v>
      </c>
    </row>
    <row r="148" spans="1:34" s="15" customFormat="1" ht="44.25" hidden="1" customHeight="1" x14ac:dyDescent="0.3">
      <c r="A148" s="42">
        <v>147</v>
      </c>
      <c r="B148" s="19" t="s">
        <v>20</v>
      </c>
      <c r="C148" s="19" t="s">
        <v>1</v>
      </c>
      <c r="D148" s="20" t="s">
        <v>174</v>
      </c>
      <c r="E148" s="20" t="s">
        <v>79</v>
      </c>
      <c r="F148" s="21" t="s">
        <v>80</v>
      </c>
      <c r="G148" s="38" t="s">
        <v>81</v>
      </c>
      <c r="H148" s="39" t="s">
        <v>82</v>
      </c>
      <c r="I148" s="39" t="s">
        <v>83</v>
      </c>
      <c r="J148" s="21" t="s">
        <v>124</v>
      </c>
      <c r="K148" s="21" t="s">
        <v>125</v>
      </c>
      <c r="L148" s="21" t="s">
        <v>177</v>
      </c>
      <c r="M148" s="21" t="s">
        <v>136</v>
      </c>
      <c r="N148" s="21" t="s">
        <v>102</v>
      </c>
      <c r="O148" s="20" t="s">
        <v>719</v>
      </c>
      <c r="P148" s="45">
        <v>45692</v>
      </c>
      <c r="Q148" s="39" t="s">
        <v>720</v>
      </c>
      <c r="R148" s="19">
        <v>1456.08</v>
      </c>
      <c r="S148" s="21">
        <v>0.1</v>
      </c>
      <c r="T148" s="21">
        <v>1601.6879999999999</v>
      </c>
      <c r="U148" s="44" t="s">
        <v>439</v>
      </c>
      <c r="V148" s="22">
        <v>45693</v>
      </c>
      <c r="W148" s="54" t="s">
        <v>91</v>
      </c>
      <c r="X148" s="23"/>
      <c r="Y148" s="23" t="s">
        <v>92</v>
      </c>
      <c r="Z148" s="56"/>
      <c r="AA148" s="24">
        <v>132</v>
      </c>
      <c r="AB148" s="19"/>
      <c r="AC148" s="46" t="s">
        <v>94</v>
      </c>
      <c r="AD148" s="15" t="str">
        <f ca="1">IF(AND($D148&lt;&gt;"",COUNTIF(OFFSET(UFS!$E$2,MATCH($D148&amp;"",UFS!$A$2:$A$175,0)-1,0,COUNTIF(UFS!$A$2:$A$175,$D148&amp;""),1),M148)&gt;0),"Valide","Invalide")</f>
        <v>Valide</v>
      </c>
      <c r="AH148" s="15" t="str">
        <f t="shared" si="2"/>
        <v>En attente</v>
      </c>
    </row>
    <row r="149" spans="1:34" s="15" customFormat="1" ht="45" hidden="1" customHeight="1" x14ac:dyDescent="0.3">
      <c r="A149" s="42">
        <v>148</v>
      </c>
      <c r="B149" s="19" t="s">
        <v>0</v>
      </c>
      <c r="C149" s="19" t="s">
        <v>11</v>
      </c>
      <c r="D149" s="20" t="s">
        <v>432</v>
      </c>
      <c r="E149" s="20" t="s">
        <v>79</v>
      </c>
      <c r="F149" s="21" t="s">
        <v>433</v>
      </c>
      <c r="G149" s="38" t="s">
        <v>81</v>
      </c>
      <c r="H149" s="39" t="s">
        <v>82</v>
      </c>
      <c r="I149" s="39" t="s">
        <v>83</v>
      </c>
      <c r="J149" s="21" t="s">
        <v>144</v>
      </c>
      <c r="K149" s="21" t="s">
        <v>145</v>
      </c>
      <c r="L149" s="21" t="s">
        <v>434</v>
      </c>
      <c r="M149" s="21" t="s">
        <v>435</v>
      </c>
      <c r="N149" s="21" t="s">
        <v>436</v>
      </c>
      <c r="O149" s="20" t="s">
        <v>721</v>
      </c>
      <c r="P149" s="45">
        <v>45691</v>
      </c>
      <c r="Q149" s="39" t="s">
        <v>722</v>
      </c>
      <c r="R149" s="19">
        <v>870.43</v>
      </c>
      <c r="S149" s="21">
        <v>0.1</v>
      </c>
      <c r="T149" s="21">
        <v>957.47299999999996</v>
      </c>
      <c r="U149" s="60" t="s">
        <v>723</v>
      </c>
      <c r="V149" s="22">
        <v>45693</v>
      </c>
      <c r="W149" s="54" t="s">
        <v>91</v>
      </c>
      <c r="X149" s="23"/>
      <c r="Y149" s="23" t="s">
        <v>92</v>
      </c>
      <c r="Z149" s="56" t="s">
        <v>724</v>
      </c>
      <c r="AA149" s="24">
        <v>187</v>
      </c>
      <c r="AB149" s="19"/>
      <c r="AC149" s="19"/>
      <c r="AD149" s="15" t="str">
        <f ca="1">IF(AND($D149&lt;&gt;"",COUNTIF(OFFSET(UFS!$E$2,MATCH($D149&amp;"",UFS!$A$2:$A$175,0)-1,0,COUNTIF(UFS!$A$2:$A$175,$D149&amp;""),1),M149)&gt;0),"Valide","Invalide")</f>
        <v>Valide</v>
      </c>
      <c r="AH149" s="15" t="str">
        <f t="shared" si="2"/>
        <v>En attente</v>
      </c>
    </row>
    <row r="150" spans="1:34" s="15" customFormat="1" ht="45" hidden="1" customHeight="1" x14ac:dyDescent="0.3">
      <c r="A150" s="42">
        <v>149</v>
      </c>
      <c r="B150" s="19" t="s">
        <v>16</v>
      </c>
      <c r="C150" s="19" t="s">
        <v>11</v>
      </c>
      <c r="D150" s="20" t="s">
        <v>190</v>
      </c>
      <c r="E150" s="20" t="s">
        <v>96</v>
      </c>
      <c r="F150" s="21" t="s">
        <v>80</v>
      </c>
      <c r="G150" s="38" t="s">
        <v>169</v>
      </c>
      <c r="H150" s="39"/>
      <c r="I150" s="39" t="s">
        <v>191</v>
      </c>
      <c r="J150" s="21" t="s">
        <v>144</v>
      </c>
      <c r="K150" s="21" t="s">
        <v>145</v>
      </c>
      <c r="L150" s="21" t="s">
        <v>192</v>
      </c>
      <c r="M150" s="21" t="s">
        <v>193</v>
      </c>
      <c r="N150" s="21" t="s">
        <v>102</v>
      </c>
      <c r="O150" s="20" t="s">
        <v>725</v>
      </c>
      <c r="P150" s="45">
        <v>45691</v>
      </c>
      <c r="Q150" s="39" t="s">
        <v>726</v>
      </c>
      <c r="R150" s="19">
        <v>1530.38</v>
      </c>
      <c r="S150" s="21">
        <v>0.1</v>
      </c>
      <c r="T150" s="21">
        <v>1683.4180000000001</v>
      </c>
      <c r="U150" s="44" t="s">
        <v>727</v>
      </c>
      <c r="V150" s="22">
        <v>45693</v>
      </c>
      <c r="W150" s="54" t="s">
        <v>91</v>
      </c>
      <c r="X150" s="23"/>
      <c r="Y150" s="23" t="s">
        <v>92</v>
      </c>
      <c r="Z150" s="56"/>
      <c r="AA150" s="24">
        <v>133</v>
      </c>
      <c r="AB150" s="47">
        <v>45713</v>
      </c>
      <c r="AC150" s="46" t="s">
        <v>94</v>
      </c>
      <c r="AD150" s="15" t="e">
        <f ca="1">IF(AND($D150&lt;&gt;"",COUNTIF(OFFSET(UFS!$E$2,MATCH($D150&amp;"",UFS!$A$2:$A$175,0)-1,0,COUNTIF(UFS!$A$2:$A$175,$D150&amp;""),1),M150)&gt;0),"Valide","Invalide")</f>
        <v>#N/A</v>
      </c>
      <c r="AH150" s="15" t="str">
        <f t="shared" si="2"/>
        <v>En attente</v>
      </c>
    </row>
    <row r="151" spans="1:34" s="15" customFormat="1" ht="45" hidden="1" customHeight="1" x14ac:dyDescent="0.3">
      <c r="A151" s="42">
        <v>150</v>
      </c>
      <c r="B151" s="19" t="s">
        <v>24</v>
      </c>
      <c r="C151" s="19" t="s">
        <v>11</v>
      </c>
      <c r="D151" s="20" t="s">
        <v>628</v>
      </c>
      <c r="E151" s="20" t="s">
        <v>79</v>
      </c>
      <c r="F151" s="21" t="s">
        <v>80</v>
      </c>
      <c r="G151" s="38" t="s">
        <v>182</v>
      </c>
      <c r="H151" s="39" t="s">
        <v>82</v>
      </c>
      <c r="I151" s="39" t="s">
        <v>83</v>
      </c>
      <c r="J151" s="21" t="s">
        <v>124</v>
      </c>
      <c r="K151" s="21" t="s">
        <v>125</v>
      </c>
      <c r="L151" s="21" t="s">
        <v>629</v>
      </c>
      <c r="M151" s="21" t="s">
        <v>136</v>
      </c>
      <c r="N151" s="21" t="s">
        <v>102</v>
      </c>
      <c r="O151" s="20" t="s">
        <v>728</v>
      </c>
      <c r="P151" s="45">
        <v>45693</v>
      </c>
      <c r="Q151" s="39" t="s">
        <v>729</v>
      </c>
      <c r="R151" s="19">
        <v>111.2</v>
      </c>
      <c r="S151" s="21">
        <v>0.1</v>
      </c>
      <c r="T151" s="21">
        <v>122.32000000000001</v>
      </c>
      <c r="U151" s="44" t="s">
        <v>730</v>
      </c>
      <c r="V151" s="22">
        <v>45693</v>
      </c>
      <c r="W151" s="54" t="s">
        <v>91</v>
      </c>
      <c r="X151" s="23"/>
      <c r="Y151" s="23" t="s">
        <v>92</v>
      </c>
      <c r="Z151" s="56"/>
      <c r="AA151" s="24">
        <v>163</v>
      </c>
      <c r="AB151" s="19"/>
      <c r="AC151" s="46" t="s">
        <v>94</v>
      </c>
      <c r="AD151" s="15" t="str">
        <f ca="1">IF(AND($D151&lt;&gt;"",COUNTIF(OFFSET(UFS!$E$2,MATCH($D151&amp;"",UFS!$A$2:$A$175,0)-1,0,COUNTIF(UFS!$A$2:$A$175,$D151&amp;""),1),M151)&gt;0),"Valide","Invalide")</f>
        <v>Valide</v>
      </c>
      <c r="AH151" s="15" t="str">
        <f t="shared" si="2"/>
        <v>En attente</v>
      </c>
    </row>
    <row r="152" spans="1:34" s="15" customFormat="1" ht="45" hidden="1" customHeight="1" x14ac:dyDescent="0.3">
      <c r="A152" s="42">
        <v>151</v>
      </c>
      <c r="B152" s="19" t="s">
        <v>4</v>
      </c>
      <c r="C152" s="19" t="s">
        <v>36</v>
      </c>
      <c r="D152" s="20" t="s">
        <v>233</v>
      </c>
      <c r="E152" s="20" t="s">
        <v>79</v>
      </c>
      <c r="F152" s="21" t="s">
        <v>80</v>
      </c>
      <c r="G152" s="38" t="s">
        <v>241</v>
      </c>
      <c r="H152" s="39" t="s">
        <v>252</v>
      </c>
      <c r="I152" s="39" t="s">
        <v>253</v>
      </c>
      <c r="J152" s="21" t="s">
        <v>124</v>
      </c>
      <c r="K152" s="21" t="s">
        <v>235</v>
      </c>
      <c r="L152" s="21" t="s">
        <v>177</v>
      </c>
      <c r="M152" s="21" t="s">
        <v>109</v>
      </c>
      <c r="N152" s="21" t="s">
        <v>109</v>
      </c>
      <c r="O152" s="20" t="s">
        <v>731</v>
      </c>
      <c r="P152" s="45">
        <v>45693</v>
      </c>
      <c r="Q152" s="39" t="s">
        <v>732</v>
      </c>
      <c r="R152" s="19">
        <v>1311.02</v>
      </c>
      <c r="S152" s="21">
        <v>0.1</v>
      </c>
      <c r="T152" s="21">
        <v>1442.1220000000001</v>
      </c>
      <c r="U152" s="44" t="s">
        <v>399</v>
      </c>
      <c r="V152" s="22">
        <v>45694</v>
      </c>
      <c r="W152" s="54" t="s">
        <v>91</v>
      </c>
      <c r="X152" s="23"/>
      <c r="Y152" s="23" t="s">
        <v>92</v>
      </c>
      <c r="Z152" s="56"/>
      <c r="AA152" s="24">
        <v>134</v>
      </c>
      <c r="AB152" s="19"/>
      <c r="AC152" s="19"/>
      <c r="AD152" s="15" t="str">
        <f ca="1">IF(AND($D152&lt;&gt;"",COUNTIF(OFFSET(UFS!$E$2,MATCH($D152&amp;"",UFS!$A$2:$A$175,0)-1,0,COUNTIF(UFS!$A$2:$A$175,$D152&amp;""),1),M152)&gt;0),"Valide","Invalide")</f>
        <v>Valide</v>
      </c>
      <c r="AH152" s="15" t="str">
        <f t="shared" si="2"/>
        <v>En attente</v>
      </c>
    </row>
    <row r="153" spans="1:34" s="15" customFormat="1" ht="44.25" hidden="1" customHeight="1" x14ac:dyDescent="0.3">
      <c r="A153" s="42">
        <v>152</v>
      </c>
      <c r="B153" s="19" t="s">
        <v>24</v>
      </c>
      <c r="C153" s="19" t="s">
        <v>33</v>
      </c>
      <c r="D153" s="20" t="s">
        <v>123</v>
      </c>
      <c r="E153" s="20" t="s">
        <v>79</v>
      </c>
      <c r="F153" s="21" t="s">
        <v>80</v>
      </c>
      <c r="G153" s="38" t="s">
        <v>81</v>
      </c>
      <c r="H153" s="39" t="s">
        <v>234</v>
      </c>
      <c r="I153" s="39" t="s">
        <v>83</v>
      </c>
      <c r="J153" s="21" t="s">
        <v>124</v>
      </c>
      <c r="K153" s="21" t="s">
        <v>125</v>
      </c>
      <c r="L153" s="21" t="s">
        <v>126</v>
      </c>
      <c r="M153" s="21" t="s">
        <v>109</v>
      </c>
      <c r="N153" s="21" t="s">
        <v>109</v>
      </c>
      <c r="O153" s="20" t="s">
        <v>733</v>
      </c>
      <c r="P153" s="45">
        <v>45694</v>
      </c>
      <c r="Q153" s="39" t="s">
        <v>734</v>
      </c>
      <c r="R153" s="19">
        <v>1110</v>
      </c>
      <c r="S153" s="21">
        <v>0.1</v>
      </c>
      <c r="T153" s="21">
        <v>1221</v>
      </c>
      <c r="U153" s="44" t="s">
        <v>735</v>
      </c>
      <c r="V153" s="22">
        <v>45694</v>
      </c>
      <c r="W153" s="54" t="s">
        <v>91</v>
      </c>
      <c r="X153" s="23"/>
      <c r="Y153" s="23" t="s">
        <v>92</v>
      </c>
      <c r="Z153" s="56"/>
      <c r="AA153" s="24">
        <v>135</v>
      </c>
      <c r="AB153" s="19"/>
      <c r="AC153" s="46" t="s">
        <v>94</v>
      </c>
      <c r="AD153" s="15" t="str">
        <f ca="1">IF(AND($D153&lt;&gt;"",COUNTIF(OFFSET(UFS!$E$2,MATCH($D153&amp;"",UFS!$A$2:$A$175,0)-1,0,COUNTIF(UFS!$A$2:$A$175,$D153&amp;""),1),M153)&gt;0),"Valide","Invalide")</f>
        <v>Valide</v>
      </c>
      <c r="AH153" s="15" t="str">
        <f t="shared" si="2"/>
        <v>En attente</v>
      </c>
    </row>
    <row r="154" spans="1:34" s="15" customFormat="1" ht="72" hidden="1" x14ac:dyDescent="0.3">
      <c r="A154" s="42">
        <v>153</v>
      </c>
      <c r="B154" s="19" t="s">
        <v>16</v>
      </c>
      <c r="C154" s="19" t="s">
        <v>32</v>
      </c>
      <c r="D154" s="20" t="s">
        <v>468</v>
      </c>
      <c r="E154" s="20" t="s">
        <v>79</v>
      </c>
      <c r="F154" s="21" t="s">
        <v>80</v>
      </c>
      <c r="G154" s="38" t="s">
        <v>81</v>
      </c>
      <c r="H154" s="39" t="s">
        <v>211</v>
      </c>
      <c r="I154" s="39" t="s">
        <v>83</v>
      </c>
      <c r="J154" s="21" t="s">
        <v>144</v>
      </c>
      <c r="K154" s="21" t="s">
        <v>145</v>
      </c>
      <c r="L154" s="21" t="s">
        <v>278</v>
      </c>
      <c r="M154" s="21" t="s">
        <v>469</v>
      </c>
      <c r="N154" s="21" t="s">
        <v>87</v>
      </c>
      <c r="O154" s="20" t="s">
        <v>736</v>
      </c>
      <c r="P154" s="45" t="s">
        <v>737</v>
      </c>
      <c r="Q154" s="39" t="s">
        <v>738</v>
      </c>
      <c r="R154" s="19">
        <v>1541.4</v>
      </c>
      <c r="S154" s="21">
        <v>0.2</v>
      </c>
      <c r="T154" s="21">
        <v>1849.68</v>
      </c>
      <c r="U154" s="44" t="s">
        <v>739</v>
      </c>
      <c r="V154" s="22">
        <v>45695</v>
      </c>
      <c r="W154" s="54" t="s">
        <v>91</v>
      </c>
      <c r="X154" s="23"/>
      <c r="Y154" s="23" t="s">
        <v>92</v>
      </c>
      <c r="Z154" s="56"/>
      <c r="AA154" s="24">
        <v>136</v>
      </c>
      <c r="AB154" s="19"/>
      <c r="AC154" s="46" t="s">
        <v>94</v>
      </c>
      <c r="AD154" s="15" t="str">
        <f ca="1">IF(AND($D154&lt;&gt;"",COUNTIF(OFFSET(UFS!$E$2,MATCH($D154&amp;"",UFS!$A$2:$A$175,0)-1,0,COUNTIF(UFS!$A$2:$A$175,$D154&amp;""),1),M154)&gt;0),"Valide","Invalide")</f>
        <v>Valide</v>
      </c>
      <c r="AH154" s="15" t="str">
        <f t="shared" si="2"/>
        <v>En attente</v>
      </c>
    </row>
    <row r="155" spans="1:34" s="15" customFormat="1" ht="43.2" hidden="1" x14ac:dyDescent="0.3">
      <c r="A155" s="42">
        <v>154</v>
      </c>
      <c r="B155" s="19" t="s">
        <v>425</v>
      </c>
      <c r="C155" s="19" t="s">
        <v>740</v>
      </c>
      <c r="D155" s="20" t="s">
        <v>604</v>
      </c>
      <c r="E155" s="20" t="s">
        <v>79</v>
      </c>
      <c r="F155" s="21" t="s">
        <v>80</v>
      </c>
      <c r="G155" s="38" t="s">
        <v>182</v>
      </c>
      <c r="H155" s="39" t="s">
        <v>367</v>
      </c>
      <c r="I155" s="62" t="s">
        <v>83</v>
      </c>
      <c r="J155" s="21" t="s">
        <v>144</v>
      </c>
      <c r="K155" s="21" t="s">
        <v>145</v>
      </c>
      <c r="L155" s="21" t="s">
        <v>146</v>
      </c>
      <c r="M155" s="21" t="s">
        <v>146</v>
      </c>
      <c r="N155" s="21" t="s">
        <v>605</v>
      </c>
      <c r="O155" s="20" t="s">
        <v>741</v>
      </c>
      <c r="P155" s="45">
        <v>45693</v>
      </c>
      <c r="Q155" s="39" t="s">
        <v>742</v>
      </c>
      <c r="R155" s="19">
        <v>2437.3200000000002</v>
      </c>
      <c r="S155" s="21">
        <v>0.2</v>
      </c>
      <c r="T155" s="21">
        <v>2924.7840000000001</v>
      </c>
      <c r="U155" s="44" t="s">
        <v>429</v>
      </c>
      <c r="V155" s="22">
        <v>45695</v>
      </c>
      <c r="W155" s="54" t="s">
        <v>91</v>
      </c>
      <c r="X155" s="23"/>
      <c r="Y155" s="23" t="s">
        <v>92</v>
      </c>
      <c r="Z155" s="56"/>
      <c r="AA155" s="24">
        <v>137</v>
      </c>
      <c r="AB155" s="19"/>
      <c r="AC155" s="19"/>
      <c r="AD155" s="15" t="str">
        <f ca="1">IF(AND($D155&lt;&gt;"",COUNTIF(OFFSET(UFS!$E$2,MATCH($D155&amp;"",UFS!$A$2:$A$175,0)-1,0,COUNTIF(UFS!$A$2:$A$175,$D155&amp;""),1),M155)&gt;0),"Valide","Invalide")</f>
        <v>Valide</v>
      </c>
      <c r="AH155" s="15" t="str">
        <f t="shared" si="2"/>
        <v>En attente</v>
      </c>
    </row>
    <row r="156" spans="1:34" s="15" customFormat="1" ht="72" hidden="1" x14ac:dyDescent="0.3">
      <c r="A156" s="42">
        <v>155</v>
      </c>
      <c r="B156" s="19" t="s">
        <v>26</v>
      </c>
      <c r="C156" s="19" t="s">
        <v>28</v>
      </c>
      <c r="D156" s="20" t="s">
        <v>743</v>
      </c>
      <c r="E156" s="20" t="s">
        <v>79</v>
      </c>
      <c r="F156" s="21" t="s">
        <v>80</v>
      </c>
      <c r="G156" s="38" t="s">
        <v>182</v>
      </c>
      <c r="H156" s="39" t="s">
        <v>82</v>
      </c>
      <c r="I156" s="39" t="s">
        <v>83</v>
      </c>
      <c r="J156" s="21" t="s">
        <v>407</v>
      </c>
      <c r="K156" s="21" t="s">
        <v>744</v>
      </c>
      <c r="L156" s="21" t="s">
        <v>100</v>
      </c>
      <c r="M156" s="21" t="s">
        <v>744</v>
      </c>
      <c r="N156" s="21" t="s">
        <v>151</v>
      </c>
      <c r="O156" s="20" t="s">
        <v>745</v>
      </c>
      <c r="P156" s="45">
        <v>45693</v>
      </c>
      <c r="Q156" s="39" t="s">
        <v>746</v>
      </c>
      <c r="R156" s="19">
        <v>4808.99</v>
      </c>
      <c r="S156" s="21">
        <v>0.2</v>
      </c>
      <c r="T156" s="21">
        <v>5770.7879999999996</v>
      </c>
      <c r="U156" s="44" t="s">
        <v>747</v>
      </c>
      <c r="V156" s="22">
        <v>45694</v>
      </c>
      <c r="W156" s="54" t="s">
        <v>91</v>
      </c>
      <c r="X156" s="23"/>
      <c r="Y156" s="23" t="s">
        <v>92</v>
      </c>
      <c r="Z156" s="56"/>
      <c r="AA156" s="24">
        <v>138</v>
      </c>
      <c r="AB156" s="19"/>
      <c r="AC156" s="19"/>
      <c r="AD156" s="15" t="str">
        <f ca="1">IF(AND($D156&lt;&gt;"",COUNTIF(OFFSET(UFS!$E$2,MATCH($D156&amp;"",UFS!$A$2:$A$175,0)-1,0,COUNTIF(UFS!$A$2:$A$175,$D156&amp;""),1),M156)&gt;0),"Valide","Invalide")</f>
        <v>Valide</v>
      </c>
      <c r="AH156" s="15" t="str">
        <f t="shared" si="2"/>
        <v>En attente</v>
      </c>
    </row>
    <row r="157" spans="1:34" s="15" customFormat="1" ht="56.25" hidden="1" customHeight="1" x14ac:dyDescent="0.3">
      <c r="A157" s="42">
        <v>156</v>
      </c>
      <c r="B157" s="19" t="s">
        <v>26</v>
      </c>
      <c r="C157" s="19" t="s">
        <v>11</v>
      </c>
      <c r="D157" s="20" t="s">
        <v>95</v>
      </c>
      <c r="E157" s="20" t="s">
        <v>79</v>
      </c>
      <c r="F157" s="21" t="s">
        <v>80</v>
      </c>
      <c r="G157" s="38" t="s">
        <v>182</v>
      </c>
      <c r="H157" s="39" t="s">
        <v>82</v>
      </c>
      <c r="I157" s="39" t="s">
        <v>83</v>
      </c>
      <c r="J157" s="21" t="s">
        <v>98</v>
      </c>
      <c r="K157" s="21" t="s">
        <v>99</v>
      </c>
      <c r="L157" s="21" t="s">
        <v>100</v>
      </c>
      <c r="M157" s="21" t="s">
        <v>101</v>
      </c>
      <c r="N157" s="21" t="s">
        <v>102</v>
      </c>
      <c r="O157" s="20" t="s">
        <v>748</v>
      </c>
      <c r="P157" s="45">
        <v>45692</v>
      </c>
      <c r="Q157" s="39" t="s">
        <v>749</v>
      </c>
      <c r="R157" s="19">
        <v>325.94</v>
      </c>
      <c r="S157" s="21">
        <v>0.1</v>
      </c>
      <c r="T157" s="21">
        <v>358.53399999999999</v>
      </c>
      <c r="U157" s="44" t="s">
        <v>750</v>
      </c>
      <c r="V157" s="22">
        <v>45694</v>
      </c>
      <c r="W157" s="54" t="s">
        <v>91</v>
      </c>
      <c r="X157" s="23"/>
      <c r="Y157" s="23" t="s">
        <v>92</v>
      </c>
      <c r="Z157" s="56"/>
      <c r="AA157" s="24">
        <v>140</v>
      </c>
      <c r="AB157" s="19"/>
      <c r="AC157" s="19"/>
      <c r="AD157" s="15" t="str">
        <f ca="1">IF(AND($D157&lt;&gt;"",COUNTIF(OFFSET(UFS!$E$2,MATCH($D157&amp;"",UFS!$A$2:$A$175,0)-1,0,COUNTIF(UFS!$A$2:$A$175,$D157&amp;""),1),M157)&gt;0),"Valide","Invalide")</f>
        <v>Valide</v>
      </c>
      <c r="AH157" s="15" t="str">
        <f t="shared" si="2"/>
        <v>En attente</v>
      </c>
    </row>
    <row r="158" spans="1:34" s="15" customFormat="1" ht="45" hidden="1" customHeight="1" x14ac:dyDescent="0.3">
      <c r="A158" s="42">
        <v>157</v>
      </c>
      <c r="B158" s="19" t="s">
        <v>16</v>
      </c>
      <c r="C158" s="19" t="s">
        <v>32</v>
      </c>
      <c r="D158" s="20" t="s">
        <v>200</v>
      </c>
      <c r="E158" s="20" t="s">
        <v>79</v>
      </c>
      <c r="F158" s="21" t="s">
        <v>80</v>
      </c>
      <c r="G158" s="38" t="s">
        <v>81</v>
      </c>
      <c r="H158" s="39" t="s">
        <v>211</v>
      </c>
      <c r="I158" s="39" t="s">
        <v>83</v>
      </c>
      <c r="J158" s="21" t="s">
        <v>144</v>
      </c>
      <c r="K158" s="21" t="s">
        <v>145</v>
      </c>
      <c r="L158" s="21" t="s">
        <v>203</v>
      </c>
      <c r="M158" s="21" t="s">
        <v>109</v>
      </c>
      <c r="N158" s="21" t="s">
        <v>109</v>
      </c>
      <c r="O158" s="20" t="s">
        <v>751</v>
      </c>
      <c r="P158" s="45">
        <v>45694</v>
      </c>
      <c r="Q158" s="39" t="s">
        <v>752</v>
      </c>
      <c r="R158" s="19">
        <v>3335.3</v>
      </c>
      <c r="S158" s="21">
        <v>0.2</v>
      </c>
      <c r="T158" s="21">
        <v>4002.36</v>
      </c>
      <c r="U158" s="44" t="s">
        <v>753</v>
      </c>
      <c r="V158" s="22">
        <v>45695</v>
      </c>
      <c r="W158" s="54" t="s">
        <v>91</v>
      </c>
      <c r="X158" s="23"/>
      <c r="Y158" s="23" t="s">
        <v>92</v>
      </c>
      <c r="Z158" s="56"/>
      <c r="AA158" s="24">
        <v>139</v>
      </c>
      <c r="AB158" s="19"/>
      <c r="AC158" s="46" t="s">
        <v>94</v>
      </c>
      <c r="AD158" s="15" t="e">
        <f ca="1">IF(AND($D158&lt;&gt;"",COUNTIF(OFFSET(UFS!$E$2,MATCH($D158&amp;"",UFS!$A$2:$A$175,0)-1,0,COUNTIF(UFS!$A$2:$A$175,$D158&amp;""),1),M158)&gt;0),"Valide","Invalide")</f>
        <v>#N/A</v>
      </c>
      <c r="AH158" s="15" t="str">
        <f t="shared" si="2"/>
        <v>En attente</v>
      </c>
    </row>
    <row r="159" spans="1:34" s="15" customFormat="1" ht="36" hidden="1" customHeight="1" x14ac:dyDescent="0.3">
      <c r="A159" s="42">
        <v>158</v>
      </c>
      <c r="B159" s="19" t="s">
        <v>24</v>
      </c>
      <c r="C159" s="19" t="s">
        <v>34</v>
      </c>
      <c r="D159" s="20" t="s">
        <v>174</v>
      </c>
      <c r="E159" s="20" t="s">
        <v>96</v>
      </c>
      <c r="F159" s="21" t="s">
        <v>80</v>
      </c>
      <c r="G159" s="38" t="s">
        <v>507</v>
      </c>
      <c r="H159" s="39"/>
      <c r="I159" s="39" t="s">
        <v>706</v>
      </c>
      <c r="J159" s="21" t="s">
        <v>124</v>
      </c>
      <c r="K159" s="21" t="s">
        <v>125</v>
      </c>
      <c r="L159" s="21" t="s">
        <v>177</v>
      </c>
      <c r="M159" s="21" t="s">
        <v>136</v>
      </c>
      <c r="N159" s="21" t="s">
        <v>102</v>
      </c>
      <c r="O159" s="38" t="s">
        <v>754</v>
      </c>
      <c r="P159" s="45">
        <v>45688</v>
      </c>
      <c r="Q159" s="39" t="s">
        <v>755</v>
      </c>
      <c r="R159" s="19">
        <v>59365.84</v>
      </c>
      <c r="S159" s="21">
        <v>0.1</v>
      </c>
      <c r="T159" s="21">
        <v>65302.423999999999</v>
      </c>
      <c r="U159" s="44" t="s">
        <v>756</v>
      </c>
      <c r="V159" s="22">
        <v>45695</v>
      </c>
      <c r="W159" s="54" t="s">
        <v>91</v>
      </c>
      <c r="X159" s="23"/>
      <c r="Y159" s="23" t="s">
        <v>92</v>
      </c>
      <c r="Z159" s="56"/>
      <c r="AA159" s="24">
        <v>141</v>
      </c>
      <c r="AB159" s="19"/>
      <c r="AC159" s="46" t="s">
        <v>94</v>
      </c>
      <c r="AD159" s="15" t="str">
        <f ca="1">IF(AND($D159&lt;&gt;"",COUNTIF(OFFSET(UFS!$E$2,MATCH($D159&amp;"",UFS!$A$2:$A$175,0)-1,0,COUNTIF(UFS!$A$2:$A$175,$D159&amp;""),1),M159)&gt;0),"Valide","Invalide")</f>
        <v>Valide</v>
      </c>
      <c r="AH159" s="15" t="str">
        <f t="shared" si="2"/>
        <v>En attente</v>
      </c>
    </row>
    <row r="160" spans="1:34" s="15" customFormat="1" ht="45" hidden="1" customHeight="1" x14ac:dyDescent="0.3">
      <c r="A160" s="42">
        <v>159</v>
      </c>
      <c r="B160" s="19" t="s">
        <v>20</v>
      </c>
      <c r="C160" s="19" t="s">
        <v>1</v>
      </c>
      <c r="D160" s="20" t="s">
        <v>134</v>
      </c>
      <c r="E160" s="20" t="s">
        <v>79</v>
      </c>
      <c r="F160" s="21" t="s">
        <v>80</v>
      </c>
      <c r="G160" s="38" t="s">
        <v>81</v>
      </c>
      <c r="H160" s="39" t="s">
        <v>82</v>
      </c>
      <c r="I160" s="39" t="s">
        <v>83</v>
      </c>
      <c r="J160" s="21" t="s">
        <v>124</v>
      </c>
      <c r="K160" s="21" t="s">
        <v>125</v>
      </c>
      <c r="L160" s="21" t="s">
        <v>135</v>
      </c>
      <c r="M160" s="21" t="s">
        <v>136</v>
      </c>
      <c r="N160" s="21" t="s">
        <v>102</v>
      </c>
      <c r="O160" s="20" t="s">
        <v>757</v>
      </c>
      <c r="P160" s="45">
        <v>45695</v>
      </c>
      <c r="Q160" s="39" t="s">
        <v>758</v>
      </c>
      <c r="R160" s="19">
        <v>6816.1</v>
      </c>
      <c r="S160" s="21">
        <v>0.1</v>
      </c>
      <c r="T160" s="21">
        <v>7497.71</v>
      </c>
      <c r="U160" s="44" t="s">
        <v>439</v>
      </c>
      <c r="V160" s="22">
        <v>45696</v>
      </c>
      <c r="W160" s="54" t="s">
        <v>91</v>
      </c>
      <c r="X160" s="23"/>
      <c r="Y160" s="23" t="s">
        <v>92</v>
      </c>
      <c r="Z160" s="56"/>
      <c r="AA160" s="24">
        <v>142</v>
      </c>
      <c r="AB160" s="19"/>
      <c r="AC160" s="46" t="s">
        <v>94</v>
      </c>
      <c r="AD160" s="15" t="str">
        <f ca="1">IF(AND($D160&lt;&gt;"",COUNTIF(OFFSET(UFS!$E$2,MATCH($D160&amp;"",UFS!$A$2:$A$175,0)-1,0,COUNTIF(UFS!$A$2:$A$175,$D160&amp;""),1),M160)&gt;0),"Valide","Invalide")</f>
        <v>Valide</v>
      </c>
      <c r="AH160" s="15" t="str">
        <f t="shared" si="2"/>
        <v>En attente</v>
      </c>
    </row>
    <row r="161" spans="1:34" s="15" customFormat="1" ht="45" hidden="1" customHeight="1" x14ac:dyDescent="0.3">
      <c r="A161" s="42">
        <v>160</v>
      </c>
      <c r="B161" s="19" t="s">
        <v>20</v>
      </c>
      <c r="C161" s="19" t="s">
        <v>1</v>
      </c>
      <c r="D161" s="20" t="s">
        <v>628</v>
      </c>
      <c r="E161" s="20" t="s">
        <v>79</v>
      </c>
      <c r="F161" s="21" t="s">
        <v>80</v>
      </c>
      <c r="G161" s="38" t="s">
        <v>81</v>
      </c>
      <c r="H161" s="39" t="s">
        <v>82</v>
      </c>
      <c r="I161" s="39" t="s">
        <v>83</v>
      </c>
      <c r="J161" s="21" t="s">
        <v>124</v>
      </c>
      <c r="K161" s="21" t="s">
        <v>125</v>
      </c>
      <c r="L161" s="21" t="s">
        <v>629</v>
      </c>
      <c r="M161" s="21" t="s">
        <v>136</v>
      </c>
      <c r="N161" s="21" t="s">
        <v>102</v>
      </c>
      <c r="O161" s="20" t="s">
        <v>759</v>
      </c>
      <c r="P161" s="45">
        <v>45695</v>
      </c>
      <c r="Q161" s="39" t="s">
        <v>760</v>
      </c>
      <c r="R161" s="19">
        <v>716.77</v>
      </c>
      <c r="S161" s="21">
        <v>0.1</v>
      </c>
      <c r="T161" s="21">
        <v>788.447</v>
      </c>
      <c r="U161" s="44" t="s">
        <v>439</v>
      </c>
      <c r="V161" s="22">
        <v>45696</v>
      </c>
      <c r="W161" s="54" t="s">
        <v>91</v>
      </c>
      <c r="X161" s="23"/>
      <c r="Y161" s="23" t="s">
        <v>92</v>
      </c>
      <c r="Z161" s="66" t="s">
        <v>761</v>
      </c>
      <c r="AA161" s="24">
        <v>143</v>
      </c>
      <c r="AB161" s="67" t="s">
        <v>762</v>
      </c>
      <c r="AC161" s="46" t="s">
        <v>94</v>
      </c>
      <c r="AD161" s="15" t="str">
        <f ca="1">IF(AND($D161&lt;&gt;"",COUNTIF(OFFSET(UFS!$E$2,MATCH($D161&amp;"",UFS!$A$2:$A$175,0)-1,0,COUNTIF(UFS!$A$2:$A$175,$D161&amp;""),1),M161)&gt;0),"Valide","Invalide")</f>
        <v>Valide</v>
      </c>
      <c r="AH161" s="15" t="str">
        <f t="shared" si="2"/>
        <v>En attente</v>
      </c>
    </row>
    <row r="162" spans="1:34" s="15" customFormat="1" ht="45" hidden="1" customHeight="1" x14ac:dyDescent="0.3">
      <c r="A162" s="42">
        <v>161</v>
      </c>
      <c r="B162" s="19" t="s">
        <v>16</v>
      </c>
      <c r="C162" s="19" t="s">
        <v>25</v>
      </c>
      <c r="D162" s="20" t="s">
        <v>200</v>
      </c>
      <c r="E162" s="20" t="s">
        <v>79</v>
      </c>
      <c r="F162" s="21" t="s">
        <v>80</v>
      </c>
      <c r="G162" s="38" t="s">
        <v>81</v>
      </c>
      <c r="H162" s="39" t="s">
        <v>82</v>
      </c>
      <c r="I162" s="39" t="s">
        <v>83</v>
      </c>
      <c r="J162" s="21" t="s">
        <v>144</v>
      </c>
      <c r="K162" s="21" t="s">
        <v>145</v>
      </c>
      <c r="L162" s="21" t="s">
        <v>203</v>
      </c>
      <c r="M162" s="21" t="s">
        <v>109</v>
      </c>
      <c r="N162" s="21" t="s">
        <v>109</v>
      </c>
      <c r="O162" s="20" t="s">
        <v>763</v>
      </c>
      <c r="P162" s="45">
        <v>45688</v>
      </c>
      <c r="Q162" s="39" t="s">
        <v>764</v>
      </c>
      <c r="R162" s="19">
        <v>19499.86</v>
      </c>
      <c r="S162" s="21">
        <v>0.2</v>
      </c>
      <c r="T162" s="21">
        <v>23399.832000000002</v>
      </c>
      <c r="U162" s="44" t="s">
        <v>765</v>
      </c>
      <c r="V162" s="22">
        <v>45698</v>
      </c>
      <c r="W162" s="54" t="s">
        <v>91</v>
      </c>
      <c r="X162" s="23"/>
      <c r="Y162" s="23" t="s">
        <v>376</v>
      </c>
      <c r="Z162" s="56" t="s">
        <v>653</v>
      </c>
      <c r="AA162" s="24"/>
      <c r="AB162" s="19"/>
      <c r="AC162" s="19"/>
      <c r="AD162" s="15" t="e">
        <f ca="1">IF(AND($D162&lt;&gt;"",COUNTIF(OFFSET(UFS!$E$2,MATCH($D162&amp;"",UFS!$A$2:$A$175,0)-1,0,COUNTIF(UFS!$A$2:$A$175,$D162&amp;""),1),M162)&gt;0),"Valide","Invalide")</f>
        <v>#N/A</v>
      </c>
      <c r="AH162" s="15" t="str">
        <f t="shared" si="2"/>
        <v>En attente</v>
      </c>
    </row>
    <row r="163" spans="1:34" s="15" customFormat="1" ht="45" hidden="1" customHeight="1" x14ac:dyDescent="0.3">
      <c r="A163" s="42">
        <v>162</v>
      </c>
      <c r="B163" s="19" t="s">
        <v>16</v>
      </c>
      <c r="C163" s="19" t="s">
        <v>32</v>
      </c>
      <c r="D163" s="20" t="s">
        <v>200</v>
      </c>
      <c r="E163" s="20" t="s">
        <v>79</v>
      </c>
      <c r="F163" s="21" t="s">
        <v>80</v>
      </c>
      <c r="G163" s="38" t="s">
        <v>81</v>
      </c>
      <c r="H163" s="39" t="s">
        <v>211</v>
      </c>
      <c r="I163" s="39" t="s">
        <v>83</v>
      </c>
      <c r="J163" s="21" t="s">
        <v>144</v>
      </c>
      <c r="K163" s="21" t="s">
        <v>145</v>
      </c>
      <c r="L163" s="21" t="s">
        <v>203</v>
      </c>
      <c r="M163" s="21" t="s">
        <v>109</v>
      </c>
      <c r="N163" s="21" t="s">
        <v>109</v>
      </c>
      <c r="O163" s="20" t="s">
        <v>766</v>
      </c>
      <c r="P163" s="45">
        <v>45698</v>
      </c>
      <c r="Q163" s="39" t="s">
        <v>767</v>
      </c>
      <c r="R163" s="19">
        <v>662.48</v>
      </c>
      <c r="S163" s="21">
        <v>0.2</v>
      </c>
      <c r="T163" s="21">
        <v>794.976</v>
      </c>
      <c r="U163" s="44" t="s">
        <v>768</v>
      </c>
      <c r="V163" s="22">
        <v>45699</v>
      </c>
      <c r="W163" s="54" t="s">
        <v>91</v>
      </c>
      <c r="X163" s="23"/>
      <c r="Y163" s="23" t="s">
        <v>92</v>
      </c>
      <c r="Z163" s="56"/>
      <c r="AA163" s="24">
        <v>151</v>
      </c>
      <c r="AB163" s="19"/>
      <c r="AC163" s="46" t="s">
        <v>94</v>
      </c>
      <c r="AD163" s="15" t="e">
        <f ca="1">IF(AND($D163&lt;&gt;"",COUNTIF(OFFSET(UFS!$E$2,MATCH($D163&amp;"",UFS!$A$2:$A$175,0)-1,0,COUNTIF(UFS!$A$2:$A$175,$D163&amp;""),1),M163)&gt;0),"Valide","Invalide")</f>
        <v>#N/A</v>
      </c>
      <c r="AH163" s="15" t="str">
        <f t="shared" si="2"/>
        <v>En attente</v>
      </c>
    </row>
    <row r="164" spans="1:34" s="15" customFormat="1" ht="45" hidden="1" customHeight="1" x14ac:dyDescent="0.3">
      <c r="A164" s="42">
        <v>163</v>
      </c>
      <c r="B164" s="19" t="s">
        <v>425</v>
      </c>
      <c r="C164" s="19" t="s">
        <v>769</v>
      </c>
      <c r="D164" s="20" t="s">
        <v>604</v>
      </c>
      <c r="E164" s="20" t="s">
        <v>79</v>
      </c>
      <c r="F164" s="21" t="s">
        <v>80</v>
      </c>
      <c r="G164" s="38" t="s">
        <v>241</v>
      </c>
      <c r="H164" s="38"/>
      <c r="I164" s="39" t="s">
        <v>644</v>
      </c>
      <c r="J164" s="21" t="s">
        <v>144</v>
      </c>
      <c r="K164" s="21" t="s">
        <v>145</v>
      </c>
      <c r="L164" s="21" t="s">
        <v>146</v>
      </c>
      <c r="M164" s="21" t="s">
        <v>146</v>
      </c>
      <c r="N164" s="21" t="s">
        <v>605</v>
      </c>
      <c r="O164" s="20" t="s">
        <v>770</v>
      </c>
      <c r="P164" s="45">
        <v>45673</v>
      </c>
      <c r="Q164" s="39" t="s">
        <v>771</v>
      </c>
      <c r="R164" s="19">
        <v>438.93</v>
      </c>
      <c r="S164" s="21">
        <v>0.2</v>
      </c>
      <c r="T164" s="21">
        <v>526.71600000000001</v>
      </c>
      <c r="U164" s="44" t="s">
        <v>429</v>
      </c>
      <c r="V164" s="22">
        <v>45699</v>
      </c>
      <c r="W164" s="54" t="s">
        <v>91</v>
      </c>
      <c r="X164" s="23"/>
      <c r="Y164" s="23" t="s">
        <v>92</v>
      </c>
      <c r="Z164" s="56"/>
      <c r="AA164" s="24">
        <v>152</v>
      </c>
      <c r="AB164" s="19"/>
      <c r="AC164" s="19"/>
      <c r="AD164" s="15" t="str">
        <f ca="1">IF(AND($D164&lt;&gt;"",COUNTIF(OFFSET(UFS!$E$2,MATCH($D164&amp;"",UFS!$A$2:$A$175,0)-1,0,COUNTIF(UFS!$A$2:$A$175,$D164&amp;""),1),M164)&gt;0),"Valide","Invalide")</f>
        <v>Valide</v>
      </c>
      <c r="AH164" s="15" t="str">
        <f t="shared" si="2"/>
        <v>En attente</v>
      </c>
    </row>
    <row r="165" spans="1:34" s="15" customFormat="1" ht="45" hidden="1" customHeight="1" x14ac:dyDescent="0.3">
      <c r="A165" s="42">
        <v>164</v>
      </c>
      <c r="B165" s="19" t="s">
        <v>425</v>
      </c>
      <c r="C165" s="19" t="s">
        <v>769</v>
      </c>
      <c r="D165" s="20" t="s">
        <v>604</v>
      </c>
      <c r="E165" s="20" t="s">
        <v>79</v>
      </c>
      <c r="F165" s="21" t="s">
        <v>80</v>
      </c>
      <c r="G165" s="38" t="s">
        <v>241</v>
      </c>
      <c r="H165" s="38"/>
      <c r="I165" s="39" t="s">
        <v>644</v>
      </c>
      <c r="J165" s="21" t="s">
        <v>144</v>
      </c>
      <c r="K165" s="21" t="s">
        <v>145</v>
      </c>
      <c r="L165" s="21" t="s">
        <v>146</v>
      </c>
      <c r="M165" s="21" t="s">
        <v>146</v>
      </c>
      <c r="N165" s="21" t="s">
        <v>605</v>
      </c>
      <c r="O165" s="20" t="s">
        <v>772</v>
      </c>
      <c r="P165" s="45">
        <v>45673</v>
      </c>
      <c r="Q165" s="39" t="s">
        <v>771</v>
      </c>
      <c r="R165" s="19">
        <v>73.930000000000007</v>
      </c>
      <c r="S165" s="21">
        <v>0.2</v>
      </c>
      <c r="T165" s="21">
        <v>88.716000000000008</v>
      </c>
      <c r="U165" s="44" t="s">
        <v>429</v>
      </c>
      <c r="V165" s="22">
        <v>45699</v>
      </c>
      <c r="W165" s="54" t="s">
        <v>91</v>
      </c>
      <c r="X165" s="23"/>
      <c r="Y165" s="23" t="s">
        <v>92</v>
      </c>
      <c r="Z165" s="56"/>
      <c r="AA165" s="24">
        <v>153</v>
      </c>
      <c r="AB165" s="19"/>
      <c r="AC165" s="19"/>
      <c r="AD165" s="15" t="str">
        <f ca="1">IF(AND($D165&lt;&gt;"",COUNTIF(OFFSET(UFS!$E$2,MATCH($D165&amp;"",UFS!$A$2:$A$175,0)-1,0,COUNTIF(UFS!$A$2:$A$175,$D165&amp;""),1),M165)&gt;0),"Valide","Invalide")</f>
        <v>Valide</v>
      </c>
      <c r="AH165" s="15" t="str">
        <f t="shared" si="2"/>
        <v>En attente</v>
      </c>
    </row>
    <row r="166" spans="1:34" s="15" customFormat="1" ht="45" hidden="1" customHeight="1" x14ac:dyDescent="0.3">
      <c r="A166" s="42">
        <v>165</v>
      </c>
      <c r="B166" s="19" t="s">
        <v>425</v>
      </c>
      <c r="C166" s="19" t="s">
        <v>769</v>
      </c>
      <c r="D166" s="20" t="s">
        <v>604</v>
      </c>
      <c r="E166" s="20" t="s">
        <v>79</v>
      </c>
      <c r="F166" s="21" t="s">
        <v>80</v>
      </c>
      <c r="G166" s="38" t="s">
        <v>241</v>
      </c>
      <c r="H166" s="38"/>
      <c r="I166" s="39" t="s">
        <v>644</v>
      </c>
      <c r="J166" s="21" t="s">
        <v>144</v>
      </c>
      <c r="K166" s="21" t="s">
        <v>145</v>
      </c>
      <c r="L166" s="21" t="s">
        <v>146</v>
      </c>
      <c r="M166" s="21" t="s">
        <v>146</v>
      </c>
      <c r="N166" s="21" t="s">
        <v>605</v>
      </c>
      <c r="O166" s="20" t="s">
        <v>773</v>
      </c>
      <c r="P166" s="45">
        <v>45673</v>
      </c>
      <c r="Q166" s="39" t="s">
        <v>771</v>
      </c>
      <c r="R166" s="19">
        <v>155.74</v>
      </c>
      <c r="S166" s="21">
        <v>0.2</v>
      </c>
      <c r="T166" s="21">
        <v>186.88800000000001</v>
      </c>
      <c r="U166" s="44" t="s">
        <v>429</v>
      </c>
      <c r="V166" s="22">
        <v>45699</v>
      </c>
      <c r="W166" s="54" t="s">
        <v>91</v>
      </c>
      <c r="X166" s="23"/>
      <c r="Y166" s="23" t="s">
        <v>92</v>
      </c>
      <c r="Z166" s="56"/>
      <c r="AA166" s="24">
        <v>154</v>
      </c>
      <c r="AB166" s="19"/>
      <c r="AC166" s="19"/>
      <c r="AD166" s="15" t="str">
        <f ca="1">IF(AND($D166&lt;&gt;"",COUNTIF(OFFSET(UFS!$E$2,MATCH($D166&amp;"",UFS!$A$2:$A$175,0)-1,0,COUNTIF(UFS!$A$2:$A$175,$D166&amp;""),1),M166)&gt;0),"Valide","Invalide")</f>
        <v>Valide</v>
      </c>
      <c r="AH166" s="15" t="str">
        <f t="shared" si="2"/>
        <v>En attente</v>
      </c>
    </row>
    <row r="167" spans="1:34" s="15" customFormat="1" ht="45" hidden="1" customHeight="1" x14ac:dyDescent="0.3">
      <c r="A167" s="42">
        <v>166</v>
      </c>
      <c r="B167" s="19" t="s">
        <v>24</v>
      </c>
      <c r="C167" s="19" t="s">
        <v>25</v>
      </c>
      <c r="D167" s="20" t="s">
        <v>174</v>
      </c>
      <c r="E167" s="20" t="s">
        <v>79</v>
      </c>
      <c r="F167" s="21" t="s">
        <v>80</v>
      </c>
      <c r="G167" s="38" t="s">
        <v>81</v>
      </c>
      <c r="H167" s="39" t="s">
        <v>82</v>
      </c>
      <c r="I167" s="39" t="s">
        <v>83</v>
      </c>
      <c r="J167" s="21" t="s">
        <v>124</v>
      </c>
      <c r="K167" s="21" t="s">
        <v>125</v>
      </c>
      <c r="L167" s="21" t="s">
        <v>177</v>
      </c>
      <c r="M167" s="21" t="s">
        <v>136</v>
      </c>
      <c r="N167" s="21" t="s">
        <v>102</v>
      </c>
      <c r="O167" s="20" t="s">
        <v>774</v>
      </c>
      <c r="P167" s="45">
        <v>45699</v>
      </c>
      <c r="Q167" s="39" t="s">
        <v>775</v>
      </c>
      <c r="R167" s="19">
        <v>8015.5</v>
      </c>
      <c r="S167" s="21">
        <v>0.1</v>
      </c>
      <c r="T167" s="21">
        <v>8817.0499999999993</v>
      </c>
      <c r="U167" s="44" t="s">
        <v>776</v>
      </c>
      <c r="V167" s="22">
        <v>45699</v>
      </c>
      <c r="W167" s="54" t="s">
        <v>91</v>
      </c>
      <c r="X167" s="23"/>
      <c r="Y167" s="23" t="s">
        <v>92</v>
      </c>
      <c r="Z167" s="56"/>
      <c r="AA167" s="24">
        <v>155</v>
      </c>
      <c r="AB167" s="19"/>
      <c r="AC167" s="46" t="s">
        <v>94</v>
      </c>
      <c r="AD167" s="15" t="str">
        <f ca="1">IF(AND($D167&lt;&gt;"",COUNTIF(OFFSET(UFS!$E$2,MATCH($D167&amp;"",UFS!$A$2:$A$175,0)-1,0,COUNTIF(UFS!$A$2:$A$175,$D167&amp;""),1),M167)&gt;0),"Valide","Invalide")</f>
        <v>Valide</v>
      </c>
      <c r="AH167" s="15" t="str">
        <f t="shared" si="2"/>
        <v>En attente</v>
      </c>
    </row>
    <row r="168" spans="1:34" s="15" customFormat="1" ht="45" hidden="1" customHeight="1" x14ac:dyDescent="0.3">
      <c r="A168" s="42">
        <v>167</v>
      </c>
      <c r="B168" s="19" t="s">
        <v>24</v>
      </c>
      <c r="C168" s="19" t="s">
        <v>30</v>
      </c>
      <c r="D168" s="20" t="s">
        <v>174</v>
      </c>
      <c r="E168" s="20" t="s">
        <v>96</v>
      </c>
      <c r="F168" s="21" t="s">
        <v>80</v>
      </c>
      <c r="G168" s="38" t="s">
        <v>169</v>
      </c>
      <c r="H168" s="39"/>
      <c r="I168" s="39" t="s">
        <v>176</v>
      </c>
      <c r="J168" s="21" t="s">
        <v>124</v>
      </c>
      <c r="K168" s="21" t="s">
        <v>125</v>
      </c>
      <c r="L168" s="21" t="s">
        <v>177</v>
      </c>
      <c r="M168" s="21" t="s">
        <v>136</v>
      </c>
      <c r="N168" s="21" t="s">
        <v>102</v>
      </c>
      <c r="O168" s="20" t="s">
        <v>777</v>
      </c>
      <c r="P168" s="45">
        <v>45699</v>
      </c>
      <c r="Q168" s="39" t="s">
        <v>778</v>
      </c>
      <c r="R168" s="19">
        <v>9016</v>
      </c>
      <c r="S168" s="21">
        <v>0.1</v>
      </c>
      <c r="T168" s="21">
        <v>9917.6</v>
      </c>
      <c r="U168" s="44" t="s">
        <v>779</v>
      </c>
      <c r="V168" s="22">
        <v>45699</v>
      </c>
      <c r="W168" s="54" t="s">
        <v>91</v>
      </c>
      <c r="X168" s="23"/>
      <c r="Y168" s="23" t="s">
        <v>92</v>
      </c>
      <c r="Z168" s="56" t="s">
        <v>780</v>
      </c>
      <c r="AA168" s="24">
        <v>164</v>
      </c>
      <c r="AB168" s="19"/>
      <c r="AC168" s="46" t="s">
        <v>94</v>
      </c>
      <c r="AD168" s="15" t="str">
        <f ca="1">IF(AND($D168&lt;&gt;"",COUNTIF(OFFSET(UFS!$E$2,MATCH($D168&amp;"",UFS!$A$2:$A$175,0)-1,0,COUNTIF(UFS!$A$2:$A$175,$D168&amp;""),1),M168)&gt;0),"Valide","Invalide")</f>
        <v>Valide</v>
      </c>
      <c r="AH168" s="15" t="str">
        <f t="shared" si="2"/>
        <v>En attente</v>
      </c>
    </row>
    <row r="169" spans="1:34" s="15" customFormat="1" ht="45" hidden="1" customHeight="1" x14ac:dyDescent="0.3">
      <c r="A169" s="42">
        <v>168</v>
      </c>
      <c r="B169" s="19" t="s">
        <v>6</v>
      </c>
      <c r="C169" s="19" t="s">
        <v>17</v>
      </c>
      <c r="D169" s="20" t="s">
        <v>516</v>
      </c>
      <c r="E169" s="20" t="s">
        <v>79</v>
      </c>
      <c r="F169" s="21" t="s">
        <v>80</v>
      </c>
      <c r="G169" s="38" t="s">
        <v>241</v>
      </c>
      <c r="H169" s="39" t="s">
        <v>517</v>
      </c>
      <c r="I169" s="39" t="s">
        <v>518</v>
      </c>
      <c r="J169" s="21" t="s">
        <v>497</v>
      </c>
      <c r="K169" s="21" t="s">
        <v>498</v>
      </c>
      <c r="L169" s="21" t="s">
        <v>499</v>
      </c>
      <c r="M169" s="21" t="s">
        <v>498</v>
      </c>
      <c r="N169" s="21" t="s">
        <v>151</v>
      </c>
      <c r="O169" s="20" t="s">
        <v>781</v>
      </c>
      <c r="P169" s="45">
        <v>45674</v>
      </c>
      <c r="Q169" s="39" t="s">
        <v>782</v>
      </c>
      <c r="R169" s="19">
        <v>6525</v>
      </c>
      <c r="S169" s="21">
        <v>0.2</v>
      </c>
      <c r="T169" s="21">
        <v>7830</v>
      </c>
      <c r="U169" s="44" t="s">
        <v>783</v>
      </c>
      <c r="V169" s="22">
        <v>45700</v>
      </c>
      <c r="W169" s="54" t="s">
        <v>91</v>
      </c>
      <c r="X169" s="23"/>
      <c r="Y169" s="23" t="s">
        <v>92</v>
      </c>
      <c r="Z169" s="56"/>
      <c r="AA169" s="24">
        <v>156</v>
      </c>
      <c r="AB169" s="19"/>
      <c r="AC169" s="46" t="s">
        <v>94</v>
      </c>
      <c r="AD169" s="15" t="str">
        <f ca="1">IF(AND($D169&lt;&gt;"",COUNTIF(OFFSET(UFS!$E$2,MATCH($D169&amp;"",UFS!$A$2:$A$175,0)-1,0,COUNTIF(UFS!$A$2:$A$175,$D169&amp;""),1),M169)&gt;0),"Valide","Invalide")</f>
        <v>Valide</v>
      </c>
      <c r="AH169" s="15" t="str">
        <f t="shared" si="2"/>
        <v>En attente</v>
      </c>
    </row>
    <row r="170" spans="1:34" s="15" customFormat="1" ht="45" hidden="1" customHeight="1" x14ac:dyDescent="0.3">
      <c r="A170" s="42">
        <v>169</v>
      </c>
      <c r="B170" s="19" t="s">
        <v>6</v>
      </c>
      <c r="C170" s="19" t="s">
        <v>31</v>
      </c>
      <c r="D170" s="20" t="s">
        <v>106</v>
      </c>
      <c r="E170" s="20" t="s">
        <v>79</v>
      </c>
      <c r="F170" s="21" t="s">
        <v>80</v>
      </c>
      <c r="G170" s="38" t="s">
        <v>241</v>
      </c>
      <c r="H170" s="39" t="s">
        <v>242</v>
      </c>
      <c r="I170" s="39" t="s">
        <v>243</v>
      </c>
      <c r="J170" s="21" t="s">
        <v>98</v>
      </c>
      <c r="K170" s="21" t="s">
        <v>108</v>
      </c>
      <c r="L170" s="21" t="s">
        <v>100</v>
      </c>
      <c r="M170" s="21" t="s">
        <v>109</v>
      </c>
      <c r="N170" s="21" t="s">
        <v>109</v>
      </c>
      <c r="O170" s="20" t="s">
        <v>784</v>
      </c>
      <c r="P170" s="45">
        <v>45694</v>
      </c>
      <c r="Q170" s="39" t="s">
        <v>785</v>
      </c>
      <c r="R170" s="19">
        <v>11197.23</v>
      </c>
      <c r="S170" s="21">
        <v>0.1</v>
      </c>
      <c r="T170" s="21">
        <v>12316.953</v>
      </c>
      <c r="U170" s="44" t="s">
        <v>786</v>
      </c>
      <c r="V170" s="22">
        <v>45700</v>
      </c>
      <c r="W170" s="54" t="s">
        <v>91</v>
      </c>
      <c r="X170" s="23"/>
      <c r="Y170" s="23" t="s">
        <v>376</v>
      </c>
      <c r="Z170" s="56" t="s">
        <v>787</v>
      </c>
      <c r="AA170" s="24"/>
      <c r="AB170" s="19"/>
      <c r="AC170" s="19"/>
      <c r="AD170" s="15" t="str">
        <f ca="1">IF(AND($D170&lt;&gt;"",COUNTIF(OFFSET(UFS!$E$2,MATCH($D170&amp;"",UFS!$A$2:$A$175,0)-1,0,COUNTIF(UFS!$A$2:$A$175,$D170&amp;""),1),M170)&gt;0),"Valide","Invalide")</f>
        <v>Valide</v>
      </c>
      <c r="AH170" s="15" t="str">
        <f t="shared" si="2"/>
        <v>En attente</v>
      </c>
    </row>
    <row r="171" spans="1:34" s="15" customFormat="1" ht="45" hidden="1" customHeight="1" x14ac:dyDescent="0.3">
      <c r="A171" s="42">
        <v>170</v>
      </c>
      <c r="B171" s="19" t="s">
        <v>6</v>
      </c>
      <c r="C171" s="19" t="s">
        <v>36</v>
      </c>
      <c r="D171" s="20" t="s">
        <v>260</v>
      </c>
      <c r="E171" s="20" t="s">
        <v>79</v>
      </c>
      <c r="F171" s="21" t="s">
        <v>80</v>
      </c>
      <c r="G171" s="38" t="s">
        <v>241</v>
      </c>
      <c r="H171" s="39" t="s">
        <v>252</v>
      </c>
      <c r="I171" s="39" t="s">
        <v>253</v>
      </c>
      <c r="J171" s="21" t="s">
        <v>84</v>
      </c>
      <c r="K171" s="21" t="s">
        <v>113</v>
      </c>
      <c r="L171" s="21" t="s">
        <v>86</v>
      </c>
      <c r="M171" s="21" t="s">
        <v>109</v>
      </c>
      <c r="N171" s="21" t="s">
        <v>109</v>
      </c>
      <c r="O171" s="20" t="s">
        <v>788</v>
      </c>
      <c r="P171" s="45">
        <v>45693</v>
      </c>
      <c r="Q171" s="39" t="s">
        <v>789</v>
      </c>
      <c r="R171" s="19">
        <v>29256</v>
      </c>
      <c r="S171" s="21">
        <v>0.1</v>
      </c>
      <c r="T171" s="21">
        <v>32181.599999999999</v>
      </c>
      <c r="U171" s="44" t="s">
        <v>790</v>
      </c>
      <c r="V171" s="22">
        <v>45700</v>
      </c>
      <c r="W171" s="54"/>
      <c r="X171" s="23"/>
      <c r="Y171" s="23" t="s">
        <v>347</v>
      </c>
      <c r="Z171" s="56" t="s">
        <v>791</v>
      </c>
      <c r="AA171" s="24"/>
      <c r="AB171" s="19"/>
      <c r="AC171" s="19"/>
      <c r="AD171" s="15" t="str">
        <f ca="1">IF(AND($D171&lt;&gt;"",COUNTIF(OFFSET(UFS!$E$2,MATCH($D171&amp;"",UFS!$A$2:$A$175,0)-1,0,COUNTIF(UFS!$A$2:$A$175,$D171&amp;""),1),M171)&gt;0),"Valide","Invalide")</f>
        <v>Valide</v>
      </c>
      <c r="AH171" s="15" t="str">
        <f t="shared" si="2"/>
        <v>En attente</v>
      </c>
    </row>
    <row r="172" spans="1:34" s="15" customFormat="1" ht="45" hidden="1" customHeight="1" x14ac:dyDescent="0.3">
      <c r="A172" s="42">
        <v>171</v>
      </c>
      <c r="B172" s="19" t="s">
        <v>6</v>
      </c>
      <c r="C172" s="19" t="s">
        <v>36</v>
      </c>
      <c r="D172" s="20" t="s">
        <v>413</v>
      </c>
      <c r="E172" s="20" t="s">
        <v>79</v>
      </c>
      <c r="F172" s="21" t="s">
        <v>80</v>
      </c>
      <c r="G172" s="38" t="s">
        <v>241</v>
      </c>
      <c r="H172" s="39" t="s">
        <v>252</v>
      </c>
      <c r="I172" s="39" t="s">
        <v>253</v>
      </c>
      <c r="J172" s="21" t="s">
        <v>183</v>
      </c>
      <c r="K172" s="21" t="s">
        <v>184</v>
      </c>
      <c r="L172" s="21" t="s">
        <v>185</v>
      </c>
      <c r="M172" s="21" t="s">
        <v>109</v>
      </c>
      <c r="N172" s="21" t="s">
        <v>109</v>
      </c>
      <c r="O172" s="20" t="s">
        <v>792</v>
      </c>
      <c r="P172" s="45">
        <v>45699</v>
      </c>
      <c r="Q172" s="39" t="s">
        <v>793</v>
      </c>
      <c r="R172" s="19">
        <v>3055</v>
      </c>
      <c r="S172" s="21">
        <v>0.1</v>
      </c>
      <c r="T172" s="21">
        <v>3360.5</v>
      </c>
      <c r="U172" s="44" t="s">
        <v>794</v>
      </c>
      <c r="V172" s="22">
        <v>45700</v>
      </c>
      <c r="W172" s="54" t="s">
        <v>91</v>
      </c>
      <c r="X172" s="23"/>
      <c r="Y172" s="23" t="s">
        <v>92</v>
      </c>
      <c r="Z172" s="56"/>
      <c r="AA172" s="24">
        <v>157</v>
      </c>
      <c r="AB172" s="19"/>
      <c r="AC172" s="46" t="s">
        <v>94</v>
      </c>
      <c r="AD172" s="15" t="str">
        <f ca="1">IF(AND($D172&lt;&gt;"",COUNTIF(OFFSET(UFS!$E$2,MATCH($D172&amp;"",UFS!$A$2:$A$175,0)-1,0,COUNTIF(UFS!$A$2:$A$175,$D172&amp;""),1),M172)&gt;0),"Valide","Invalide")</f>
        <v>Valide</v>
      </c>
      <c r="AH172" s="15" t="str">
        <f t="shared" si="2"/>
        <v>En attente</v>
      </c>
    </row>
    <row r="173" spans="1:34" s="15" customFormat="1" ht="45" hidden="1" customHeight="1" x14ac:dyDescent="0.3">
      <c r="A173" s="42">
        <v>172</v>
      </c>
      <c r="B173" s="19" t="s">
        <v>6</v>
      </c>
      <c r="C173" s="19" t="s">
        <v>36</v>
      </c>
      <c r="D173" s="20" t="s">
        <v>123</v>
      </c>
      <c r="E173" s="20" t="s">
        <v>79</v>
      </c>
      <c r="F173" s="21" t="s">
        <v>80</v>
      </c>
      <c r="G173" s="38" t="s">
        <v>241</v>
      </c>
      <c r="H173" s="39" t="s">
        <v>252</v>
      </c>
      <c r="I173" s="39" t="s">
        <v>253</v>
      </c>
      <c r="J173" s="21" t="s">
        <v>124</v>
      </c>
      <c r="K173" s="21" t="s">
        <v>125</v>
      </c>
      <c r="L173" s="21" t="s">
        <v>126</v>
      </c>
      <c r="M173" s="21" t="s">
        <v>109</v>
      </c>
      <c r="N173" s="21" t="s">
        <v>109</v>
      </c>
      <c r="O173" s="20" t="s">
        <v>795</v>
      </c>
      <c r="P173" s="45">
        <v>45699</v>
      </c>
      <c r="Q173" s="39" t="s">
        <v>796</v>
      </c>
      <c r="R173" s="19">
        <v>1687</v>
      </c>
      <c r="S173" s="21">
        <v>0.1</v>
      </c>
      <c r="T173" s="21">
        <v>1855.7</v>
      </c>
      <c r="U173" s="44" t="s">
        <v>797</v>
      </c>
      <c r="V173" s="22">
        <v>45700</v>
      </c>
      <c r="W173" s="54" t="s">
        <v>91</v>
      </c>
      <c r="X173" s="23"/>
      <c r="Y173" s="23" t="s">
        <v>92</v>
      </c>
      <c r="Z173" s="56"/>
      <c r="AA173" s="24">
        <v>158</v>
      </c>
      <c r="AB173" s="19"/>
      <c r="AC173" s="46" t="s">
        <v>94</v>
      </c>
      <c r="AD173" s="15" t="str">
        <f ca="1">IF(AND($D173&lt;&gt;"",COUNTIF(OFFSET(UFS!$E$2,MATCH($D173&amp;"",UFS!$A$2:$A$175,0)-1,0,COUNTIF(UFS!$A$2:$A$175,$D173&amp;""),1),M173)&gt;0),"Valide","Invalide")</f>
        <v>Valide</v>
      </c>
      <c r="AH173" s="15" t="str">
        <f t="shared" si="2"/>
        <v>En attente</v>
      </c>
    </row>
    <row r="174" spans="1:34" s="15" customFormat="1" ht="45" hidden="1" customHeight="1" x14ac:dyDescent="0.3">
      <c r="A174" s="42">
        <v>173</v>
      </c>
      <c r="B174" s="19" t="s">
        <v>425</v>
      </c>
      <c r="C174" s="19" t="s">
        <v>35</v>
      </c>
      <c r="D174" s="20" t="s">
        <v>604</v>
      </c>
      <c r="E174" s="20" t="s">
        <v>79</v>
      </c>
      <c r="F174" s="21" t="s">
        <v>80</v>
      </c>
      <c r="G174" s="38" t="s">
        <v>182</v>
      </c>
      <c r="H174" s="39" t="s">
        <v>426</v>
      </c>
      <c r="I174" s="39" t="s">
        <v>83</v>
      </c>
      <c r="J174" s="21" t="s">
        <v>144</v>
      </c>
      <c r="K174" s="21" t="s">
        <v>145</v>
      </c>
      <c r="L174" s="21" t="s">
        <v>146</v>
      </c>
      <c r="M174" s="21" t="s">
        <v>146</v>
      </c>
      <c r="N174" s="21" t="s">
        <v>605</v>
      </c>
      <c r="O174" s="20" t="s">
        <v>798</v>
      </c>
      <c r="P174" s="45">
        <v>45700</v>
      </c>
      <c r="Q174" s="39" t="s">
        <v>799</v>
      </c>
      <c r="R174" s="19">
        <v>2180.75</v>
      </c>
      <c r="S174" s="21">
        <v>0.2</v>
      </c>
      <c r="T174" s="21">
        <v>2616.9</v>
      </c>
      <c r="U174" s="44" t="s">
        <v>429</v>
      </c>
      <c r="V174" s="22">
        <v>45700</v>
      </c>
      <c r="W174" s="54" t="s">
        <v>91</v>
      </c>
      <c r="X174" s="23"/>
      <c r="Y174" s="23" t="s">
        <v>92</v>
      </c>
      <c r="Z174" s="56"/>
      <c r="AA174" s="24">
        <v>159</v>
      </c>
      <c r="AB174" s="19"/>
      <c r="AC174" s="19"/>
      <c r="AD174" s="15" t="str">
        <f ca="1">IF(AND($D174&lt;&gt;"",COUNTIF(OFFSET(UFS!$E$2,MATCH($D174&amp;"",UFS!$A$2:$A$175,0)-1,0,COUNTIF(UFS!$A$2:$A$175,$D174&amp;""),1),M174)&gt;0),"Valide","Invalide")</f>
        <v>Valide</v>
      </c>
      <c r="AH174" s="15" t="str">
        <f t="shared" si="2"/>
        <v>En attente</v>
      </c>
    </row>
    <row r="175" spans="1:34" s="15" customFormat="1" ht="45" hidden="1" customHeight="1" x14ac:dyDescent="0.3">
      <c r="A175" s="42">
        <v>174</v>
      </c>
      <c r="B175" s="19" t="s">
        <v>26</v>
      </c>
      <c r="C175" s="19" t="s">
        <v>15</v>
      </c>
      <c r="D175" s="20" t="s">
        <v>800</v>
      </c>
      <c r="E175" s="20" t="s">
        <v>79</v>
      </c>
      <c r="F175" s="21" t="s">
        <v>80</v>
      </c>
      <c r="G175" s="38" t="s">
        <v>182</v>
      </c>
      <c r="H175" s="39" t="s">
        <v>139</v>
      </c>
      <c r="I175" s="39" t="s">
        <v>83</v>
      </c>
      <c r="J175" s="21" t="s">
        <v>144</v>
      </c>
      <c r="K175" s="21" t="s">
        <v>145</v>
      </c>
      <c r="L175" s="21" t="s">
        <v>499</v>
      </c>
      <c r="M175" s="21" t="s">
        <v>801</v>
      </c>
      <c r="N175" s="21" t="s">
        <v>102</v>
      </c>
      <c r="O175" s="20" t="s">
        <v>802</v>
      </c>
      <c r="P175" s="45">
        <v>45699</v>
      </c>
      <c r="Q175" s="39" t="s">
        <v>803</v>
      </c>
      <c r="R175" s="19">
        <v>390.72</v>
      </c>
      <c r="S175" s="21">
        <v>0.1</v>
      </c>
      <c r="T175" s="21">
        <v>429.79200000000003</v>
      </c>
      <c r="U175" s="44" t="s">
        <v>804</v>
      </c>
      <c r="V175" s="22">
        <v>45700</v>
      </c>
      <c r="W175" s="54" t="s">
        <v>91</v>
      </c>
      <c r="X175" s="23"/>
      <c r="Y175" s="23" t="s">
        <v>92</v>
      </c>
      <c r="Z175" s="56"/>
      <c r="AA175" s="24">
        <v>160</v>
      </c>
      <c r="AB175" s="19"/>
      <c r="AC175" s="19"/>
      <c r="AD175" s="15" t="str">
        <f ca="1">IF(AND($D175&lt;&gt;"",COUNTIF(OFFSET(UFS!$E$2,MATCH($D175&amp;"",UFS!$A$2:$A$175,0)-1,0,COUNTIF(UFS!$A$2:$A$175,$D175&amp;""),1),M175)&gt;0),"Valide","Invalide")</f>
        <v>Valide</v>
      </c>
      <c r="AH175" s="15" t="str">
        <f t="shared" si="2"/>
        <v>En attente</v>
      </c>
    </row>
    <row r="176" spans="1:34" s="15" customFormat="1" ht="45" hidden="1" customHeight="1" x14ac:dyDescent="0.3">
      <c r="A176" s="42">
        <v>175</v>
      </c>
      <c r="B176" s="19" t="s">
        <v>26</v>
      </c>
      <c r="C176" s="19" t="s">
        <v>35</v>
      </c>
      <c r="D176" s="20" t="s">
        <v>406</v>
      </c>
      <c r="E176" s="20" t="s">
        <v>79</v>
      </c>
      <c r="F176" s="21" t="s">
        <v>80</v>
      </c>
      <c r="G176" s="38" t="s">
        <v>182</v>
      </c>
      <c r="H176" s="39" t="s">
        <v>215</v>
      </c>
      <c r="I176" s="39" t="s">
        <v>83</v>
      </c>
      <c r="J176" s="21" t="s">
        <v>407</v>
      </c>
      <c r="K176" s="21" t="s">
        <v>108</v>
      </c>
      <c r="L176" s="21" t="s">
        <v>100</v>
      </c>
      <c r="M176" s="21" t="s">
        <v>108</v>
      </c>
      <c r="N176" s="21" t="s">
        <v>408</v>
      </c>
      <c r="O176" s="20" t="s">
        <v>805</v>
      </c>
      <c r="P176" s="45">
        <v>45700</v>
      </c>
      <c r="Q176" s="39" t="s">
        <v>806</v>
      </c>
      <c r="R176" s="19">
        <v>3688.45</v>
      </c>
      <c r="S176" s="21">
        <v>0.2</v>
      </c>
      <c r="T176" s="21">
        <v>4426.1399999999994</v>
      </c>
      <c r="U176" s="44" t="s">
        <v>807</v>
      </c>
      <c r="V176" s="22">
        <v>45700</v>
      </c>
      <c r="W176" s="54" t="s">
        <v>91</v>
      </c>
      <c r="X176" s="23"/>
      <c r="Y176" s="23" t="s">
        <v>92</v>
      </c>
      <c r="Z176" s="56"/>
      <c r="AA176" s="24">
        <v>161</v>
      </c>
      <c r="AB176" s="19"/>
      <c r="AC176" s="19"/>
      <c r="AD176" s="15" t="str">
        <f ca="1">IF(AND($D176&lt;&gt;"",COUNTIF(OFFSET(UFS!$E$2,MATCH($D176&amp;"",UFS!$A$2:$A$175,0)-1,0,COUNTIF(UFS!$A$2:$A$175,$D176&amp;""),1),M176)&gt;0),"Valide","Invalide")</f>
        <v>Valide</v>
      </c>
      <c r="AH176" s="15" t="str">
        <f t="shared" si="2"/>
        <v>En attente</v>
      </c>
    </row>
    <row r="177" spans="1:34" s="15" customFormat="1" ht="45" hidden="1" customHeight="1" x14ac:dyDescent="0.3">
      <c r="A177" s="42">
        <v>176</v>
      </c>
      <c r="B177" s="19" t="s">
        <v>425</v>
      </c>
      <c r="C177" s="19" t="s">
        <v>740</v>
      </c>
      <c r="D177" s="20" t="s">
        <v>604</v>
      </c>
      <c r="E177" s="20" t="s">
        <v>79</v>
      </c>
      <c r="F177" s="21" t="s">
        <v>80</v>
      </c>
      <c r="G177" s="38" t="s">
        <v>182</v>
      </c>
      <c r="H177" s="39" t="s">
        <v>367</v>
      </c>
      <c r="I177" s="62" t="s">
        <v>83</v>
      </c>
      <c r="J177" s="21" t="s">
        <v>144</v>
      </c>
      <c r="K177" s="21" t="s">
        <v>145</v>
      </c>
      <c r="L177" s="21" t="s">
        <v>146</v>
      </c>
      <c r="M177" s="21" t="s">
        <v>146</v>
      </c>
      <c r="N177" s="21" t="s">
        <v>605</v>
      </c>
      <c r="O177" s="20" t="s">
        <v>808</v>
      </c>
      <c r="P177" s="45">
        <v>45729</v>
      </c>
      <c r="Q177" s="39" t="s">
        <v>809</v>
      </c>
      <c r="R177" s="19">
        <v>68.2</v>
      </c>
      <c r="S177" s="21">
        <v>0.2</v>
      </c>
      <c r="T177" s="21">
        <v>81.84</v>
      </c>
      <c r="U177" s="44" t="s">
        <v>429</v>
      </c>
      <c r="V177" s="22">
        <v>45701</v>
      </c>
      <c r="W177" s="54" t="s">
        <v>91</v>
      </c>
      <c r="X177" s="23"/>
      <c r="Y177" s="23" t="s">
        <v>92</v>
      </c>
      <c r="Z177" s="61"/>
      <c r="AA177" s="24">
        <v>170</v>
      </c>
      <c r="AB177" s="19"/>
      <c r="AC177" s="19"/>
      <c r="AD177" s="15" t="str">
        <f ca="1">IF(AND($D177&lt;&gt;"",COUNTIF(OFFSET(UFS!$E$2,MATCH($D177&amp;"",UFS!$A$2:$A$175,0)-1,0,COUNTIF(UFS!$A$2:$A$175,$D177&amp;""),1),M177)&gt;0),"Valide","Invalide")</f>
        <v>Valide</v>
      </c>
      <c r="AH177" s="15" t="str">
        <f t="shared" si="2"/>
        <v>En attente</v>
      </c>
    </row>
    <row r="178" spans="1:34" s="15" customFormat="1" ht="45" hidden="1" customHeight="1" x14ac:dyDescent="0.3">
      <c r="A178" s="42">
        <v>177</v>
      </c>
      <c r="B178" s="19" t="s">
        <v>26</v>
      </c>
      <c r="C178" s="19" t="s">
        <v>32</v>
      </c>
      <c r="D178" s="20" t="s">
        <v>810</v>
      </c>
      <c r="E178" s="20" t="s">
        <v>96</v>
      </c>
      <c r="F178" s="21" t="s">
        <v>80</v>
      </c>
      <c r="G178" s="38" t="s">
        <v>320</v>
      </c>
      <c r="H178" s="39"/>
      <c r="I178" s="39" t="s">
        <v>811</v>
      </c>
      <c r="J178" s="21" t="s">
        <v>144</v>
      </c>
      <c r="K178" s="21" t="s">
        <v>145</v>
      </c>
      <c r="L178" s="21" t="s">
        <v>146</v>
      </c>
      <c r="M178" s="21" t="s">
        <v>812</v>
      </c>
      <c r="N178" s="21" t="s">
        <v>813</v>
      </c>
      <c r="O178" s="20" t="s">
        <v>814</v>
      </c>
      <c r="P178" s="45">
        <v>45698</v>
      </c>
      <c r="Q178" s="39" t="s">
        <v>815</v>
      </c>
      <c r="R178" s="19">
        <v>27443.61</v>
      </c>
      <c r="S178" s="21">
        <v>0.1</v>
      </c>
      <c r="T178" s="21">
        <v>30187.971000000001</v>
      </c>
      <c r="U178" s="44" t="s">
        <v>816</v>
      </c>
      <c r="V178" s="22">
        <v>45701</v>
      </c>
      <c r="W178" s="54" t="s">
        <v>91</v>
      </c>
      <c r="X178" s="23"/>
      <c r="Y178" s="23" t="s">
        <v>92</v>
      </c>
      <c r="Z178" s="56"/>
      <c r="AA178" s="24">
        <v>165</v>
      </c>
      <c r="AB178" s="19"/>
      <c r="AC178" s="19"/>
      <c r="AD178" s="15" t="str">
        <f ca="1">IF(AND($D178&lt;&gt;"",COUNTIF(OFFSET(UFS!$E$2,MATCH($D178&amp;"",UFS!$A$2:$A$175,0)-1,0,COUNTIF(UFS!$A$2:$A$175,$D178&amp;""),1),M178)&gt;0),"Valide","Invalide")</f>
        <v>Valide</v>
      </c>
      <c r="AH178" s="15" t="str">
        <f t="shared" si="2"/>
        <v>En attente</v>
      </c>
    </row>
    <row r="179" spans="1:34" s="15" customFormat="1" ht="45" hidden="1" customHeight="1" x14ac:dyDescent="0.3">
      <c r="A179" s="42">
        <v>178</v>
      </c>
      <c r="B179" s="19" t="s">
        <v>26</v>
      </c>
      <c r="C179" s="19" t="s">
        <v>11</v>
      </c>
      <c r="D179" s="20" t="s">
        <v>810</v>
      </c>
      <c r="E179" s="20" t="s">
        <v>96</v>
      </c>
      <c r="F179" s="21" t="s">
        <v>80</v>
      </c>
      <c r="G179" s="38" t="s">
        <v>320</v>
      </c>
      <c r="H179" s="39"/>
      <c r="I179" s="39" t="s">
        <v>811</v>
      </c>
      <c r="J179" s="21" t="s">
        <v>144</v>
      </c>
      <c r="K179" s="21" t="s">
        <v>145</v>
      </c>
      <c r="L179" s="21" t="s">
        <v>146</v>
      </c>
      <c r="M179" s="21" t="s">
        <v>812</v>
      </c>
      <c r="N179" s="21" t="s">
        <v>813</v>
      </c>
      <c r="O179" s="20" t="s">
        <v>817</v>
      </c>
      <c r="P179" s="45">
        <v>45700</v>
      </c>
      <c r="Q179" s="39" t="s">
        <v>818</v>
      </c>
      <c r="R179" s="19">
        <v>2141.36</v>
      </c>
      <c r="S179" s="21">
        <v>0.1</v>
      </c>
      <c r="T179" s="21">
        <v>2355.4960000000001</v>
      </c>
      <c r="U179" s="44" t="s">
        <v>816</v>
      </c>
      <c r="V179" s="22">
        <v>45701</v>
      </c>
      <c r="W179" s="54" t="s">
        <v>91</v>
      </c>
      <c r="X179" s="23"/>
      <c r="Y179" s="23" t="s">
        <v>92</v>
      </c>
      <c r="Z179" s="56"/>
      <c r="AA179" s="24">
        <v>166</v>
      </c>
      <c r="AB179" s="19"/>
      <c r="AC179" s="19"/>
      <c r="AD179" s="15" t="str">
        <f ca="1">IF(AND($D179&lt;&gt;"",COUNTIF(OFFSET(UFS!$E$2,MATCH($D179&amp;"",UFS!$A$2:$A$175,0)-1,0,COUNTIF(UFS!$A$2:$A$175,$D179&amp;""),1),M179)&gt;0),"Valide","Invalide")</f>
        <v>Valide</v>
      </c>
      <c r="AH179" s="15" t="str">
        <f t="shared" si="2"/>
        <v>En attente</v>
      </c>
    </row>
    <row r="180" spans="1:34" s="15" customFormat="1" ht="45" hidden="1" customHeight="1" x14ac:dyDescent="0.3">
      <c r="A180" s="42">
        <v>179</v>
      </c>
      <c r="B180" s="19" t="s">
        <v>24</v>
      </c>
      <c r="C180" s="19" t="s">
        <v>5</v>
      </c>
      <c r="D180" s="20" t="s">
        <v>819</v>
      </c>
      <c r="E180" s="20" t="s">
        <v>79</v>
      </c>
      <c r="F180" s="21" t="s">
        <v>80</v>
      </c>
      <c r="G180" s="38" t="s">
        <v>81</v>
      </c>
      <c r="H180" s="39" t="s">
        <v>82</v>
      </c>
      <c r="I180" s="39" t="s">
        <v>83</v>
      </c>
      <c r="J180" s="21" t="s">
        <v>361</v>
      </c>
      <c r="K180" s="21" t="s">
        <v>820</v>
      </c>
      <c r="L180" s="21" t="s">
        <v>246</v>
      </c>
      <c r="M180" s="21" t="s">
        <v>821</v>
      </c>
      <c r="N180" s="21" t="s">
        <v>151</v>
      </c>
      <c r="O180" s="20" t="s">
        <v>822</v>
      </c>
      <c r="P180" s="45">
        <v>45701</v>
      </c>
      <c r="Q180" s="39" t="s">
        <v>823</v>
      </c>
      <c r="R180" s="19">
        <v>16742</v>
      </c>
      <c r="S180" s="21">
        <v>0.2</v>
      </c>
      <c r="T180" s="21">
        <v>20090.400000000001</v>
      </c>
      <c r="U180" s="44" t="s">
        <v>824</v>
      </c>
      <c r="V180" s="22">
        <v>45701</v>
      </c>
      <c r="W180" s="54" t="s">
        <v>91</v>
      </c>
      <c r="X180" s="23"/>
      <c r="Y180" s="23" t="s">
        <v>92</v>
      </c>
      <c r="Z180" s="56"/>
      <c r="AA180" s="24">
        <v>167</v>
      </c>
      <c r="AB180" s="19"/>
      <c r="AC180" s="46" t="s">
        <v>94</v>
      </c>
      <c r="AD180" s="15" t="str">
        <f ca="1">IF(AND($D180&lt;&gt;"",COUNTIF(OFFSET(UFS!$E$2,MATCH($D180&amp;"",UFS!$A$2:$A$175,0)-1,0,COUNTIF(UFS!$A$2:$A$175,$D180&amp;""),1),M180)&gt;0),"Valide","Invalide")</f>
        <v>Valide</v>
      </c>
      <c r="AH180" s="15" t="str">
        <f t="shared" si="2"/>
        <v>En attente</v>
      </c>
    </row>
    <row r="181" spans="1:34" s="15" customFormat="1" ht="45" hidden="1" customHeight="1" x14ac:dyDescent="0.3">
      <c r="A181" s="42">
        <v>180</v>
      </c>
      <c r="B181" s="19" t="s">
        <v>24</v>
      </c>
      <c r="C181" s="19" t="s">
        <v>5</v>
      </c>
      <c r="D181" s="20" t="s">
        <v>825</v>
      </c>
      <c r="E181" s="20" t="s">
        <v>96</v>
      </c>
      <c r="F181" s="21" t="s">
        <v>80</v>
      </c>
      <c r="G181" s="38" t="s">
        <v>288</v>
      </c>
      <c r="H181" s="39"/>
      <c r="I181" s="39" t="s">
        <v>826</v>
      </c>
      <c r="J181" s="21" t="s">
        <v>244</v>
      </c>
      <c r="K181" s="21" t="s">
        <v>827</v>
      </c>
      <c r="L181" s="21" t="s">
        <v>629</v>
      </c>
      <c r="M181" s="21" t="s">
        <v>828</v>
      </c>
      <c r="N181" s="21" t="s">
        <v>87</v>
      </c>
      <c r="O181" s="20" t="s">
        <v>829</v>
      </c>
      <c r="P181" s="45">
        <v>45701</v>
      </c>
      <c r="Q181" s="39" t="s">
        <v>830</v>
      </c>
      <c r="R181" s="19">
        <v>4215.32</v>
      </c>
      <c r="S181" s="21">
        <v>0.2</v>
      </c>
      <c r="T181" s="21">
        <v>5058.384</v>
      </c>
      <c r="U181" s="60" t="s">
        <v>831</v>
      </c>
      <c r="V181" s="22">
        <v>45701</v>
      </c>
      <c r="W181" s="54" t="s">
        <v>91</v>
      </c>
      <c r="X181" s="23"/>
      <c r="Y181" s="23" t="s">
        <v>92</v>
      </c>
      <c r="Z181" s="56"/>
      <c r="AA181" s="24">
        <v>168</v>
      </c>
      <c r="AB181" s="19"/>
      <c r="AC181" s="46" t="s">
        <v>94</v>
      </c>
      <c r="AD181" s="15" t="str">
        <f ca="1">IF(AND($D181&lt;&gt;"",COUNTIF(OFFSET(UFS!$E$2,MATCH($D181&amp;"",UFS!$A$2:$A$175,0)-1,0,COUNTIF(UFS!$A$2:$A$175,$D181&amp;""),1),M181)&gt;0),"Valide","Invalide")</f>
        <v>Valide</v>
      </c>
      <c r="AH181" s="15" t="str">
        <f t="shared" si="2"/>
        <v>En attente</v>
      </c>
    </row>
    <row r="182" spans="1:34" s="15" customFormat="1" ht="45" hidden="1" customHeight="1" x14ac:dyDescent="0.3">
      <c r="A182" s="42">
        <v>181</v>
      </c>
      <c r="B182" s="19" t="s">
        <v>24</v>
      </c>
      <c r="C182" s="19" t="s">
        <v>11</v>
      </c>
      <c r="D182" s="20" t="s">
        <v>119</v>
      </c>
      <c r="E182" s="20" t="s">
        <v>79</v>
      </c>
      <c r="F182" s="21" t="s">
        <v>80</v>
      </c>
      <c r="G182" s="38" t="s">
        <v>81</v>
      </c>
      <c r="H182" s="39" t="s">
        <v>82</v>
      </c>
      <c r="I182" s="39" t="s">
        <v>83</v>
      </c>
      <c r="J182" s="21" t="s">
        <v>84</v>
      </c>
      <c r="K182" s="21" t="s">
        <v>113</v>
      </c>
      <c r="L182" s="21" t="s">
        <v>120</v>
      </c>
      <c r="M182" s="21" t="s">
        <v>115</v>
      </c>
      <c r="N182" s="21" t="s">
        <v>102</v>
      </c>
      <c r="O182" s="20" t="s">
        <v>832</v>
      </c>
      <c r="P182" s="45">
        <v>45702</v>
      </c>
      <c r="Q182" s="39" t="s">
        <v>833</v>
      </c>
      <c r="R182" s="19">
        <v>1740.62</v>
      </c>
      <c r="S182" s="21">
        <v>0.1</v>
      </c>
      <c r="T182" s="21">
        <v>1914.6819999999998</v>
      </c>
      <c r="U182" s="44" t="s">
        <v>834</v>
      </c>
      <c r="V182" s="22">
        <v>45702</v>
      </c>
      <c r="W182" s="54" t="s">
        <v>91</v>
      </c>
      <c r="X182" s="23"/>
      <c r="Y182" s="23" t="s">
        <v>92</v>
      </c>
      <c r="Z182" s="56"/>
      <c r="AA182" s="24">
        <v>169</v>
      </c>
      <c r="AB182" s="19"/>
      <c r="AC182" s="46" t="s">
        <v>94</v>
      </c>
      <c r="AD182" s="15" t="str">
        <f ca="1">IF(AND($D182&lt;&gt;"",COUNTIF(OFFSET(UFS!$E$2,MATCH($D182&amp;"",UFS!$A$2:$A$175,0)-1,0,COUNTIF(UFS!$A$2:$A$175,$D182&amp;""),1),M182)&gt;0),"Valide","Invalide")</f>
        <v>Valide</v>
      </c>
      <c r="AH182" s="15" t="str">
        <f t="shared" si="2"/>
        <v>En attente</v>
      </c>
    </row>
    <row r="183" spans="1:34" s="15" customFormat="1" ht="45" hidden="1" customHeight="1" x14ac:dyDescent="0.3">
      <c r="A183" s="42">
        <v>182</v>
      </c>
      <c r="B183" s="19" t="s">
        <v>26</v>
      </c>
      <c r="C183" s="19" t="s">
        <v>11</v>
      </c>
      <c r="D183" s="20" t="s">
        <v>162</v>
      </c>
      <c r="E183" s="20" t="s">
        <v>96</v>
      </c>
      <c r="F183" s="21" t="s">
        <v>80</v>
      </c>
      <c r="G183" s="38" t="s">
        <v>320</v>
      </c>
      <c r="H183" s="39"/>
      <c r="I183" s="39" t="s">
        <v>503</v>
      </c>
      <c r="J183" s="21" t="s">
        <v>144</v>
      </c>
      <c r="K183" s="21" t="s">
        <v>145</v>
      </c>
      <c r="L183" s="21" t="s">
        <v>120</v>
      </c>
      <c r="M183" s="21" t="s">
        <v>164</v>
      </c>
      <c r="N183" s="21" t="s">
        <v>165</v>
      </c>
      <c r="O183" s="122">
        <v>124727</v>
      </c>
      <c r="P183" s="45">
        <v>45700</v>
      </c>
      <c r="Q183" s="39" t="s">
        <v>835</v>
      </c>
      <c r="R183" s="20" t="s">
        <v>836</v>
      </c>
      <c r="S183" s="21">
        <v>0.2</v>
      </c>
      <c r="T183" s="21">
        <v>11750.748000000001</v>
      </c>
      <c r="U183" s="44" t="s">
        <v>837</v>
      </c>
      <c r="V183" s="22">
        <v>45702</v>
      </c>
      <c r="W183" s="54" t="s">
        <v>91</v>
      </c>
      <c r="X183" s="23"/>
      <c r="Y183" s="23" t="s">
        <v>92</v>
      </c>
      <c r="Z183" s="56"/>
      <c r="AA183" s="24">
        <v>171</v>
      </c>
      <c r="AB183" s="19"/>
      <c r="AC183" s="46" t="s">
        <v>94</v>
      </c>
      <c r="AD183" s="15" t="e">
        <f ca="1">IF(AND($D183&lt;&gt;"",COUNTIF(OFFSET(UFS!$E$2,MATCH($D183&amp;"",UFS!$A$2:$A$175,0)-1,0,COUNTIF(UFS!$A$2:$A$175,$D183&amp;""),1),M183)&gt;0),"Valide","Invalide")</f>
        <v>#N/A</v>
      </c>
      <c r="AH183" s="15" t="str">
        <f t="shared" si="2"/>
        <v>En attente</v>
      </c>
    </row>
    <row r="184" spans="1:34" s="15" customFormat="1" ht="45" hidden="1" customHeight="1" x14ac:dyDescent="0.3">
      <c r="A184" s="42">
        <v>183</v>
      </c>
      <c r="B184" s="19" t="s">
        <v>26</v>
      </c>
      <c r="C184" s="19" t="s">
        <v>11</v>
      </c>
      <c r="D184" s="20" t="s">
        <v>743</v>
      </c>
      <c r="E184" s="20" t="s">
        <v>79</v>
      </c>
      <c r="F184" s="21" t="s">
        <v>80</v>
      </c>
      <c r="G184" s="38" t="s">
        <v>182</v>
      </c>
      <c r="H184" s="39" t="s">
        <v>82</v>
      </c>
      <c r="I184" s="39" t="s">
        <v>83</v>
      </c>
      <c r="J184" s="21" t="s">
        <v>407</v>
      </c>
      <c r="K184" s="21" t="s">
        <v>744</v>
      </c>
      <c r="L184" s="21" t="s">
        <v>100</v>
      </c>
      <c r="M184" s="21" t="s">
        <v>744</v>
      </c>
      <c r="N184" s="21" t="s">
        <v>151</v>
      </c>
      <c r="O184" s="20" t="s">
        <v>838</v>
      </c>
      <c r="P184" s="45">
        <v>45702</v>
      </c>
      <c r="Q184" s="39" t="s">
        <v>839</v>
      </c>
      <c r="R184" s="19">
        <v>3111.57</v>
      </c>
      <c r="S184" s="21">
        <v>0.2</v>
      </c>
      <c r="T184" s="21">
        <v>3733.884</v>
      </c>
      <c r="U184" s="44" t="s">
        <v>840</v>
      </c>
      <c r="V184" s="22">
        <v>45702</v>
      </c>
      <c r="W184" s="54" t="s">
        <v>91</v>
      </c>
      <c r="X184" s="23"/>
      <c r="Y184" s="23" t="s">
        <v>92</v>
      </c>
      <c r="Z184" s="56"/>
      <c r="AA184" s="24">
        <v>172</v>
      </c>
      <c r="AB184" s="19"/>
      <c r="AC184" s="19"/>
      <c r="AD184" s="15" t="str">
        <f ca="1">IF(AND($D184&lt;&gt;"",COUNTIF(OFFSET(UFS!$E$2,MATCH($D184&amp;"",UFS!$A$2:$A$175,0)-1,0,COUNTIF(UFS!$A$2:$A$175,$D184&amp;""),1),M184)&gt;0),"Valide","Invalide")</f>
        <v>Valide</v>
      </c>
      <c r="AH184" s="15" t="str">
        <f t="shared" si="2"/>
        <v>En attente</v>
      </c>
    </row>
    <row r="185" spans="1:34" s="15" customFormat="1" ht="45" hidden="1" customHeight="1" x14ac:dyDescent="0.3">
      <c r="A185" s="42">
        <v>184</v>
      </c>
      <c r="B185" s="19" t="s">
        <v>709</v>
      </c>
      <c r="C185" s="19" t="s">
        <v>23</v>
      </c>
      <c r="D185" s="20" t="s">
        <v>123</v>
      </c>
      <c r="E185" s="20" t="s">
        <v>79</v>
      </c>
      <c r="F185" s="21" t="s">
        <v>80</v>
      </c>
      <c r="G185" s="38" t="s">
        <v>241</v>
      </c>
      <c r="H185" s="39" t="s">
        <v>643</v>
      </c>
      <c r="I185" s="39" t="s">
        <v>644</v>
      </c>
      <c r="J185" s="21" t="s">
        <v>124</v>
      </c>
      <c r="K185" s="21" t="s">
        <v>125</v>
      </c>
      <c r="L185" s="21" t="s">
        <v>203</v>
      </c>
      <c r="M185" s="21" t="s">
        <v>841</v>
      </c>
      <c r="N185" s="21" t="s">
        <v>711</v>
      </c>
      <c r="O185" s="20" t="s">
        <v>842</v>
      </c>
      <c r="P185" s="45">
        <v>45702</v>
      </c>
      <c r="Q185" s="39" t="s">
        <v>843</v>
      </c>
      <c r="R185" s="19">
        <v>5189.3999999999996</v>
      </c>
      <c r="S185" s="21">
        <v>0.1</v>
      </c>
      <c r="T185" s="21">
        <v>5708.34</v>
      </c>
      <c r="U185" s="60" t="s">
        <v>714</v>
      </c>
      <c r="V185" s="22">
        <v>45705</v>
      </c>
      <c r="W185" s="54" t="s">
        <v>91</v>
      </c>
      <c r="X185" s="23"/>
      <c r="Y185" s="23" t="s">
        <v>92</v>
      </c>
      <c r="Z185" s="56" t="s">
        <v>844</v>
      </c>
      <c r="AA185" s="24">
        <v>162</v>
      </c>
      <c r="AB185" s="19"/>
      <c r="AC185" s="19" t="s">
        <v>94</v>
      </c>
      <c r="AD185" s="15" t="str">
        <f ca="1">IF(AND($D185&lt;&gt;"",COUNTIF(OFFSET(UFS!$E$2,MATCH($D185&amp;"",UFS!$A$2:$A$175,0)-1,0,COUNTIF(UFS!$A$2:$A$175,$D185&amp;""),1),M185)&gt;0),"Valide","Invalide")</f>
        <v>Invalide</v>
      </c>
      <c r="AH185" s="15" t="str">
        <f t="shared" si="2"/>
        <v>En attente</v>
      </c>
    </row>
    <row r="186" spans="1:34" s="15" customFormat="1" ht="45" hidden="1" customHeight="1" x14ac:dyDescent="0.3">
      <c r="A186" s="42">
        <v>185</v>
      </c>
      <c r="B186" s="19" t="s">
        <v>709</v>
      </c>
      <c r="C186" s="19" t="s">
        <v>23</v>
      </c>
      <c r="D186" s="20" t="s">
        <v>123</v>
      </c>
      <c r="E186" s="20" t="s">
        <v>79</v>
      </c>
      <c r="F186" s="21" t="s">
        <v>80</v>
      </c>
      <c r="G186" s="38" t="s">
        <v>241</v>
      </c>
      <c r="H186" s="39" t="s">
        <v>643</v>
      </c>
      <c r="I186" s="39" t="s">
        <v>644</v>
      </c>
      <c r="J186" s="21" t="s">
        <v>124</v>
      </c>
      <c r="K186" s="21" t="s">
        <v>125</v>
      </c>
      <c r="L186" s="21" t="s">
        <v>203</v>
      </c>
      <c r="M186" s="21" t="s">
        <v>841</v>
      </c>
      <c r="N186" s="21" t="s">
        <v>711</v>
      </c>
      <c r="O186" s="20" t="s">
        <v>845</v>
      </c>
      <c r="P186" s="45">
        <v>45702</v>
      </c>
      <c r="Q186" s="39" t="s">
        <v>846</v>
      </c>
      <c r="R186" s="19">
        <v>1199.7</v>
      </c>
      <c r="S186" s="21">
        <v>0.1</v>
      </c>
      <c r="T186" s="21">
        <v>1319.67</v>
      </c>
      <c r="U186" s="60" t="s">
        <v>714</v>
      </c>
      <c r="V186" s="22">
        <v>45705</v>
      </c>
      <c r="W186" s="54" t="s">
        <v>91</v>
      </c>
      <c r="X186" s="23"/>
      <c r="Y186" s="23" t="s">
        <v>92</v>
      </c>
      <c r="Z186" s="56"/>
      <c r="AA186" s="24">
        <v>173</v>
      </c>
      <c r="AB186" s="19"/>
      <c r="AC186" s="19"/>
      <c r="AD186" s="15" t="str">
        <f ca="1">IF(AND($D186&lt;&gt;"",COUNTIF(OFFSET(UFS!$E$2,MATCH($D186&amp;"",UFS!$A$2:$A$175,0)-1,0,COUNTIF(UFS!$A$2:$A$175,$D186&amp;""),1),M186)&gt;0),"Valide","Invalide")</f>
        <v>Invalide</v>
      </c>
      <c r="AH186" s="15" t="str">
        <f t="shared" si="2"/>
        <v>En attente</v>
      </c>
    </row>
    <row r="187" spans="1:34" s="15" customFormat="1" ht="45" hidden="1" customHeight="1" x14ac:dyDescent="0.3">
      <c r="A187" s="42">
        <v>186</v>
      </c>
      <c r="B187" s="19" t="s">
        <v>24</v>
      </c>
      <c r="C187" s="19" t="s">
        <v>35</v>
      </c>
      <c r="D187" s="20" t="s">
        <v>360</v>
      </c>
      <c r="E187" s="20" t="s">
        <v>79</v>
      </c>
      <c r="F187" s="21" t="s">
        <v>80</v>
      </c>
      <c r="G187" s="38" t="s">
        <v>81</v>
      </c>
      <c r="H187" s="39" t="s">
        <v>426</v>
      </c>
      <c r="I187" s="39" t="s">
        <v>83</v>
      </c>
      <c r="J187" s="21" t="s">
        <v>361</v>
      </c>
      <c r="K187" s="21" t="s">
        <v>362</v>
      </c>
      <c r="L187" s="21" t="s">
        <v>114</v>
      </c>
      <c r="M187" s="21" t="s">
        <v>363</v>
      </c>
      <c r="N187" s="21" t="s">
        <v>151</v>
      </c>
      <c r="O187" s="38" t="s">
        <v>847</v>
      </c>
      <c r="P187" s="45">
        <v>45705</v>
      </c>
      <c r="Q187" s="39" t="s">
        <v>848</v>
      </c>
      <c r="R187" s="19">
        <v>526.30999999999995</v>
      </c>
      <c r="S187" s="21">
        <v>0.2</v>
      </c>
      <c r="T187" s="21">
        <v>631.57199999999989</v>
      </c>
      <c r="U187" s="44" t="s">
        <v>849</v>
      </c>
      <c r="V187" s="22">
        <v>45705</v>
      </c>
      <c r="W187" s="54" t="s">
        <v>91</v>
      </c>
      <c r="X187" s="23"/>
      <c r="Y187" s="23" t="s">
        <v>92</v>
      </c>
      <c r="Z187" s="56"/>
      <c r="AA187" s="24">
        <v>174</v>
      </c>
      <c r="AB187" s="19"/>
      <c r="AC187" s="46" t="s">
        <v>94</v>
      </c>
      <c r="AD187" s="15" t="str">
        <f ca="1">IF(AND($D187&lt;&gt;"",COUNTIF(OFFSET(UFS!$E$2,MATCH($D187&amp;"",UFS!$A$2:$A$175,0)-1,0,COUNTIF(UFS!$A$2:$A$175,$D187&amp;""),1),M187)&gt;0),"Valide","Invalide")</f>
        <v>Valide</v>
      </c>
      <c r="AH187" s="15" t="str">
        <f t="shared" si="2"/>
        <v>En attente</v>
      </c>
    </row>
    <row r="188" spans="1:34" s="15" customFormat="1" ht="45" hidden="1" customHeight="1" x14ac:dyDescent="0.3">
      <c r="A188" s="42">
        <v>187</v>
      </c>
      <c r="B188" s="19" t="s">
        <v>6</v>
      </c>
      <c r="C188" s="19" t="s">
        <v>21</v>
      </c>
      <c r="D188" s="20" t="s">
        <v>200</v>
      </c>
      <c r="E188" s="20" t="s">
        <v>79</v>
      </c>
      <c r="F188" s="21" t="s">
        <v>80</v>
      </c>
      <c r="G188" s="38" t="s">
        <v>533</v>
      </c>
      <c r="H188" s="39" t="s">
        <v>534</v>
      </c>
      <c r="I188" s="39" t="s">
        <v>535</v>
      </c>
      <c r="J188" s="21" t="s">
        <v>144</v>
      </c>
      <c r="K188" s="21" t="s">
        <v>145</v>
      </c>
      <c r="L188" s="21" t="s">
        <v>203</v>
      </c>
      <c r="M188" s="21" t="s">
        <v>109</v>
      </c>
      <c r="N188" s="21" t="s">
        <v>109</v>
      </c>
      <c r="O188" s="20" t="s">
        <v>850</v>
      </c>
      <c r="P188" s="45">
        <v>45701</v>
      </c>
      <c r="Q188" s="39" t="s">
        <v>851</v>
      </c>
      <c r="R188" s="53">
        <v>1559.4</v>
      </c>
      <c r="S188" s="21">
        <v>0.2</v>
      </c>
      <c r="T188" s="21">
        <v>1871.2800000000002</v>
      </c>
      <c r="U188" s="44" t="s">
        <v>852</v>
      </c>
      <c r="V188" s="22">
        <v>45706</v>
      </c>
      <c r="W188" s="54" t="s">
        <v>91</v>
      </c>
      <c r="X188" s="23"/>
      <c r="Y188" s="23" t="s">
        <v>92</v>
      </c>
      <c r="Z188" s="63" t="s">
        <v>539</v>
      </c>
      <c r="AA188" s="24">
        <v>178</v>
      </c>
      <c r="AB188" s="19"/>
      <c r="AC188" s="46" t="s">
        <v>94</v>
      </c>
      <c r="AD188" s="15" t="e">
        <f ca="1">IF(AND($D188&lt;&gt;"",COUNTIF(OFFSET(UFS!$E$2,MATCH($D188&amp;"",UFS!$A$2:$A$175,0)-1,0,COUNTIF(UFS!$A$2:$A$175,$D188&amp;""),1),M188)&gt;0),"Valide","Invalide")</f>
        <v>#N/A</v>
      </c>
      <c r="AH188" s="15" t="str">
        <f t="shared" si="2"/>
        <v>En attente</v>
      </c>
    </row>
    <row r="189" spans="1:34" s="15" customFormat="1" ht="45" hidden="1" customHeight="1" x14ac:dyDescent="0.3">
      <c r="A189" s="42">
        <v>188</v>
      </c>
      <c r="B189" s="19" t="s">
        <v>6</v>
      </c>
      <c r="C189" s="19" t="s">
        <v>21</v>
      </c>
      <c r="D189" s="20" t="s">
        <v>200</v>
      </c>
      <c r="E189" s="20" t="s">
        <v>853</v>
      </c>
      <c r="F189" s="21" t="s">
        <v>80</v>
      </c>
      <c r="G189" s="38" t="s">
        <v>854</v>
      </c>
      <c r="H189" s="39" t="s">
        <v>534</v>
      </c>
      <c r="I189" s="39"/>
      <c r="J189" s="21" t="s">
        <v>144</v>
      </c>
      <c r="K189" s="21" t="s">
        <v>145</v>
      </c>
      <c r="L189" s="21" t="s">
        <v>203</v>
      </c>
      <c r="M189" s="21" t="s">
        <v>109</v>
      </c>
      <c r="N189" s="21" t="s">
        <v>109</v>
      </c>
      <c r="O189" s="20" t="s">
        <v>855</v>
      </c>
      <c r="P189" s="45">
        <v>45701</v>
      </c>
      <c r="Q189" s="39" t="s">
        <v>856</v>
      </c>
      <c r="R189" s="19">
        <v>4842.2</v>
      </c>
      <c r="S189" s="21">
        <v>0.2</v>
      </c>
      <c r="T189" s="21">
        <v>5810.6399999999994</v>
      </c>
      <c r="U189" s="44" t="s">
        <v>857</v>
      </c>
      <c r="V189" s="22">
        <v>45706</v>
      </c>
      <c r="W189" s="54" t="s">
        <v>91</v>
      </c>
      <c r="X189" s="23"/>
      <c r="Y189" s="23" t="s">
        <v>92</v>
      </c>
      <c r="Z189" s="56" t="s">
        <v>854</v>
      </c>
      <c r="AA189" s="24">
        <v>3000</v>
      </c>
      <c r="AB189" s="19"/>
      <c r="AC189" s="46" t="s">
        <v>94</v>
      </c>
      <c r="AD189" s="15" t="e">
        <f ca="1">IF(AND($D189&lt;&gt;"",COUNTIF(OFFSET(UFS!$E$2,MATCH($D189&amp;"",UFS!$A$2:$A$175,0)-1,0,COUNTIF(UFS!$A$2:$A$175,$D189&amp;""),1),M189)&gt;0),"Valide","Invalide")</f>
        <v>#N/A</v>
      </c>
      <c r="AH189" s="15" t="str">
        <f t="shared" si="2"/>
        <v>En attente</v>
      </c>
    </row>
    <row r="190" spans="1:34" s="15" customFormat="1" ht="45" hidden="1" customHeight="1" x14ac:dyDescent="0.3">
      <c r="A190" s="42">
        <v>189</v>
      </c>
      <c r="B190" s="19" t="s">
        <v>6</v>
      </c>
      <c r="C190" s="122" t="s">
        <v>31</v>
      </c>
      <c r="D190" s="20" t="s">
        <v>858</v>
      </c>
      <c r="E190" s="20" t="s">
        <v>79</v>
      </c>
      <c r="F190" s="21" t="s">
        <v>80</v>
      </c>
      <c r="G190" s="38" t="s">
        <v>241</v>
      </c>
      <c r="H190" s="39" t="s">
        <v>242</v>
      </c>
      <c r="I190" s="39" t="s">
        <v>243</v>
      </c>
      <c r="J190" s="21" t="s">
        <v>98</v>
      </c>
      <c r="K190" s="21" t="s">
        <v>859</v>
      </c>
      <c r="L190" s="21" t="s">
        <v>100</v>
      </c>
      <c r="M190" s="21" t="s">
        <v>860</v>
      </c>
      <c r="N190" s="21" t="s">
        <v>87</v>
      </c>
      <c r="O190" s="20" t="s">
        <v>861</v>
      </c>
      <c r="P190" s="45">
        <v>45562</v>
      </c>
      <c r="Q190" s="39" t="s">
        <v>862</v>
      </c>
      <c r="R190" s="19">
        <v>753.81</v>
      </c>
      <c r="S190" s="21">
        <v>0.2</v>
      </c>
      <c r="T190" s="21">
        <v>904.57199999999989</v>
      </c>
      <c r="U190" s="44" t="s">
        <v>863</v>
      </c>
      <c r="V190" s="22">
        <v>45706</v>
      </c>
      <c r="W190" s="54" t="s">
        <v>91</v>
      </c>
      <c r="X190" s="23"/>
      <c r="Y190" s="23" t="s">
        <v>92</v>
      </c>
      <c r="Z190" s="56" t="s">
        <v>864</v>
      </c>
      <c r="AA190" s="64" t="s">
        <v>865</v>
      </c>
      <c r="AB190" s="19"/>
      <c r="AC190" s="19"/>
      <c r="AD190" s="15" t="str">
        <f ca="1">IF(AND($D190&lt;&gt;"",COUNTIF(OFFSET(UFS!$E$2,MATCH($D190&amp;"",UFS!$A$2:$A$175,0)-1,0,COUNTIF(UFS!$A$2:$A$175,$D190&amp;""),1),M190)&gt;0),"Valide","Invalide")</f>
        <v>Valide</v>
      </c>
      <c r="AH190" s="15" t="str">
        <f t="shared" si="2"/>
        <v>En attente</v>
      </c>
    </row>
    <row r="191" spans="1:34" s="15" customFormat="1" ht="45" hidden="1" customHeight="1" x14ac:dyDescent="0.3">
      <c r="A191" s="42">
        <v>190</v>
      </c>
      <c r="B191" s="19" t="s">
        <v>6</v>
      </c>
      <c r="C191" s="19" t="s">
        <v>31</v>
      </c>
      <c r="D191" s="20" t="s">
        <v>123</v>
      </c>
      <c r="E191" s="20" t="s">
        <v>79</v>
      </c>
      <c r="F191" s="21" t="s">
        <v>80</v>
      </c>
      <c r="G191" s="38" t="s">
        <v>241</v>
      </c>
      <c r="H191" s="39" t="s">
        <v>242</v>
      </c>
      <c r="I191" s="39" t="s">
        <v>243</v>
      </c>
      <c r="J191" s="21" t="s">
        <v>124</v>
      </c>
      <c r="K191" s="21" t="s">
        <v>125</v>
      </c>
      <c r="L191" s="21" t="s">
        <v>126</v>
      </c>
      <c r="M191" s="21" t="s">
        <v>109</v>
      </c>
      <c r="N191" s="21" t="s">
        <v>109</v>
      </c>
      <c r="O191" s="20" t="s">
        <v>866</v>
      </c>
      <c r="P191" s="45">
        <v>45706</v>
      </c>
      <c r="Q191" s="39" t="s">
        <v>867</v>
      </c>
      <c r="R191" s="19">
        <v>560</v>
      </c>
      <c r="S191" s="21">
        <v>0.1</v>
      </c>
      <c r="T191" s="21">
        <v>616</v>
      </c>
      <c r="U191" s="44" t="s">
        <v>868</v>
      </c>
      <c r="V191" s="22">
        <v>45706</v>
      </c>
      <c r="W191" s="54" t="s">
        <v>91</v>
      </c>
      <c r="X191" s="23"/>
      <c r="Y191" s="23" t="s">
        <v>92</v>
      </c>
      <c r="Z191" s="56" t="s">
        <v>869</v>
      </c>
      <c r="AA191" s="24">
        <v>175</v>
      </c>
      <c r="AB191" s="19"/>
      <c r="AC191" s="46" t="s">
        <v>94</v>
      </c>
      <c r="AD191" s="15" t="str">
        <f ca="1">IF(AND($D191&lt;&gt;"",COUNTIF(OFFSET(UFS!$E$2,MATCH($D191&amp;"",UFS!$A$2:$A$175,0)-1,0,COUNTIF(UFS!$A$2:$A$175,$D191&amp;""),1),M191)&gt;0),"Valide","Invalide")</f>
        <v>Valide</v>
      </c>
      <c r="AH191" s="15" t="str">
        <f t="shared" si="2"/>
        <v>En attente</v>
      </c>
    </row>
    <row r="192" spans="1:34" s="15" customFormat="1" ht="45" hidden="1" customHeight="1" x14ac:dyDescent="0.3">
      <c r="A192" s="42">
        <v>191</v>
      </c>
      <c r="B192" s="19" t="s">
        <v>24</v>
      </c>
      <c r="C192" s="19" t="s">
        <v>25</v>
      </c>
      <c r="D192" s="20" t="s">
        <v>174</v>
      </c>
      <c r="E192" s="20" t="s">
        <v>96</v>
      </c>
      <c r="F192" s="21" t="s">
        <v>80</v>
      </c>
      <c r="G192" s="38" t="s">
        <v>288</v>
      </c>
      <c r="H192" s="39"/>
      <c r="I192" s="39" t="s">
        <v>176</v>
      </c>
      <c r="J192" s="21" t="s">
        <v>124</v>
      </c>
      <c r="K192" s="21" t="s">
        <v>125</v>
      </c>
      <c r="L192" s="21" t="s">
        <v>177</v>
      </c>
      <c r="M192" s="21" t="s">
        <v>136</v>
      </c>
      <c r="N192" s="21" t="s">
        <v>102</v>
      </c>
      <c r="O192" s="20" t="s">
        <v>870</v>
      </c>
      <c r="P192" s="45">
        <v>45706</v>
      </c>
      <c r="Q192" s="39" t="s">
        <v>871</v>
      </c>
      <c r="R192" s="19">
        <v>4372.22</v>
      </c>
      <c r="S192" s="21">
        <v>0.1</v>
      </c>
      <c r="T192" s="21">
        <v>4809.442</v>
      </c>
      <c r="U192" s="60" t="s">
        <v>180</v>
      </c>
      <c r="V192" s="22">
        <v>45707</v>
      </c>
      <c r="W192" s="54" t="s">
        <v>91</v>
      </c>
      <c r="X192" s="23"/>
      <c r="Y192" s="23" t="s">
        <v>92</v>
      </c>
      <c r="Z192" s="56"/>
      <c r="AA192" s="24">
        <v>176</v>
      </c>
      <c r="AB192" s="47">
        <v>45747</v>
      </c>
      <c r="AC192" s="46" t="s">
        <v>94</v>
      </c>
      <c r="AD192" s="15" t="str">
        <f ca="1">IF(AND($D192&lt;&gt;"",COUNTIF(OFFSET(UFS!$E$2,MATCH($D192&amp;"",UFS!$A$2:$A$175,0)-1,0,COUNTIF(UFS!$A$2:$A$175,$D192&amp;""),1),M192)&gt;0),"Valide","Invalide")</f>
        <v>Valide</v>
      </c>
      <c r="AH192" s="15" t="str">
        <f t="shared" si="2"/>
        <v>En attente</v>
      </c>
    </row>
    <row r="193" spans="1:34" s="15" customFormat="1" ht="45" hidden="1" customHeight="1" x14ac:dyDescent="0.3">
      <c r="A193" s="42">
        <v>192</v>
      </c>
      <c r="B193" s="19" t="s">
        <v>24</v>
      </c>
      <c r="C193" s="19" t="s">
        <v>19</v>
      </c>
      <c r="D193" s="20" t="s">
        <v>872</v>
      </c>
      <c r="E193" s="20" t="s">
        <v>79</v>
      </c>
      <c r="F193" s="21" t="s">
        <v>80</v>
      </c>
      <c r="G193" s="38" t="s">
        <v>81</v>
      </c>
      <c r="H193" s="39" t="s">
        <v>211</v>
      </c>
      <c r="I193" s="39" t="s">
        <v>83</v>
      </c>
      <c r="J193" s="21" t="s">
        <v>124</v>
      </c>
      <c r="K193" s="21" t="s">
        <v>235</v>
      </c>
      <c r="L193" s="21" t="s">
        <v>246</v>
      </c>
      <c r="M193" s="21" t="s">
        <v>284</v>
      </c>
      <c r="N193" s="21" t="s">
        <v>873</v>
      </c>
      <c r="O193" s="20" t="s">
        <v>874</v>
      </c>
      <c r="P193" s="45">
        <v>45705</v>
      </c>
      <c r="Q193" s="39" t="s">
        <v>875</v>
      </c>
      <c r="R193" s="19">
        <v>3004.66</v>
      </c>
      <c r="S193" s="21">
        <v>0.2</v>
      </c>
      <c r="T193" s="21">
        <v>3605.5919999999996</v>
      </c>
      <c r="U193" s="60" t="s">
        <v>876</v>
      </c>
      <c r="V193" s="22">
        <v>45707</v>
      </c>
      <c r="W193" s="54" t="s">
        <v>91</v>
      </c>
      <c r="X193" s="23"/>
      <c r="Y193" s="23" t="s">
        <v>92</v>
      </c>
      <c r="Z193" s="56"/>
      <c r="AA193" s="24">
        <v>177</v>
      </c>
      <c r="AB193" s="47"/>
      <c r="AC193" s="46" t="s">
        <v>94</v>
      </c>
      <c r="AD193" s="15" t="str">
        <f ca="1">IF(AND($D193&lt;&gt;"",COUNTIF(OFFSET(UFS!$E$2,MATCH($D193&amp;"",UFS!$A$2:$A$175,0)-1,0,COUNTIF(UFS!$A$2:$A$175,$D193&amp;""),1),M193)&gt;0),"Valide","Invalide")</f>
        <v>Valide</v>
      </c>
      <c r="AH193" s="15" t="str">
        <f t="shared" si="2"/>
        <v>En attente</v>
      </c>
    </row>
    <row r="194" spans="1:34" s="15" customFormat="1" ht="45" hidden="1" customHeight="1" x14ac:dyDescent="0.3">
      <c r="A194" s="42">
        <v>193</v>
      </c>
      <c r="B194" s="19" t="s">
        <v>16</v>
      </c>
      <c r="C194" s="19" t="s">
        <v>25</v>
      </c>
      <c r="D194" s="20" t="s">
        <v>334</v>
      </c>
      <c r="E194" s="20" t="s">
        <v>79</v>
      </c>
      <c r="F194" s="21" t="s">
        <v>80</v>
      </c>
      <c r="G194" s="38" t="s">
        <v>81</v>
      </c>
      <c r="H194" s="39" t="s">
        <v>82</v>
      </c>
      <c r="I194" s="39" t="s">
        <v>83</v>
      </c>
      <c r="J194" s="21" t="s">
        <v>144</v>
      </c>
      <c r="K194" s="21" t="s">
        <v>145</v>
      </c>
      <c r="L194" s="21" t="s">
        <v>278</v>
      </c>
      <c r="M194" s="21" t="s">
        <v>335</v>
      </c>
      <c r="N194" s="21" t="s">
        <v>102</v>
      </c>
      <c r="O194" s="20" t="s">
        <v>877</v>
      </c>
      <c r="P194" s="45">
        <v>45698</v>
      </c>
      <c r="Q194" s="39" t="s">
        <v>878</v>
      </c>
      <c r="R194" s="19">
        <v>4292.74</v>
      </c>
      <c r="S194" s="21">
        <v>0.1</v>
      </c>
      <c r="T194" s="21">
        <v>4722.0140000000001</v>
      </c>
      <c r="U194" s="60" t="s">
        <v>879</v>
      </c>
      <c r="V194" s="22">
        <v>45708</v>
      </c>
      <c r="W194" s="54" t="s">
        <v>91</v>
      </c>
      <c r="X194" s="23"/>
      <c r="Y194" s="23" t="s">
        <v>92</v>
      </c>
      <c r="Z194" s="56"/>
      <c r="AA194" s="24">
        <v>181</v>
      </c>
      <c r="AB194" s="19"/>
      <c r="AC194" s="46" t="s">
        <v>94</v>
      </c>
      <c r="AD194" s="15" t="str">
        <f ca="1">IF(AND($D194&lt;&gt;"",COUNTIF(OFFSET(UFS!$E$2,MATCH($D194&amp;"",UFS!$A$2:$A$175,0)-1,0,COUNTIF(UFS!$A$2:$A$175,$D194&amp;""),1),M194)&gt;0),"Valide","Invalide")</f>
        <v>Valide</v>
      </c>
      <c r="AH194" s="15" t="str">
        <f t="shared" si="2"/>
        <v>En attente</v>
      </c>
    </row>
    <row r="195" spans="1:34" s="15" customFormat="1" ht="45" hidden="1" customHeight="1" x14ac:dyDescent="0.3">
      <c r="A195" s="42">
        <v>194</v>
      </c>
      <c r="B195" s="19" t="s">
        <v>24</v>
      </c>
      <c r="C195" s="19" t="s">
        <v>35</v>
      </c>
      <c r="D195" s="20" t="s">
        <v>174</v>
      </c>
      <c r="E195" s="20" t="s">
        <v>96</v>
      </c>
      <c r="F195" s="21" t="s">
        <v>80</v>
      </c>
      <c r="G195" s="38" t="s">
        <v>175</v>
      </c>
      <c r="H195" s="39"/>
      <c r="I195" s="39" t="s">
        <v>176</v>
      </c>
      <c r="J195" s="21" t="s">
        <v>124</v>
      </c>
      <c r="K195" s="21" t="s">
        <v>125</v>
      </c>
      <c r="L195" s="21" t="s">
        <v>177</v>
      </c>
      <c r="M195" s="21" t="s">
        <v>136</v>
      </c>
      <c r="N195" s="21" t="s">
        <v>102</v>
      </c>
      <c r="O195" s="20" t="s">
        <v>880</v>
      </c>
      <c r="P195" s="45">
        <v>45707</v>
      </c>
      <c r="Q195" s="39" t="s">
        <v>881</v>
      </c>
      <c r="R195" s="19">
        <v>2695.5</v>
      </c>
      <c r="S195" s="21">
        <v>0.1</v>
      </c>
      <c r="T195" s="21">
        <v>2965.05</v>
      </c>
      <c r="U195" s="44" t="s">
        <v>180</v>
      </c>
      <c r="V195" s="22">
        <v>45708</v>
      </c>
      <c r="W195" s="54" t="s">
        <v>91</v>
      </c>
      <c r="X195" s="23"/>
      <c r="Y195" s="23" t="s">
        <v>92</v>
      </c>
      <c r="Z195" s="56"/>
      <c r="AA195" s="24">
        <v>179</v>
      </c>
      <c r="AB195" s="47">
        <v>45712</v>
      </c>
      <c r="AC195" s="46" t="s">
        <v>94</v>
      </c>
      <c r="AD195" s="15" t="str">
        <f ca="1">IF(AND($D195&lt;&gt;"",COUNTIF(OFFSET(UFS!$E$2,MATCH($D195&amp;"",UFS!$A$2:$A$175,0)-1,0,COUNTIF(UFS!$A$2:$A$175,$D195&amp;""),1),M195)&gt;0),"Valide","Invalide")</f>
        <v>Valide</v>
      </c>
      <c r="AH195" s="15" t="str">
        <f t="shared" ref="AH195:AH258" si="3">IF(T195&lt;&gt;"","En attente","")</f>
        <v>En attente</v>
      </c>
    </row>
    <row r="196" spans="1:34" s="15" customFormat="1" ht="45" hidden="1" customHeight="1" x14ac:dyDescent="0.3">
      <c r="A196" s="42">
        <v>195</v>
      </c>
      <c r="B196" s="19" t="s">
        <v>0</v>
      </c>
      <c r="C196" s="19" t="s">
        <v>11</v>
      </c>
      <c r="D196" s="20" t="s">
        <v>582</v>
      </c>
      <c r="E196" s="20" t="s">
        <v>79</v>
      </c>
      <c r="F196" s="21" t="s">
        <v>80</v>
      </c>
      <c r="G196" s="38" t="s">
        <v>81</v>
      </c>
      <c r="H196" s="39"/>
      <c r="I196" s="39" t="s">
        <v>83</v>
      </c>
      <c r="J196" s="21" t="s">
        <v>144</v>
      </c>
      <c r="K196" s="21" t="s">
        <v>145</v>
      </c>
      <c r="L196" s="21" t="s">
        <v>328</v>
      </c>
      <c r="M196" s="21" t="s">
        <v>327</v>
      </c>
      <c r="N196" s="21" t="s">
        <v>102</v>
      </c>
      <c r="O196" s="20"/>
      <c r="P196" s="19"/>
      <c r="Q196" s="39"/>
      <c r="R196" s="19"/>
      <c r="S196" s="21">
        <v>0.1</v>
      </c>
      <c r="T196" s="21"/>
      <c r="U196" s="39"/>
      <c r="V196" s="21"/>
      <c r="W196" s="54"/>
      <c r="X196" s="23"/>
      <c r="Y196" s="23"/>
      <c r="Z196" s="56"/>
      <c r="AA196" s="24"/>
      <c r="AB196" s="19"/>
      <c r="AC196" s="19"/>
      <c r="AD196" s="15" t="str">
        <f ca="1">IF(AND($D196&lt;&gt;"",COUNTIF(OFFSET(UFS!$E$2,MATCH($D196&amp;"",UFS!$A$2:$A$175,0)-1,0,COUNTIF(UFS!$A$2:$A$175,$D196&amp;""),1),M196)&gt;0),"Valide","Invalide")</f>
        <v>Invalide</v>
      </c>
      <c r="AH196" s="15" t="str">
        <f t="shared" si="3"/>
        <v/>
      </c>
    </row>
    <row r="197" spans="1:34" s="15" customFormat="1" ht="45" hidden="1" customHeight="1" x14ac:dyDescent="0.3">
      <c r="A197" s="42">
        <v>196</v>
      </c>
      <c r="B197" s="19" t="s">
        <v>24</v>
      </c>
      <c r="C197" s="19" t="s">
        <v>32</v>
      </c>
      <c r="D197" s="20" t="s">
        <v>882</v>
      </c>
      <c r="E197" s="20" t="s">
        <v>79</v>
      </c>
      <c r="F197" s="21" t="s">
        <v>80</v>
      </c>
      <c r="G197" s="38" t="s">
        <v>81</v>
      </c>
      <c r="H197" s="39" t="s">
        <v>211</v>
      </c>
      <c r="I197" s="39" t="s">
        <v>83</v>
      </c>
      <c r="J197" s="21" t="s">
        <v>883</v>
      </c>
      <c r="K197" s="21" t="s">
        <v>744</v>
      </c>
      <c r="L197" s="21" t="s">
        <v>126</v>
      </c>
      <c r="M197" s="21" t="s">
        <v>744</v>
      </c>
      <c r="N197" s="21" t="s">
        <v>884</v>
      </c>
      <c r="O197" s="20" t="s">
        <v>885</v>
      </c>
      <c r="P197" s="45">
        <v>45708</v>
      </c>
      <c r="Q197" s="39" t="s">
        <v>886</v>
      </c>
      <c r="R197" s="19">
        <v>3195.47</v>
      </c>
      <c r="S197" s="21">
        <v>0.2</v>
      </c>
      <c r="T197" s="21">
        <v>3834.5639999999999</v>
      </c>
      <c r="U197" s="44" t="s">
        <v>887</v>
      </c>
      <c r="V197" s="22">
        <v>45708</v>
      </c>
      <c r="W197" s="54" t="s">
        <v>91</v>
      </c>
      <c r="X197" s="23"/>
      <c r="Y197" s="23" t="s">
        <v>92</v>
      </c>
      <c r="Z197" s="56"/>
      <c r="AA197" s="24">
        <v>180</v>
      </c>
      <c r="AB197" s="47">
        <v>45719</v>
      </c>
      <c r="AC197" s="46" t="s">
        <v>94</v>
      </c>
      <c r="AD197" s="15" t="str">
        <f ca="1">IF(AND($D197&lt;&gt;"",COUNTIF(OFFSET(UFS!$E$2,MATCH($D197&amp;"",UFS!$A$2:$A$175,0)-1,0,COUNTIF(UFS!$A$2:$A$175,$D197&amp;""),1),M197)&gt;0),"Valide","Invalide")</f>
        <v>Valide</v>
      </c>
      <c r="AH197" s="15" t="str">
        <f t="shared" si="3"/>
        <v>En attente</v>
      </c>
    </row>
    <row r="198" spans="1:34" s="15" customFormat="1" ht="45" hidden="1" customHeight="1" x14ac:dyDescent="0.3">
      <c r="A198" s="42">
        <v>197</v>
      </c>
      <c r="B198" s="19" t="s">
        <v>24</v>
      </c>
      <c r="C198" s="19" t="s">
        <v>30</v>
      </c>
      <c r="D198" s="20" t="s">
        <v>699</v>
      </c>
      <c r="E198" s="20" t="s">
        <v>79</v>
      </c>
      <c r="F198" s="21" t="s">
        <v>80</v>
      </c>
      <c r="G198" s="38" t="s">
        <v>182</v>
      </c>
      <c r="H198" s="39" t="s">
        <v>82</v>
      </c>
      <c r="I198" s="39" t="s">
        <v>83</v>
      </c>
      <c r="J198" s="21" t="s">
        <v>700</v>
      </c>
      <c r="K198" s="21" t="s">
        <v>701</v>
      </c>
      <c r="L198" s="21" t="s">
        <v>114</v>
      </c>
      <c r="M198" s="21" t="s">
        <v>702</v>
      </c>
      <c r="N198" s="21" t="s">
        <v>151</v>
      </c>
      <c r="O198" s="20" t="s">
        <v>888</v>
      </c>
      <c r="P198" s="45">
        <v>45709</v>
      </c>
      <c r="Q198" s="39" t="s">
        <v>889</v>
      </c>
      <c r="R198" s="19">
        <v>4057.54</v>
      </c>
      <c r="S198" s="21">
        <v>0.2</v>
      </c>
      <c r="T198" s="21">
        <v>4869.0479999999998</v>
      </c>
      <c r="U198" s="60" t="s">
        <v>890</v>
      </c>
      <c r="V198" s="22">
        <v>45709</v>
      </c>
      <c r="W198" s="54" t="s">
        <v>91</v>
      </c>
      <c r="X198" s="23"/>
      <c r="Y198" s="23" t="s">
        <v>92</v>
      </c>
      <c r="Z198" s="56"/>
      <c r="AA198" s="24">
        <v>188</v>
      </c>
      <c r="AB198" s="19"/>
      <c r="AC198" s="46" t="s">
        <v>94</v>
      </c>
      <c r="AD198" s="15" t="str">
        <f ca="1">IF(AND($D198&lt;&gt;"",COUNTIF(OFFSET(UFS!$E$2,MATCH($D198&amp;"",UFS!$A$2:$A$175,0)-1,0,COUNTIF(UFS!$A$2:$A$175,$D198&amp;""),1),M198)&gt;0),"Valide","Invalide")</f>
        <v>Valide</v>
      </c>
      <c r="AH198" s="15" t="str">
        <f t="shared" si="3"/>
        <v>En attente</v>
      </c>
    </row>
    <row r="199" spans="1:34" s="15" customFormat="1" ht="45" hidden="1" customHeight="1" x14ac:dyDescent="0.3">
      <c r="A199" s="42">
        <v>198</v>
      </c>
      <c r="B199" s="19" t="s">
        <v>709</v>
      </c>
      <c r="C199" s="19" t="s">
        <v>23</v>
      </c>
      <c r="D199" s="20" t="s">
        <v>260</v>
      </c>
      <c r="E199" s="20" t="s">
        <v>79</v>
      </c>
      <c r="F199" s="21" t="s">
        <v>80</v>
      </c>
      <c r="G199" s="38" t="s">
        <v>241</v>
      </c>
      <c r="H199" s="39" t="s">
        <v>643</v>
      </c>
      <c r="I199" s="39" t="s">
        <v>644</v>
      </c>
      <c r="J199" s="21" t="s">
        <v>84</v>
      </c>
      <c r="K199" s="21" t="s">
        <v>891</v>
      </c>
      <c r="L199" s="21" t="s">
        <v>203</v>
      </c>
      <c r="M199" s="21" t="s">
        <v>115</v>
      </c>
      <c r="N199" s="21" t="s">
        <v>711</v>
      </c>
      <c r="O199" s="20" t="s">
        <v>892</v>
      </c>
      <c r="P199" s="45">
        <v>45708</v>
      </c>
      <c r="Q199" s="39" t="s">
        <v>893</v>
      </c>
      <c r="R199" s="19">
        <v>687.7</v>
      </c>
      <c r="S199" s="21">
        <v>0.1</v>
      </c>
      <c r="T199" s="21">
        <v>756.47</v>
      </c>
      <c r="U199" s="60" t="s">
        <v>714</v>
      </c>
      <c r="V199" s="22">
        <v>45709</v>
      </c>
      <c r="W199" s="54" t="s">
        <v>91</v>
      </c>
      <c r="X199" s="23"/>
      <c r="Y199" s="23" t="s">
        <v>92</v>
      </c>
      <c r="Z199" s="56"/>
      <c r="AA199" s="24">
        <v>189</v>
      </c>
      <c r="AB199" s="19"/>
      <c r="AC199" s="19" t="s">
        <v>94</v>
      </c>
      <c r="AD199" s="15" t="str">
        <f ca="1">IF(AND($D199&lt;&gt;"",COUNTIF(OFFSET(UFS!$E$2,MATCH($D199&amp;"",UFS!$A$2:$A$175,0)-1,0,COUNTIF(UFS!$A$2:$A$175,$D199&amp;""),1),M199)&gt;0),"Valide","Invalide")</f>
        <v>Invalide</v>
      </c>
      <c r="AH199" s="15" t="str">
        <f t="shared" si="3"/>
        <v>En attente</v>
      </c>
    </row>
    <row r="200" spans="1:34" s="15" customFormat="1" ht="45" hidden="1" customHeight="1" x14ac:dyDescent="0.3">
      <c r="A200" s="42">
        <v>199</v>
      </c>
      <c r="B200" s="19" t="s">
        <v>709</v>
      </c>
      <c r="C200" s="19" t="s">
        <v>23</v>
      </c>
      <c r="D200" s="20" t="s">
        <v>106</v>
      </c>
      <c r="E200" s="20" t="s">
        <v>79</v>
      </c>
      <c r="F200" s="21" t="s">
        <v>80</v>
      </c>
      <c r="G200" s="38" t="s">
        <v>241</v>
      </c>
      <c r="H200" s="39" t="s">
        <v>643</v>
      </c>
      <c r="I200" s="39" t="s">
        <v>644</v>
      </c>
      <c r="J200" s="21" t="s">
        <v>98</v>
      </c>
      <c r="K200" s="21" t="s">
        <v>108</v>
      </c>
      <c r="L200" s="21" t="s">
        <v>100</v>
      </c>
      <c r="M200" s="21" t="s">
        <v>109</v>
      </c>
      <c r="N200" s="21" t="s">
        <v>109</v>
      </c>
      <c r="O200" s="20" t="s">
        <v>894</v>
      </c>
      <c r="P200" s="45">
        <v>45708</v>
      </c>
      <c r="Q200" s="39" t="s">
        <v>895</v>
      </c>
      <c r="R200" s="19">
        <v>1139.4000000000001</v>
      </c>
      <c r="S200" s="21">
        <v>0.1</v>
      </c>
      <c r="T200" s="21">
        <v>1253.3399999999999</v>
      </c>
      <c r="U200" s="60" t="s">
        <v>714</v>
      </c>
      <c r="V200" s="22">
        <v>45709</v>
      </c>
      <c r="W200" s="54" t="s">
        <v>91</v>
      </c>
      <c r="X200" s="23"/>
      <c r="Y200" s="23" t="s">
        <v>92</v>
      </c>
      <c r="Z200" s="56"/>
      <c r="AA200" s="24">
        <v>190</v>
      </c>
      <c r="AB200" s="19"/>
      <c r="AC200" s="19" t="s">
        <v>94</v>
      </c>
      <c r="AD200" s="15" t="str">
        <f ca="1">IF(AND($D200&lt;&gt;"",COUNTIF(OFFSET(UFS!$E$2,MATCH($D200&amp;"",UFS!$A$2:$A$175,0)-1,0,COUNTIF(UFS!$A$2:$A$175,$D200&amp;""),1),M200)&gt;0),"Valide","Invalide")</f>
        <v>Valide</v>
      </c>
      <c r="AH200" s="15" t="str">
        <f t="shared" si="3"/>
        <v>En attente</v>
      </c>
    </row>
    <row r="201" spans="1:34" s="15" customFormat="1" ht="45" hidden="1" customHeight="1" x14ac:dyDescent="0.3">
      <c r="A201" s="42">
        <v>200</v>
      </c>
      <c r="B201" s="19" t="s">
        <v>425</v>
      </c>
      <c r="C201" s="19" t="s">
        <v>896</v>
      </c>
      <c r="D201" s="20" t="s">
        <v>604</v>
      </c>
      <c r="E201" s="20" t="s">
        <v>79</v>
      </c>
      <c r="F201" s="21" t="s">
        <v>80</v>
      </c>
      <c r="G201" s="38" t="s">
        <v>163</v>
      </c>
      <c r="H201" s="39" t="s">
        <v>367</v>
      </c>
      <c r="I201" s="39"/>
      <c r="J201" s="21" t="s">
        <v>144</v>
      </c>
      <c r="K201" s="21" t="s">
        <v>145</v>
      </c>
      <c r="L201" s="21" t="s">
        <v>146</v>
      </c>
      <c r="M201" s="21" t="s">
        <v>146</v>
      </c>
      <c r="N201" s="21" t="s">
        <v>605</v>
      </c>
      <c r="O201" s="20" t="s">
        <v>897</v>
      </c>
      <c r="P201" s="45">
        <v>45707</v>
      </c>
      <c r="Q201" s="39" t="s">
        <v>898</v>
      </c>
      <c r="R201" s="19">
        <v>28550</v>
      </c>
      <c r="S201" s="21">
        <v>0.2</v>
      </c>
      <c r="T201" s="21">
        <v>34260</v>
      </c>
      <c r="U201" s="44" t="s">
        <v>429</v>
      </c>
      <c r="V201" s="22">
        <v>45709</v>
      </c>
      <c r="W201" s="54" t="s">
        <v>91</v>
      </c>
      <c r="X201" s="23"/>
      <c r="Y201" s="23" t="s">
        <v>92</v>
      </c>
      <c r="Z201" s="56"/>
      <c r="AA201" s="24">
        <v>220</v>
      </c>
      <c r="AB201" s="19"/>
      <c r="AC201" s="19"/>
      <c r="AD201" s="15" t="str">
        <f ca="1">IF(AND($D201&lt;&gt;"",COUNTIF(OFFSET(UFS!$E$2,MATCH($D201&amp;"",UFS!$A$2:$A$175,0)-1,0,COUNTIF(UFS!$A$2:$A$175,$D201&amp;""),1),M201)&gt;0),"Valide","Invalide")</f>
        <v>Valide</v>
      </c>
      <c r="AH201" s="15" t="str">
        <f t="shared" si="3"/>
        <v>En attente</v>
      </c>
    </row>
    <row r="202" spans="1:34" s="15" customFormat="1" ht="45" hidden="1" customHeight="1" x14ac:dyDescent="0.3">
      <c r="A202" s="42">
        <v>201</v>
      </c>
      <c r="B202" s="19" t="s">
        <v>20</v>
      </c>
      <c r="C202" s="19" t="s">
        <v>1</v>
      </c>
      <c r="D202" s="20" t="s">
        <v>633</v>
      </c>
      <c r="E202" s="20" t="s">
        <v>79</v>
      </c>
      <c r="F202" s="21" t="s">
        <v>80</v>
      </c>
      <c r="G202" s="38" t="s">
        <v>81</v>
      </c>
      <c r="H202" s="39" t="s">
        <v>82</v>
      </c>
      <c r="I202" s="39" t="s">
        <v>83</v>
      </c>
      <c r="J202" s="21" t="s">
        <v>634</v>
      </c>
      <c r="K202" s="21" t="s">
        <v>635</v>
      </c>
      <c r="L202" s="21" t="s">
        <v>636</v>
      </c>
      <c r="M202" s="21" t="s">
        <v>637</v>
      </c>
      <c r="N202" s="21" t="s">
        <v>151</v>
      </c>
      <c r="O202" s="20" t="s">
        <v>899</v>
      </c>
      <c r="P202" s="45">
        <v>45708</v>
      </c>
      <c r="Q202" s="39" t="s">
        <v>900</v>
      </c>
      <c r="R202" s="19">
        <v>561.25</v>
      </c>
      <c r="S202" s="21">
        <v>0.2</v>
      </c>
      <c r="T202" s="21">
        <v>673.5</v>
      </c>
      <c r="U202" s="44" t="s">
        <v>439</v>
      </c>
      <c r="V202" s="22">
        <v>45709</v>
      </c>
      <c r="W202" s="54" t="s">
        <v>91</v>
      </c>
      <c r="X202" s="23"/>
      <c r="Y202" s="23" t="s">
        <v>92</v>
      </c>
      <c r="Z202" s="56"/>
      <c r="AA202" s="24">
        <v>191</v>
      </c>
      <c r="AB202" s="19"/>
      <c r="AC202" s="46" t="s">
        <v>94</v>
      </c>
      <c r="AD202" s="15" t="str">
        <f ca="1">IF(AND($D202&lt;&gt;"",COUNTIF(OFFSET(UFS!$E$2,MATCH($D202&amp;"",UFS!$A$2:$A$175,0)-1,0,COUNTIF(UFS!$A$2:$A$175,$D202&amp;""),1),M202)&gt;0),"Valide","Invalide")</f>
        <v>Valide</v>
      </c>
      <c r="AH202" s="15" t="str">
        <f t="shared" si="3"/>
        <v>En attente</v>
      </c>
    </row>
    <row r="203" spans="1:34" s="15" customFormat="1" ht="45" hidden="1" customHeight="1" x14ac:dyDescent="0.3">
      <c r="A203" s="42">
        <v>202</v>
      </c>
      <c r="B203" s="19" t="s">
        <v>16</v>
      </c>
      <c r="C203" s="19" t="s">
        <v>901</v>
      </c>
      <c r="D203" s="20" t="s">
        <v>902</v>
      </c>
      <c r="E203" s="20" t="s">
        <v>79</v>
      </c>
      <c r="F203" s="21" t="s">
        <v>80</v>
      </c>
      <c r="G203" s="38" t="s">
        <v>81</v>
      </c>
      <c r="H203" s="39"/>
      <c r="I203" s="39"/>
      <c r="J203" s="21" t="s">
        <v>144</v>
      </c>
      <c r="K203" s="21" t="s">
        <v>145</v>
      </c>
      <c r="L203" s="21" t="s">
        <v>192</v>
      </c>
      <c r="M203" s="21" t="s">
        <v>903</v>
      </c>
      <c r="N203" s="21" t="s">
        <v>102</v>
      </c>
      <c r="O203" s="20" t="s">
        <v>904</v>
      </c>
      <c r="P203" s="45">
        <v>45709</v>
      </c>
      <c r="Q203" s="39" t="s">
        <v>905</v>
      </c>
      <c r="R203" s="19">
        <v>17887.77</v>
      </c>
      <c r="S203" s="21">
        <v>0.1</v>
      </c>
      <c r="T203" s="21">
        <v>19676.547000000002</v>
      </c>
      <c r="U203" s="44" t="s">
        <v>906</v>
      </c>
      <c r="V203" s="22">
        <v>45709</v>
      </c>
      <c r="W203" s="54" t="s">
        <v>91</v>
      </c>
      <c r="X203" s="23"/>
      <c r="Y203" s="23" t="s">
        <v>92</v>
      </c>
      <c r="Z203" s="56"/>
      <c r="AA203" s="24">
        <v>184</v>
      </c>
      <c r="AB203" s="47">
        <v>45789</v>
      </c>
      <c r="AC203" s="46" t="s">
        <v>94</v>
      </c>
      <c r="AD203" s="15" t="str">
        <f ca="1">IF(AND($D203&lt;&gt;"",COUNTIF(OFFSET(UFS!$E$2,MATCH($D203&amp;"",UFS!$A$2:$A$175,0)-1,0,COUNTIF(UFS!$A$2:$A$175,$D203&amp;""),1),M203)&gt;0),"Valide","Invalide")</f>
        <v>Valide</v>
      </c>
      <c r="AH203" s="15" t="str">
        <f t="shared" si="3"/>
        <v>En attente</v>
      </c>
    </row>
    <row r="204" spans="1:34" s="15" customFormat="1" ht="45" hidden="1" customHeight="1" x14ac:dyDescent="0.3">
      <c r="A204" s="42">
        <v>203</v>
      </c>
      <c r="B204" s="19" t="s">
        <v>16</v>
      </c>
      <c r="C204" s="19" t="s">
        <v>30</v>
      </c>
      <c r="D204" s="20" t="s">
        <v>251</v>
      </c>
      <c r="E204" s="20" t="s">
        <v>79</v>
      </c>
      <c r="F204" s="21" t="s">
        <v>80</v>
      </c>
      <c r="G204" s="38" t="s">
        <v>182</v>
      </c>
      <c r="H204" s="39"/>
      <c r="I204" s="39" t="s">
        <v>83</v>
      </c>
      <c r="J204" s="21" t="s">
        <v>144</v>
      </c>
      <c r="K204" s="21" t="s">
        <v>145</v>
      </c>
      <c r="L204" s="21" t="s">
        <v>254</v>
      </c>
      <c r="M204" s="21" t="s">
        <v>255</v>
      </c>
      <c r="N204" s="21" t="s">
        <v>256</v>
      </c>
      <c r="O204" s="20" t="s">
        <v>907</v>
      </c>
      <c r="P204" s="45">
        <v>45709</v>
      </c>
      <c r="Q204" s="65" t="s">
        <v>908</v>
      </c>
      <c r="R204" s="19">
        <v>8930.69</v>
      </c>
      <c r="S204" s="21">
        <v>0.2</v>
      </c>
      <c r="T204" s="21">
        <v>10716.828000000001</v>
      </c>
      <c r="U204" s="44" t="s">
        <v>909</v>
      </c>
      <c r="V204" s="22">
        <v>45709</v>
      </c>
      <c r="W204" s="54" t="s">
        <v>91</v>
      </c>
      <c r="X204" s="23"/>
      <c r="Y204" s="23" t="s">
        <v>92</v>
      </c>
      <c r="Z204" s="56"/>
      <c r="AA204" s="24">
        <v>192</v>
      </c>
      <c r="AB204" s="19" t="s">
        <v>910</v>
      </c>
      <c r="AC204" s="46" t="s">
        <v>94</v>
      </c>
      <c r="AD204" s="15" t="str">
        <f ca="1">IF(AND($D204&lt;&gt;"",COUNTIF(OFFSET(UFS!$E$2,MATCH($D204&amp;"",UFS!$A$2:$A$175,0)-1,0,COUNTIF(UFS!$A$2:$A$175,$D204&amp;""),1),M204)&gt;0),"Valide","Invalide")</f>
        <v>Valide</v>
      </c>
      <c r="AH204" s="15" t="str">
        <f t="shared" si="3"/>
        <v>En attente</v>
      </c>
    </row>
    <row r="205" spans="1:34" s="15" customFormat="1" ht="45" hidden="1" customHeight="1" x14ac:dyDescent="0.3">
      <c r="A205" s="42">
        <v>204</v>
      </c>
      <c r="B205" s="19" t="s">
        <v>16</v>
      </c>
      <c r="C205" s="19" t="s">
        <v>30</v>
      </c>
      <c r="D205" s="20" t="s">
        <v>911</v>
      </c>
      <c r="E205" s="20" t="s">
        <v>79</v>
      </c>
      <c r="F205" s="21" t="s">
        <v>80</v>
      </c>
      <c r="G205" s="38" t="s">
        <v>182</v>
      </c>
      <c r="H205" s="39" t="s">
        <v>82</v>
      </c>
      <c r="I205" s="39" t="s">
        <v>83</v>
      </c>
      <c r="J205" s="21" t="s">
        <v>144</v>
      </c>
      <c r="K205" s="21" t="s">
        <v>145</v>
      </c>
      <c r="L205" s="21" t="s">
        <v>270</v>
      </c>
      <c r="M205" s="21" t="s">
        <v>912</v>
      </c>
      <c r="N205" s="21" t="s">
        <v>102</v>
      </c>
      <c r="O205" s="20" t="s">
        <v>913</v>
      </c>
      <c r="P205" s="45">
        <v>45709</v>
      </c>
      <c r="Q205" s="39" t="s">
        <v>914</v>
      </c>
      <c r="R205" s="19">
        <v>8039.85</v>
      </c>
      <c r="S205" s="21">
        <v>0.1</v>
      </c>
      <c r="T205" s="21">
        <v>8843.8350000000009</v>
      </c>
      <c r="U205" s="60" t="s">
        <v>915</v>
      </c>
      <c r="V205" s="22">
        <v>45709</v>
      </c>
      <c r="W205" s="54" t="s">
        <v>91</v>
      </c>
      <c r="X205" s="23"/>
      <c r="Y205" s="23" t="s">
        <v>376</v>
      </c>
      <c r="Z205" s="56"/>
      <c r="AA205" s="24"/>
      <c r="AB205" s="19"/>
      <c r="AC205" s="19"/>
      <c r="AD205" s="15" t="str">
        <f ca="1">IF(AND($D205&lt;&gt;"",COUNTIF(OFFSET(UFS!$E$2,MATCH($D205&amp;"",UFS!$A$2:$A$175,0)-1,0,COUNTIF(UFS!$A$2:$A$175,$D205&amp;""),1),M205)&gt;0),"Valide","Invalide")</f>
        <v>Valide</v>
      </c>
      <c r="AH205" s="15" t="str">
        <f t="shared" si="3"/>
        <v>En attente</v>
      </c>
    </row>
    <row r="206" spans="1:34" s="15" customFormat="1" ht="45" hidden="1" customHeight="1" x14ac:dyDescent="0.3">
      <c r="A206" s="42">
        <v>205</v>
      </c>
      <c r="B206" s="19" t="s">
        <v>16</v>
      </c>
      <c r="C206" s="19" t="s">
        <v>28</v>
      </c>
      <c r="D206" s="20" t="s">
        <v>911</v>
      </c>
      <c r="E206" s="20" t="s">
        <v>79</v>
      </c>
      <c r="F206" s="21" t="s">
        <v>80</v>
      </c>
      <c r="G206" s="38" t="s">
        <v>182</v>
      </c>
      <c r="H206" s="39" t="s">
        <v>82</v>
      </c>
      <c r="I206" s="39" t="s">
        <v>83</v>
      </c>
      <c r="J206" s="21" t="s">
        <v>144</v>
      </c>
      <c r="K206" s="21" t="s">
        <v>145</v>
      </c>
      <c r="L206" s="21" t="s">
        <v>270</v>
      </c>
      <c r="M206" s="21" t="s">
        <v>912</v>
      </c>
      <c r="N206" s="21" t="s">
        <v>102</v>
      </c>
      <c r="O206" s="20" t="s">
        <v>916</v>
      </c>
      <c r="P206" s="45">
        <v>45709</v>
      </c>
      <c r="Q206" s="39" t="s">
        <v>917</v>
      </c>
      <c r="R206" s="19">
        <v>15851.8</v>
      </c>
      <c r="S206" s="21">
        <v>0.1</v>
      </c>
      <c r="T206" s="21">
        <v>17436.98</v>
      </c>
      <c r="U206" s="44" t="s">
        <v>918</v>
      </c>
      <c r="V206" s="22">
        <v>45709</v>
      </c>
      <c r="W206" s="54" t="s">
        <v>91</v>
      </c>
      <c r="X206" s="23"/>
      <c r="Y206" s="23" t="s">
        <v>92</v>
      </c>
      <c r="Z206" s="61"/>
      <c r="AA206" s="24">
        <v>197</v>
      </c>
      <c r="AB206" s="19"/>
      <c r="AC206" s="46" t="s">
        <v>94</v>
      </c>
      <c r="AD206" s="15" t="str">
        <f ca="1">IF(AND($D206&lt;&gt;"",COUNTIF(OFFSET(UFS!$E$2,MATCH($D206&amp;"",UFS!$A$2:$A$175,0)-1,0,COUNTIF(UFS!$A$2:$A$175,$D206&amp;""),1),M206)&gt;0),"Valide","Invalide")</f>
        <v>Valide</v>
      </c>
      <c r="AH206" s="15" t="str">
        <f t="shared" si="3"/>
        <v>En attente</v>
      </c>
    </row>
    <row r="207" spans="1:34" s="15" customFormat="1" ht="45" hidden="1" customHeight="1" x14ac:dyDescent="0.3">
      <c r="A207" s="42">
        <v>206</v>
      </c>
      <c r="B207" s="19" t="s">
        <v>10</v>
      </c>
      <c r="C207" s="19" t="s">
        <v>919</v>
      </c>
      <c r="D207" s="20" t="s">
        <v>920</v>
      </c>
      <c r="E207" s="20" t="s">
        <v>79</v>
      </c>
      <c r="F207" s="21" t="s">
        <v>80</v>
      </c>
      <c r="G207" s="38" t="s">
        <v>81</v>
      </c>
      <c r="H207" s="39" t="s">
        <v>215</v>
      </c>
      <c r="I207" s="39"/>
      <c r="J207" s="21" t="s">
        <v>144</v>
      </c>
      <c r="K207" s="21" t="s">
        <v>145</v>
      </c>
      <c r="L207" s="21" t="s">
        <v>225</v>
      </c>
      <c r="M207" s="21" t="s">
        <v>226</v>
      </c>
      <c r="N207" s="21" t="s">
        <v>921</v>
      </c>
      <c r="O207" s="20" t="s">
        <v>922</v>
      </c>
      <c r="P207" s="45">
        <v>45709</v>
      </c>
      <c r="Q207" s="39" t="s">
        <v>923</v>
      </c>
      <c r="R207" s="19">
        <v>3266.24</v>
      </c>
      <c r="S207" s="21">
        <v>0.2</v>
      </c>
      <c r="T207" s="21">
        <v>3919.4879999999998</v>
      </c>
      <c r="U207" s="60" t="s">
        <v>924</v>
      </c>
      <c r="V207" s="22">
        <v>45709</v>
      </c>
      <c r="W207" s="54" t="s">
        <v>91</v>
      </c>
      <c r="X207" s="23"/>
      <c r="Y207" s="23" t="s">
        <v>92</v>
      </c>
      <c r="Z207" s="56"/>
      <c r="AA207" s="24">
        <v>183</v>
      </c>
      <c r="AB207" s="45">
        <v>45712</v>
      </c>
      <c r="AC207" s="19"/>
      <c r="AD207" s="15" t="str">
        <f ca="1">IF(AND($D207&lt;&gt;"",COUNTIF(OFFSET(UFS!$E$2,MATCH($D207&amp;"",UFS!$A$2:$A$175,0)-1,0,COUNTIF(UFS!$A$2:$A$175,$D207&amp;""),1),M207)&gt;0),"Valide","Invalide")</f>
        <v>Valide</v>
      </c>
      <c r="AH207" s="15" t="str">
        <f t="shared" si="3"/>
        <v>En attente</v>
      </c>
    </row>
    <row r="208" spans="1:34" s="15" customFormat="1" ht="45" hidden="1" customHeight="1" x14ac:dyDescent="0.3">
      <c r="A208" s="42">
        <v>207</v>
      </c>
      <c r="B208" s="19" t="s">
        <v>16</v>
      </c>
      <c r="C208" s="19" t="s">
        <v>28</v>
      </c>
      <c r="D208" s="20" t="s">
        <v>251</v>
      </c>
      <c r="E208" s="20" t="s">
        <v>79</v>
      </c>
      <c r="F208" s="21" t="s">
        <v>80</v>
      </c>
      <c r="G208" s="38" t="s">
        <v>182</v>
      </c>
      <c r="H208" s="39" t="s">
        <v>82</v>
      </c>
      <c r="I208" s="39" t="s">
        <v>83</v>
      </c>
      <c r="J208" s="21" t="s">
        <v>144</v>
      </c>
      <c r="K208" s="21" t="s">
        <v>145</v>
      </c>
      <c r="L208" s="21" t="s">
        <v>254</v>
      </c>
      <c r="M208" s="21" t="s">
        <v>255</v>
      </c>
      <c r="N208" s="21" t="s">
        <v>256</v>
      </c>
      <c r="O208" s="20" t="s">
        <v>925</v>
      </c>
      <c r="P208" s="45">
        <v>45712</v>
      </c>
      <c r="Q208" s="39" t="s">
        <v>926</v>
      </c>
      <c r="R208" s="19">
        <v>11623.65</v>
      </c>
      <c r="S208" s="21">
        <v>0.2</v>
      </c>
      <c r="T208" s="21">
        <v>13948.38</v>
      </c>
      <c r="U208" s="44" t="s">
        <v>927</v>
      </c>
      <c r="V208" s="22">
        <v>45713</v>
      </c>
      <c r="W208" s="54" t="s">
        <v>91</v>
      </c>
      <c r="X208" s="23"/>
      <c r="Y208" s="23" t="s">
        <v>92</v>
      </c>
      <c r="Z208" s="56" t="s">
        <v>928</v>
      </c>
      <c r="AA208" s="24">
        <v>855315</v>
      </c>
      <c r="AB208" s="19"/>
      <c r="AC208" s="46" t="s">
        <v>94</v>
      </c>
      <c r="AD208" s="15" t="str">
        <f ca="1">IF(AND($D208&lt;&gt;"",COUNTIF(OFFSET(UFS!$E$2,MATCH($D208&amp;"",UFS!$A$2:$A$175,0)-1,0,COUNTIF(UFS!$A$2:$A$175,$D208&amp;""),1),M208)&gt;0),"Valide","Invalide")</f>
        <v>Valide</v>
      </c>
      <c r="AH208" s="15" t="str">
        <f t="shared" si="3"/>
        <v>En attente</v>
      </c>
    </row>
    <row r="209" spans="1:34" s="15" customFormat="1" ht="45" hidden="1" customHeight="1" x14ac:dyDescent="0.3">
      <c r="A209" s="42">
        <v>208</v>
      </c>
      <c r="B209" s="19" t="s">
        <v>16</v>
      </c>
      <c r="C209" s="19" t="s">
        <v>28</v>
      </c>
      <c r="D209" s="20" t="s">
        <v>929</v>
      </c>
      <c r="E209" s="20" t="s">
        <v>79</v>
      </c>
      <c r="F209" s="21" t="s">
        <v>80</v>
      </c>
      <c r="G209" s="38" t="s">
        <v>182</v>
      </c>
      <c r="H209" s="39" t="s">
        <v>82</v>
      </c>
      <c r="I209" s="39" t="s">
        <v>83</v>
      </c>
      <c r="J209" s="21" t="s">
        <v>144</v>
      </c>
      <c r="K209" s="21" t="s">
        <v>145</v>
      </c>
      <c r="L209" s="21" t="s">
        <v>930</v>
      </c>
      <c r="M209" s="21" t="s">
        <v>931</v>
      </c>
      <c r="N209" s="21" t="s">
        <v>930</v>
      </c>
      <c r="O209" s="20" t="s">
        <v>932</v>
      </c>
      <c r="P209" s="45">
        <v>45707</v>
      </c>
      <c r="Q209" s="39" t="s">
        <v>933</v>
      </c>
      <c r="R209" s="19">
        <v>2326.2199999999998</v>
      </c>
      <c r="S209" s="21">
        <v>0.2</v>
      </c>
      <c r="T209" s="21">
        <v>2791.4639999999999</v>
      </c>
      <c r="U209" s="44" t="s">
        <v>934</v>
      </c>
      <c r="V209" s="22">
        <v>45713</v>
      </c>
      <c r="W209" s="54" t="s">
        <v>91</v>
      </c>
      <c r="X209" s="23"/>
      <c r="Y209" s="109" t="s">
        <v>92</v>
      </c>
      <c r="Z209" s="56"/>
      <c r="AA209" s="24">
        <v>259</v>
      </c>
      <c r="AB209" s="19"/>
      <c r="AC209" s="49" t="s">
        <v>161</v>
      </c>
      <c r="AD209" s="15" t="str">
        <f ca="1">IF(AND($D209&lt;&gt;"",COUNTIF(OFFSET(UFS!$E$2,MATCH($D209&amp;"",UFS!$A$2:$A$175,0)-1,0,COUNTIF(UFS!$A$2:$A$175,$D209&amp;""),1),M209)&gt;0),"Valide","Invalide")</f>
        <v>Valide</v>
      </c>
      <c r="AH209" s="15" t="str">
        <f t="shared" si="3"/>
        <v>En attente</v>
      </c>
    </row>
    <row r="210" spans="1:34" s="15" customFormat="1" ht="45" hidden="1" customHeight="1" x14ac:dyDescent="0.3">
      <c r="A210" s="42">
        <v>209</v>
      </c>
      <c r="B210" s="19" t="s">
        <v>16</v>
      </c>
      <c r="C210" s="19" t="s">
        <v>28</v>
      </c>
      <c r="D210" s="20" t="s">
        <v>935</v>
      </c>
      <c r="E210" s="20" t="s">
        <v>79</v>
      </c>
      <c r="F210" s="21" t="s">
        <v>80</v>
      </c>
      <c r="G210" s="38" t="s">
        <v>81</v>
      </c>
      <c r="H210" s="39" t="s">
        <v>82</v>
      </c>
      <c r="I210" s="39" t="s">
        <v>83</v>
      </c>
      <c r="J210" s="21" t="s">
        <v>144</v>
      </c>
      <c r="K210" s="21" t="s">
        <v>145</v>
      </c>
      <c r="L210" s="21" t="s">
        <v>936</v>
      </c>
      <c r="M210" s="21" t="s">
        <v>937</v>
      </c>
      <c r="N210" s="21" t="s">
        <v>937</v>
      </c>
      <c r="O210" s="20" t="s">
        <v>938</v>
      </c>
      <c r="P210" s="45">
        <v>45342</v>
      </c>
      <c r="Q210" s="39" t="s">
        <v>939</v>
      </c>
      <c r="R210" s="19">
        <v>2012.19</v>
      </c>
      <c r="S210" s="21">
        <v>0.2</v>
      </c>
      <c r="T210" s="21">
        <v>2414.6280000000002</v>
      </c>
      <c r="U210" s="44" t="s">
        <v>940</v>
      </c>
      <c r="V210" s="22">
        <v>45713</v>
      </c>
      <c r="W210" s="54" t="s">
        <v>91</v>
      </c>
      <c r="X210" s="23"/>
      <c r="Y210" s="23" t="s">
        <v>92</v>
      </c>
      <c r="Z210" s="56"/>
      <c r="AA210" s="24">
        <v>260</v>
      </c>
      <c r="AB210" s="45">
        <v>45756</v>
      </c>
      <c r="AC210" s="46" t="s">
        <v>94</v>
      </c>
      <c r="AD210" s="15" t="e">
        <f ca="1">IF(AND($D210&lt;&gt;"",COUNTIF(OFFSET(UFS!$E$2,MATCH($D210&amp;"",UFS!$A$2:$A$175,0)-1,0,COUNTIF(UFS!$A$2:$A$175,$D210&amp;""),1),M210)&gt;0),"Valide","Invalide")</f>
        <v>#N/A</v>
      </c>
      <c r="AH210" s="15" t="str">
        <f t="shared" si="3"/>
        <v>En attente</v>
      </c>
    </row>
    <row r="211" spans="1:34" s="15" customFormat="1" ht="45" hidden="1" customHeight="1" x14ac:dyDescent="0.3">
      <c r="A211" s="42">
        <v>210</v>
      </c>
      <c r="B211" s="19" t="s">
        <v>20</v>
      </c>
      <c r="C211" s="19" t="s">
        <v>676</v>
      </c>
      <c r="D211" s="20" t="s">
        <v>174</v>
      </c>
      <c r="E211" s="20" t="s">
        <v>79</v>
      </c>
      <c r="F211" s="21" t="s">
        <v>80</v>
      </c>
      <c r="G211" s="38" t="s">
        <v>241</v>
      </c>
      <c r="H211" s="39"/>
      <c r="I211" s="39" t="s">
        <v>677</v>
      </c>
      <c r="J211" s="21" t="s">
        <v>124</v>
      </c>
      <c r="K211" s="21" t="s">
        <v>125</v>
      </c>
      <c r="L211" s="21" t="s">
        <v>177</v>
      </c>
      <c r="M211" s="21" t="s">
        <v>136</v>
      </c>
      <c r="N211" s="21" t="s">
        <v>102</v>
      </c>
      <c r="O211" s="20" t="s">
        <v>941</v>
      </c>
      <c r="P211" s="45">
        <v>45702</v>
      </c>
      <c r="Q211" s="39" t="s">
        <v>942</v>
      </c>
      <c r="R211" s="19">
        <v>995.32</v>
      </c>
      <c r="S211" s="21">
        <v>0.1</v>
      </c>
      <c r="T211" s="21">
        <v>1094.8520000000001</v>
      </c>
      <c r="U211" s="44" t="s">
        <v>680</v>
      </c>
      <c r="V211" s="22">
        <v>45709</v>
      </c>
      <c r="W211" s="54" t="s">
        <v>91</v>
      </c>
      <c r="X211" s="23"/>
      <c r="Y211" s="23" t="s">
        <v>92</v>
      </c>
      <c r="Z211" s="56"/>
      <c r="AA211" s="24">
        <v>193</v>
      </c>
      <c r="AB211" s="19"/>
      <c r="AC211" s="19"/>
      <c r="AD211" s="15" t="str">
        <f ca="1">IF(AND($D211&lt;&gt;"",COUNTIF(OFFSET(UFS!$E$2,MATCH($D211&amp;"",UFS!$A$2:$A$175,0)-1,0,COUNTIF(UFS!$A$2:$A$175,$D211&amp;""),1),M211)&gt;0),"Valide","Invalide")</f>
        <v>Valide</v>
      </c>
      <c r="AH211" s="15" t="str">
        <f t="shared" si="3"/>
        <v>En attente</v>
      </c>
    </row>
    <row r="212" spans="1:34" s="15" customFormat="1" ht="45" hidden="1" customHeight="1" x14ac:dyDescent="0.3">
      <c r="A212" s="42">
        <v>211</v>
      </c>
      <c r="B212" s="19" t="s">
        <v>20</v>
      </c>
      <c r="C212" s="19" t="s">
        <v>676</v>
      </c>
      <c r="D212" s="20" t="s">
        <v>134</v>
      </c>
      <c r="E212" s="20" t="s">
        <v>79</v>
      </c>
      <c r="F212" s="21" t="s">
        <v>80</v>
      </c>
      <c r="G212" s="38" t="s">
        <v>241</v>
      </c>
      <c r="H212" s="39"/>
      <c r="I212" s="39" t="s">
        <v>677</v>
      </c>
      <c r="J212" s="21" t="s">
        <v>124</v>
      </c>
      <c r="K212" s="21" t="s">
        <v>125</v>
      </c>
      <c r="L212" s="21" t="s">
        <v>135</v>
      </c>
      <c r="M212" s="21" t="s">
        <v>136</v>
      </c>
      <c r="N212" s="21" t="s">
        <v>102</v>
      </c>
      <c r="O212" s="20" t="s">
        <v>943</v>
      </c>
      <c r="P212" s="45">
        <v>45706</v>
      </c>
      <c r="Q212" s="39" t="s">
        <v>944</v>
      </c>
      <c r="R212" s="19">
        <v>1468.98</v>
      </c>
      <c r="S212" s="21">
        <v>0.1</v>
      </c>
      <c r="T212" s="21">
        <v>1615.8779999999999</v>
      </c>
      <c r="U212" s="44" t="s">
        <v>680</v>
      </c>
      <c r="V212" s="22">
        <v>45709</v>
      </c>
      <c r="W212" s="54" t="s">
        <v>91</v>
      </c>
      <c r="X212" s="23"/>
      <c r="Y212" s="23" t="s">
        <v>92</v>
      </c>
      <c r="Z212" s="56"/>
      <c r="AA212" s="24">
        <v>194</v>
      </c>
      <c r="AB212" s="19"/>
      <c r="AC212" s="19"/>
      <c r="AD212" s="15" t="str">
        <f ca="1">IF(AND($D212&lt;&gt;"",COUNTIF(OFFSET(UFS!$E$2,MATCH($D212&amp;"",UFS!$A$2:$A$175,0)-1,0,COUNTIF(UFS!$A$2:$A$175,$D212&amp;""),1),M212)&gt;0),"Valide","Invalide")</f>
        <v>Valide</v>
      </c>
      <c r="AH212" s="15" t="str">
        <f t="shared" si="3"/>
        <v>En attente</v>
      </c>
    </row>
    <row r="213" spans="1:34" s="15" customFormat="1" ht="45" hidden="1" customHeight="1" x14ac:dyDescent="0.3">
      <c r="A213" s="42">
        <v>212</v>
      </c>
      <c r="B213" s="19" t="s">
        <v>20</v>
      </c>
      <c r="C213" s="19" t="s">
        <v>676</v>
      </c>
      <c r="D213" s="20" t="s">
        <v>123</v>
      </c>
      <c r="E213" s="20" t="s">
        <v>79</v>
      </c>
      <c r="F213" s="21" t="s">
        <v>80</v>
      </c>
      <c r="G213" s="38" t="s">
        <v>241</v>
      </c>
      <c r="H213" s="39"/>
      <c r="I213" s="39" t="s">
        <v>677</v>
      </c>
      <c r="J213" s="21" t="s">
        <v>124</v>
      </c>
      <c r="K213" s="21" t="s">
        <v>125</v>
      </c>
      <c r="L213" s="21" t="s">
        <v>126</v>
      </c>
      <c r="M213" s="21" t="s">
        <v>109</v>
      </c>
      <c r="N213" s="21" t="s">
        <v>109</v>
      </c>
      <c r="O213" s="20" t="s">
        <v>945</v>
      </c>
      <c r="P213" s="45">
        <v>45706</v>
      </c>
      <c r="Q213" s="39" t="s">
        <v>946</v>
      </c>
      <c r="R213" s="19">
        <v>2267.9899999999998</v>
      </c>
      <c r="S213" s="21">
        <v>0.1</v>
      </c>
      <c r="T213" s="21">
        <v>2494.7889999999998</v>
      </c>
      <c r="U213" s="44" t="s">
        <v>680</v>
      </c>
      <c r="V213" s="22">
        <v>45709</v>
      </c>
      <c r="W213" s="54" t="s">
        <v>91</v>
      </c>
      <c r="X213" s="23"/>
      <c r="Y213" s="23" t="s">
        <v>92</v>
      </c>
      <c r="Z213" s="56" t="s">
        <v>446</v>
      </c>
      <c r="AA213" s="24">
        <v>851182</v>
      </c>
      <c r="AB213" s="19"/>
      <c r="AC213" s="19"/>
      <c r="AD213" s="15" t="str">
        <f ca="1">IF(AND($D213&lt;&gt;"",COUNTIF(OFFSET(UFS!$E$2,MATCH($D213&amp;"",UFS!$A$2:$A$175,0)-1,0,COUNTIF(UFS!$A$2:$A$175,$D213&amp;""),1),M213)&gt;0),"Valide","Invalide")</f>
        <v>Valide</v>
      </c>
      <c r="AH213" s="15" t="str">
        <f t="shared" si="3"/>
        <v>En attente</v>
      </c>
    </row>
    <row r="214" spans="1:34" s="15" customFormat="1" ht="45" hidden="1" customHeight="1" x14ac:dyDescent="0.3">
      <c r="A214" s="42">
        <v>213</v>
      </c>
      <c r="B214" s="19" t="s">
        <v>20</v>
      </c>
      <c r="C214" s="19" t="s">
        <v>676</v>
      </c>
      <c r="D214" s="20" t="s">
        <v>106</v>
      </c>
      <c r="E214" s="20" t="s">
        <v>79</v>
      </c>
      <c r="F214" s="21" t="s">
        <v>80</v>
      </c>
      <c r="G214" s="38" t="s">
        <v>241</v>
      </c>
      <c r="H214" s="39"/>
      <c r="I214" s="39" t="s">
        <v>677</v>
      </c>
      <c r="J214" s="21" t="s">
        <v>98</v>
      </c>
      <c r="K214" s="21" t="s">
        <v>108</v>
      </c>
      <c r="L214" s="21" t="s">
        <v>100</v>
      </c>
      <c r="M214" s="21" t="s">
        <v>109</v>
      </c>
      <c r="N214" s="21" t="s">
        <v>109</v>
      </c>
      <c r="O214" s="20" t="s">
        <v>947</v>
      </c>
      <c r="P214" s="45">
        <v>45702</v>
      </c>
      <c r="Q214" s="39" t="s">
        <v>948</v>
      </c>
      <c r="R214" s="19">
        <v>2267.9899999999998</v>
      </c>
      <c r="S214" s="21">
        <v>0.1</v>
      </c>
      <c r="T214" s="21">
        <v>2494.7889999999998</v>
      </c>
      <c r="U214" s="44" t="s">
        <v>680</v>
      </c>
      <c r="V214" s="22">
        <v>45709</v>
      </c>
      <c r="W214" s="54" t="s">
        <v>91</v>
      </c>
      <c r="X214" s="23"/>
      <c r="Y214" s="23" t="s">
        <v>92</v>
      </c>
      <c r="Z214" s="56" t="s">
        <v>446</v>
      </c>
      <c r="AA214" s="24">
        <v>851184</v>
      </c>
      <c r="AB214" s="19"/>
      <c r="AC214" s="19"/>
      <c r="AD214" s="15" t="str">
        <f ca="1">IF(AND($D214&lt;&gt;"",COUNTIF(OFFSET(UFS!$E$2,MATCH($D214&amp;"",UFS!$A$2:$A$175,0)-1,0,COUNTIF(UFS!$A$2:$A$175,$D214&amp;""),1),M214)&gt;0),"Valide","Invalide")</f>
        <v>Valide</v>
      </c>
      <c r="AH214" s="15" t="str">
        <f t="shared" si="3"/>
        <v>En attente</v>
      </c>
    </row>
    <row r="215" spans="1:34" s="15" customFormat="1" ht="45" hidden="1" customHeight="1" x14ac:dyDescent="0.3">
      <c r="A215" s="42">
        <v>214</v>
      </c>
      <c r="B215" s="19" t="s">
        <v>20</v>
      </c>
      <c r="C215" s="19" t="s">
        <v>676</v>
      </c>
      <c r="D215" s="20" t="s">
        <v>512</v>
      </c>
      <c r="E215" s="20" t="s">
        <v>79</v>
      </c>
      <c r="F215" s="21" t="s">
        <v>80</v>
      </c>
      <c r="G215" s="38" t="s">
        <v>241</v>
      </c>
      <c r="H215" s="39"/>
      <c r="I215" s="39" t="s">
        <v>677</v>
      </c>
      <c r="J215" s="21" t="s">
        <v>98</v>
      </c>
      <c r="K215" s="21" t="s">
        <v>99</v>
      </c>
      <c r="L215" s="21" t="s">
        <v>100</v>
      </c>
      <c r="M215" s="21" t="s">
        <v>101</v>
      </c>
      <c r="N215" s="21" t="s">
        <v>87</v>
      </c>
      <c r="O215" s="20" t="s">
        <v>949</v>
      </c>
      <c r="P215" s="45">
        <v>45706</v>
      </c>
      <c r="Q215" s="39" t="s">
        <v>950</v>
      </c>
      <c r="R215" s="19">
        <v>2267.9899999999998</v>
      </c>
      <c r="S215" s="21">
        <v>0.2</v>
      </c>
      <c r="T215" s="21">
        <v>2721.5879999999997</v>
      </c>
      <c r="U215" s="44" t="s">
        <v>680</v>
      </c>
      <c r="V215" s="22">
        <v>45709</v>
      </c>
      <c r="W215" s="54" t="s">
        <v>91</v>
      </c>
      <c r="X215" s="23"/>
      <c r="Y215" s="23" t="s">
        <v>92</v>
      </c>
      <c r="Z215" s="56" t="s">
        <v>446</v>
      </c>
      <c r="AA215" s="24">
        <v>851186</v>
      </c>
      <c r="AB215" s="19"/>
      <c r="AC215" s="19"/>
      <c r="AD215" s="15" t="str">
        <f ca="1">IF(AND($D215&lt;&gt;"",COUNTIF(OFFSET(UFS!$E$2,MATCH($D215&amp;"",UFS!$A$2:$A$175,0)-1,0,COUNTIF(UFS!$A$2:$A$175,$D215&amp;""),1),M215)&gt;0),"Valide","Invalide")</f>
        <v>Valide</v>
      </c>
      <c r="AH215" s="15" t="str">
        <f t="shared" si="3"/>
        <v>En attente</v>
      </c>
    </row>
    <row r="216" spans="1:34" s="15" customFormat="1" ht="45" hidden="1" customHeight="1" x14ac:dyDescent="0.3">
      <c r="A216" s="42">
        <v>215</v>
      </c>
      <c r="B216" s="19" t="s">
        <v>4</v>
      </c>
      <c r="C216" s="19" t="s">
        <v>33</v>
      </c>
      <c r="D216" s="20" t="s">
        <v>200</v>
      </c>
      <c r="E216" s="20" t="s">
        <v>79</v>
      </c>
      <c r="F216" s="21" t="s">
        <v>80</v>
      </c>
      <c r="G216" s="38" t="s">
        <v>81</v>
      </c>
      <c r="H216" s="39" t="s">
        <v>234</v>
      </c>
      <c r="I216" s="39" t="s">
        <v>83</v>
      </c>
      <c r="J216" s="21" t="s">
        <v>144</v>
      </c>
      <c r="K216" s="21" t="s">
        <v>145</v>
      </c>
      <c r="L216" s="21" t="s">
        <v>203</v>
      </c>
      <c r="M216" s="21" t="s">
        <v>109</v>
      </c>
      <c r="N216" s="21" t="s">
        <v>109</v>
      </c>
      <c r="O216" s="20" t="s">
        <v>951</v>
      </c>
      <c r="P216" s="45">
        <v>45712</v>
      </c>
      <c r="Q216" s="39" t="s">
        <v>952</v>
      </c>
      <c r="R216" s="19">
        <v>484.62</v>
      </c>
      <c r="S216" s="21">
        <v>0.2</v>
      </c>
      <c r="T216" s="21">
        <v>581.54399999999998</v>
      </c>
      <c r="U216" s="44" t="s">
        <v>953</v>
      </c>
      <c r="V216" s="22">
        <v>45713</v>
      </c>
      <c r="W216" s="54" t="s">
        <v>91</v>
      </c>
      <c r="X216" s="23"/>
      <c r="Y216" s="23" t="s">
        <v>92</v>
      </c>
      <c r="Z216" s="56"/>
      <c r="AA216" s="24">
        <v>195</v>
      </c>
      <c r="AB216" s="19"/>
      <c r="AC216" s="19"/>
      <c r="AD216" s="15" t="e">
        <f ca="1">IF(AND($D216&lt;&gt;"",COUNTIF(OFFSET(UFS!$E$2,MATCH($D216&amp;"",UFS!$A$2:$A$175,0)-1,0,COUNTIF(UFS!$A$2:$A$175,$D216&amp;""),1),M216)&gt;0),"Valide","Invalide")</f>
        <v>#N/A</v>
      </c>
      <c r="AH216" s="15" t="str">
        <f t="shared" si="3"/>
        <v>En attente</v>
      </c>
    </row>
    <row r="217" spans="1:34" s="15" customFormat="1" ht="45" hidden="1" customHeight="1" x14ac:dyDescent="0.3">
      <c r="A217" s="42">
        <v>216</v>
      </c>
      <c r="B217" s="19" t="s">
        <v>4</v>
      </c>
      <c r="C217" s="19" t="s">
        <v>33</v>
      </c>
      <c r="D217" s="20" t="s">
        <v>200</v>
      </c>
      <c r="E217" s="20" t="s">
        <v>79</v>
      </c>
      <c r="F217" s="21" t="s">
        <v>80</v>
      </c>
      <c r="G217" s="38" t="s">
        <v>81</v>
      </c>
      <c r="H217" s="39" t="s">
        <v>234</v>
      </c>
      <c r="I217" s="39" t="s">
        <v>83</v>
      </c>
      <c r="J217" s="21" t="s">
        <v>144</v>
      </c>
      <c r="K217" s="21" t="s">
        <v>145</v>
      </c>
      <c r="L217" s="21" t="s">
        <v>203</v>
      </c>
      <c r="M217" s="21" t="s">
        <v>109</v>
      </c>
      <c r="N217" s="21" t="s">
        <v>109</v>
      </c>
      <c r="O217" s="20" t="s">
        <v>954</v>
      </c>
      <c r="P217" s="45">
        <v>45636</v>
      </c>
      <c r="Q217" s="39" t="s">
        <v>955</v>
      </c>
      <c r="R217" s="19">
        <v>957.96</v>
      </c>
      <c r="S217" s="21">
        <v>0.2</v>
      </c>
      <c r="T217" s="21">
        <v>1149.5520000000001</v>
      </c>
      <c r="U217" s="44" t="s">
        <v>953</v>
      </c>
      <c r="V217" s="22">
        <v>45713</v>
      </c>
      <c r="W217" s="54" t="s">
        <v>91</v>
      </c>
      <c r="X217" s="23"/>
      <c r="Y217" s="23" t="s">
        <v>92</v>
      </c>
      <c r="Z217" s="56"/>
      <c r="AA217" s="24">
        <v>196</v>
      </c>
      <c r="AB217" s="19"/>
      <c r="AC217" s="19"/>
      <c r="AD217" s="15" t="e">
        <f ca="1">IF(AND($D217&lt;&gt;"",COUNTIF(OFFSET(UFS!$E$2,MATCH($D217&amp;"",UFS!$A$2:$A$175,0)-1,0,COUNTIF(UFS!$A$2:$A$175,$D217&amp;""),1),M217)&gt;0),"Valide","Invalide")</f>
        <v>#N/A</v>
      </c>
      <c r="AH217" s="15" t="str">
        <f t="shared" si="3"/>
        <v>En attente</v>
      </c>
    </row>
    <row r="218" spans="1:34" s="15" customFormat="1" ht="45" hidden="1" customHeight="1" x14ac:dyDescent="0.3">
      <c r="A218" s="42">
        <v>217</v>
      </c>
      <c r="B218" s="19" t="s">
        <v>0</v>
      </c>
      <c r="C218" s="19" t="s">
        <v>25</v>
      </c>
      <c r="D218" s="20" t="s">
        <v>134</v>
      </c>
      <c r="E218" s="20" t="s">
        <v>79</v>
      </c>
      <c r="F218" s="21" t="s">
        <v>80</v>
      </c>
      <c r="G218" s="38" t="s">
        <v>81</v>
      </c>
      <c r="H218" s="39" t="s">
        <v>82</v>
      </c>
      <c r="I218" s="39" t="s">
        <v>83</v>
      </c>
      <c r="J218" s="21" t="s">
        <v>124</v>
      </c>
      <c r="K218" s="21" t="s">
        <v>125</v>
      </c>
      <c r="L218" s="21" t="s">
        <v>135</v>
      </c>
      <c r="M218" s="21" t="s">
        <v>136</v>
      </c>
      <c r="N218" s="21" t="s">
        <v>102</v>
      </c>
      <c r="O218" s="20" t="s">
        <v>956</v>
      </c>
      <c r="P218" s="45">
        <v>45708</v>
      </c>
      <c r="Q218" s="39" t="s">
        <v>957</v>
      </c>
      <c r="R218" s="19">
        <v>1204.49</v>
      </c>
      <c r="S218" s="21">
        <v>0.1</v>
      </c>
      <c r="T218" s="21">
        <v>1324.9390000000001</v>
      </c>
      <c r="U218" s="60" t="s">
        <v>958</v>
      </c>
      <c r="V218" s="22">
        <v>45713</v>
      </c>
      <c r="W218" s="54" t="s">
        <v>91</v>
      </c>
      <c r="X218" s="23"/>
      <c r="Y218" s="23" t="s">
        <v>92</v>
      </c>
      <c r="Z218" s="56"/>
      <c r="AA218" s="24">
        <v>198</v>
      </c>
      <c r="AB218" s="19"/>
      <c r="AC218" s="19"/>
      <c r="AD218" s="15" t="str">
        <f ca="1">IF(AND($D218&lt;&gt;"",COUNTIF(OFFSET(UFS!$E$2,MATCH($D218&amp;"",UFS!$A$2:$A$175,0)-1,0,COUNTIF(UFS!$A$2:$A$175,$D218&amp;""),1),M218)&gt;0),"Valide","Invalide")</f>
        <v>Valide</v>
      </c>
      <c r="AH218" s="15" t="str">
        <f t="shared" si="3"/>
        <v>En attente</v>
      </c>
    </row>
    <row r="219" spans="1:34" s="15" customFormat="1" ht="45" hidden="1" customHeight="1" x14ac:dyDescent="0.3">
      <c r="A219" s="42">
        <v>218</v>
      </c>
      <c r="B219" s="19" t="s">
        <v>16</v>
      </c>
      <c r="C219" s="19" t="s">
        <v>28</v>
      </c>
      <c r="D219" s="20" t="s">
        <v>929</v>
      </c>
      <c r="E219" s="20" t="s">
        <v>79</v>
      </c>
      <c r="F219" s="21" t="s">
        <v>80</v>
      </c>
      <c r="G219" s="38" t="s">
        <v>182</v>
      </c>
      <c r="H219" s="39" t="s">
        <v>82</v>
      </c>
      <c r="I219" s="39" t="s">
        <v>83</v>
      </c>
      <c r="J219" s="21" t="s">
        <v>144</v>
      </c>
      <c r="K219" s="21" t="s">
        <v>145</v>
      </c>
      <c r="L219" s="21" t="s">
        <v>930</v>
      </c>
      <c r="M219" s="21" t="s">
        <v>931</v>
      </c>
      <c r="N219" s="21" t="s">
        <v>930</v>
      </c>
      <c r="O219" s="20" t="s">
        <v>959</v>
      </c>
      <c r="P219" s="45">
        <v>45707</v>
      </c>
      <c r="Q219" s="39" t="s">
        <v>960</v>
      </c>
      <c r="R219" s="19">
        <v>1764.54</v>
      </c>
      <c r="S219" s="21">
        <v>0.2</v>
      </c>
      <c r="T219" s="21">
        <v>2117.4479999999999</v>
      </c>
      <c r="U219" s="44" t="s">
        <v>961</v>
      </c>
      <c r="V219" s="22">
        <v>45713</v>
      </c>
      <c r="W219" s="54" t="s">
        <v>91</v>
      </c>
      <c r="X219" s="23"/>
      <c r="Y219" s="23" t="s">
        <v>347</v>
      </c>
      <c r="Z219" s="56"/>
      <c r="AA219" s="24"/>
      <c r="AB219" s="19"/>
      <c r="AC219" s="49" t="s">
        <v>161</v>
      </c>
      <c r="AD219" s="15" t="str">
        <f ca="1">IF(AND($D219&lt;&gt;"",COUNTIF(OFFSET(UFS!$E$2,MATCH($D219&amp;"",UFS!$A$2:$A$175,0)-1,0,COUNTIF(UFS!$A$2:$A$175,$D219&amp;""),1),M219)&gt;0),"Valide","Invalide")</f>
        <v>Valide</v>
      </c>
      <c r="AH219" s="15" t="str">
        <f t="shared" si="3"/>
        <v>En attente</v>
      </c>
    </row>
    <row r="220" spans="1:34" s="15" customFormat="1" ht="45" hidden="1" customHeight="1" x14ac:dyDescent="0.3">
      <c r="A220" s="42">
        <v>219</v>
      </c>
      <c r="B220" s="19" t="s">
        <v>16</v>
      </c>
      <c r="C220" s="19" t="s">
        <v>28</v>
      </c>
      <c r="D220" s="20" t="s">
        <v>929</v>
      </c>
      <c r="E220" s="20" t="s">
        <v>79</v>
      </c>
      <c r="F220" s="21" t="s">
        <v>80</v>
      </c>
      <c r="G220" s="38" t="s">
        <v>182</v>
      </c>
      <c r="H220" s="39" t="s">
        <v>82</v>
      </c>
      <c r="I220" s="39" t="s">
        <v>83</v>
      </c>
      <c r="J220" s="21" t="s">
        <v>144</v>
      </c>
      <c r="K220" s="21" t="s">
        <v>145</v>
      </c>
      <c r="L220" s="21" t="s">
        <v>930</v>
      </c>
      <c r="M220" s="21" t="s">
        <v>931</v>
      </c>
      <c r="N220" s="21" t="s">
        <v>930</v>
      </c>
      <c r="O220" s="20" t="s">
        <v>962</v>
      </c>
      <c r="P220" s="45">
        <v>45707</v>
      </c>
      <c r="Q220" s="39" t="s">
        <v>963</v>
      </c>
      <c r="R220" s="19">
        <v>2122.2199999999998</v>
      </c>
      <c r="S220" s="21">
        <v>0.2</v>
      </c>
      <c r="T220" s="21">
        <v>2546.6639999999998</v>
      </c>
      <c r="U220" s="44" t="s">
        <v>964</v>
      </c>
      <c r="V220" s="22">
        <v>45713</v>
      </c>
      <c r="W220" s="54" t="s">
        <v>91</v>
      </c>
      <c r="X220" s="23"/>
      <c r="Y220" s="23" t="s">
        <v>347</v>
      </c>
      <c r="Z220" s="56"/>
      <c r="AA220" s="24"/>
      <c r="AB220" s="19"/>
      <c r="AC220" s="49" t="s">
        <v>161</v>
      </c>
      <c r="AD220" s="15" t="str">
        <f ca="1">IF(AND($D220&lt;&gt;"",COUNTIF(OFFSET(UFS!$E$2,MATCH($D220&amp;"",UFS!$A$2:$A$175,0)-1,0,COUNTIF(UFS!$A$2:$A$175,$D220&amp;""),1),M220)&gt;0),"Valide","Invalide")</f>
        <v>Valide</v>
      </c>
      <c r="AH220" s="15" t="str">
        <f t="shared" si="3"/>
        <v>En attente</v>
      </c>
    </row>
    <row r="221" spans="1:34" s="15" customFormat="1" ht="45" hidden="1" customHeight="1" x14ac:dyDescent="0.3">
      <c r="A221" s="42">
        <v>220</v>
      </c>
      <c r="B221" s="19" t="s">
        <v>16</v>
      </c>
      <c r="C221" s="19" t="s">
        <v>28</v>
      </c>
      <c r="D221" s="20" t="s">
        <v>929</v>
      </c>
      <c r="E221" s="20" t="s">
        <v>79</v>
      </c>
      <c r="F221" s="21" t="s">
        <v>80</v>
      </c>
      <c r="G221" s="38" t="s">
        <v>182</v>
      </c>
      <c r="H221" s="39" t="s">
        <v>82</v>
      </c>
      <c r="I221" s="39" t="s">
        <v>83</v>
      </c>
      <c r="J221" s="21" t="s">
        <v>144</v>
      </c>
      <c r="K221" s="21" t="s">
        <v>145</v>
      </c>
      <c r="L221" s="21" t="s">
        <v>930</v>
      </c>
      <c r="M221" s="21" t="s">
        <v>931</v>
      </c>
      <c r="N221" s="21" t="s">
        <v>930</v>
      </c>
      <c r="O221" s="20" t="s">
        <v>965</v>
      </c>
      <c r="P221" s="45">
        <v>45707</v>
      </c>
      <c r="Q221" s="39" t="s">
        <v>966</v>
      </c>
      <c r="R221" s="19">
        <v>1340.75</v>
      </c>
      <c r="S221" s="21">
        <v>0.2</v>
      </c>
      <c r="T221" s="21">
        <v>1608.9</v>
      </c>
      <c r="U221" s="44" t="s">
        <v>967</v>
      </c>
      <c r="V221" s="22">
        <v>45713</v>
      </c>
      <c r="W221" s="54" t="s">
        <v>91</v>
      </c>
      <c r="X221" s="23"/>
      <c r="Y221" s="23" t="s">
        <v>347</v>
      </c>
      <c r="Z221" s="56"/>
      <c r="AA221" s="24"/>
      <c r="AB221" s="19"/>
      <c r="AC221" s="49" t="s">
        <v>161</v>
      </c>
      <c r="AD221" s="15" t="str">
        <f ca="1">IF(AND($D221&lt;&gt;"",COUNTIF(OFFSET(UFS!$E$2,MATCH($D221&amp;"",UFS!$A$2:$A$175,0)-1,0,COUNTIF(UFS!$A$2:$A$175,$D221&amp;""),1),M221)&gt;0),"Valide","Invalide")</f>
        <v>Valide</v>
      </c>
      <c r="AH221" s="15" t="str">
        <f t="shared" si="3"/>
        <v>En attente</v>
      </c>
    </row>
    <row r="222" spans="1:34" s="15" customFormat="1" ht="45" hidden="1" customHeight="1" x14ac:dyDescent="0.3">
      <c r="A222" s="42">
        <v>221</v>
      </c>
      <c r="B222" s="19" t="s">
        <v>16</v>
      </c>
      <c r="C222" s="19" t="s">
        <v>28</v>
      </c>
      <c r="D222" s="20" t="s">
        <v>929</v>
      </c>
      <c r="E222" s="20" t="s">
        <v>79</v>
      </c>
      <c r="F222" s="21" t="s">
        <v>80</v>
      </c>
      <c r="G222" s="38" t="s">
        <v>182</v>
      </c>
      <c r="H222" s="39" t="s">
        <v>82</v>
      </c>
      <c r="I222" s="39" t="s">
        <v>83</v>
      </c>
      <c r="J222" s="21" t="s">
        <v>144</v>
      </c>
      <c r="K222" s="21" t="s">
        <v>145</v>
      </c>
      <c r="L222" s="21" t="s">
        <v>930</v>
      </c>
      <c r="M222" s="21" t="s">
        <v>931</v>
      </c>
      <c r="N222" s="21" t="s">
        <v>930</v>
      </c>
      <c r="O222" s="20" t="s">
        <v>968</v>
      </c>
      <c r="P222" s="45">
        <v>45707</v>
      </c>
      <c r="Q222" s="39" t="s">
        <v>969</v>
      </c>
      <c r="R222" s="19">
        <v>2498.5500000000002</v>
      </c>
      <c r="S222" s="21">
        <v>0.2</v>
      </c>
      <c r="T222" s="21">
        <v>2998.26</v>
      </c>
      <c r="U222" s="44" t="s">
        <v>970</v>
      </c>
      <c r="V222" s="22">
        <v>45713</v>
      </c>
      <c r="W222" s="54" t="s">
        <v>91</v>
      </c>
      <c r="X222" s="23"/>
      <c r="Y222" s="23" t="s">
        <v>347</v>
      </c>
      <c r="Z222" s="56"/>
      <c r="AA222" s="24"/>
      <c r="AB222" s="19"/>
      <c r="AC222" s="49" t="s">
        <v>161</v>
      </c>
      <c r="AD222" s="15" t="str">
        <f ca="1">IF(AND($D222&lt;&gt;"",COUNTIF(OFFSET(UFS!$E$2,MATCH($D222&amp;"",UFS!$A$2:$A$175,0)-1,0,COUNTIF(UFS!$A$2:$A$175,$D222&amp;""),1),M222)&gt;0),"Valide","Invalide")</f>
        <v>Valide</v>
      </c>
      <c r="AH222" s="15" t="str">
        <f t="shared" si="3"/>
        <v>En attente</v>
      </c>
    </row>
    <row r="223" spans="1:34" s="15" customFormat="1" ht="45" hidden="1" customHeight="1" x14ac:dyDescent="0.3">
      <c r="A223" s="42">
        <v>222</v>
      </c>
      <c r="B223" s="19" t="s">
        <v>16</v>
      </c>
      <c r="C223" s="19" t="s">
        <v>28</v>
      </c>
      <c r="D223" s="20" t="s">
        <v>929</v>
      </c>
      <c r="E223" s="20" t="s">
        <v>79</v>
      </c>
      <c r="F223" s="21" t="s">
        <v>80</v>
      </c>
      <c r="G223" s="38" t="s">
        <v>182</v>
      </c>
      <c r="H223" s="39" t="s">
        <v>82</v>
      </c>
      <c r="I223" s="39" t="s">
        <v>83</v>
      </c>
      <c r="J223" s="21" t="s">
        <v>144</v>
      </c>
      <c r="K223" s="21" t="s">
        <v>145</v>
      </c>
      <c r="L223" s="21" t="s">
        <v>930</v>
      </c>
      <c r="M223" s="21" t="s">
        <v>931</v>
      </c>
      <c r="N223" s="21" t="s">
        <v>930</v>
      </c>
      <c r="O223" s="20" t="s">
        <v>971</v>
      </c>
      <c r="P223" s="45">
        <v>45707</v>
      </c>
      <c r="Q223" s="39" t="s">
        <v>972</v>
      </c>
      <c r="R223" s="19">
        <v>1218.55</v>
      </c>
      <c r="S223" s="21">
        <v>0.2</v>
      </c>
      <c r="T223" s="21">
        <v>1462.26</v>
      </c>
      <c r="U223" s="44" t="s">
        <v>973</v>
      </c>
      <c r="V223" s="22">
        <v>45713</v>
      </c>
      <c r="W223" s="54" t="s">
        <v>91</v>
      </c>
      <c r="X223" s="23"/>
      <c r="Y223" s="23" t="s">
        <v>376</v>
      </c>
      <c r="Z223" s="56" t="s">
        <v>974</v>
      </c>
      <c r="AA223" s="24"/>
      <c r="AB223" s="19"/>
      <c r="AC223" s="49" t="s">
        <v>161</v>
      </c>
      <c r="AD223" s="15" t="str">
        <f ca="1">IF(AND($D223&lt;&gt;"",COUNTIF(OFFSET(UFS!$E$2,MATCH($D223&amp;"",UFS!$A$2:$A$175,0)-1,0,COUNTIF(UFS!$A$2:$A$175,$D223&amp;""),1),M223)&gt;0),"Valide","Invalide")</f>
        <v>Valide</v>
      </c>
      <c r="AH223" s="15" t="str">
        <f t="shared" si="3"/>
        <v>En attente</v>
      </c>
    </row>
    <row r="224" spans="1:34" s="15" customFormat="1" ht="45" hidden="1" customHeight="1" x14ac:dyDescent="0.3">
      <c r="A224" s="42">
        <v>223</v>
      </c>
      <c r="B224" s="19" t="s">
        <v>10</v>
      </c>
      <c r="C224" s="19" t="s">
        <v>975</v>
      </c>
      <c r="D224" s="20" t="s">
        <v>200</v>
      </c>
      <c r="E224" s="20" t="s">
        <v>96</v>
      </c>
      <c r="F224" s="21" t="s">
        <v>80</v>
      </c>
      <c r="G224" s="38" t="s">
        <v>976</v>
      </c>
      <c r="H224" s="39"/>
      <c r="I224" s="39" t="s">
        <v>977</v>
      </c>
      <c r="J224" s="21" t="s">
        <v>144</v>
      </c>
      <c r="K224" s="21" t="s">
        <v>145</v>
      </c>
      <c r="L224" s="21" t="s">
        <v>203</v>
      </c>
      <c r="M224" s="21" t="s">
        <v>109</v>
      </c>
      <c r="N224" s="21" t="s">
        <v>109</v>
      </c>
      <c r="O224" s="20" t="s">
        <v>978</v>
      </c>
      <c r="P224" s="45">
        <v>45713</v>
      </c>
      <c r="Q224" s="39" t="s">
        <v>979</v>
      </c>
      <c r="R224" s="19">
        <v>105281.28</v>
      </c>
      <c r="S224" s="21">
        <v>0.2</v>
      </c>
      <c r="T224" s="21">
        <v>105281.28</v>
      </c>
      <c r="U224" s="60" t="s">
        <v>980</v>
      </c>
      <c r="V224" s="22">
        <v>45714</v>
      </c>
      <c r="W224" s="54" t="s">
        <v>91</v>
      </c>
      <c r="X224" s="23"/>
      <c r="Y224" s="23" t="s">
        <v>92</v>
      </c>
      <c r="Z224" s="56" t="s">
        <v>981</v>
      </c>
      <c r="AA224" s="24">
        <v>209</v>
      </c>
      <c r="AB224" s="45">
        <v>45726</v>
      </c>
      <c r="AC224" s="19"/>
      <c r="AD224" s="15" t="e">
        <f ca="1">IF(AND($D224&lt;&gt;"",COUNTIF(OFFSET(UFS!$E$2,MATCH($D224&amp;"",UFS!$A$2:$A$175,0)-1,0,COUNTIF(UFS!$A$2:$A$175,$D224&amp;""),1),M224)&gt;0),"Valide","Invalide")</f>
        <v>#N/A</v>
      </c>
      <c r="AH224" s="15" t="str">
        <f t="shared" si="3"/>
        <v>En attente</v>
      </c>
    </row>
    <row r="225" spans="1:34" s="15" customFormat="1" ht="45" hidden="1" customHeight="1" x14ac:dyDescent="0.3">
      <c r="A225" s="42">
        <v>224</v>
      </c>
      <c r="B225" s="19" t="s">
        <v>10</v>
      </c>
      <c r="C225" s="19" t="s">
        <v>982</v>
      </c>
      <c r="D225" s="20" t="s">
        <v>200</v>
      </c>
      <c r="E225" s="20" t="s">
        <v>96</v>
      </c>
      <c r="F225" s="21" t="s">
        <v>80</v>
      </c>
      <c r="G225" s="38" t="s">
        <v>983</v>
      </c>
      <c r="H225" s="39"/>
      <c r="I225" s="39" t="s">
        <v>984</v>
      </c>
      <c r="J225" s="21" t="s">
        <v>144</v>
      </c>
      <c r="K225" s="21" t="s">
        <v>145</v>
      </c>
      <c r="L225" s="21" t="s">
        <v>203</v>
      </c>
      <c r="M225" s="21" t="s">
        <v>109</v>
      </c>
      <c r="N225" s="21" t="s">
        <v>109</v>
      </c>
      <c r="O225" s="20" t="s">
        <v>985</v>
      </c>
      <c r="P225" s="45">
        <v>45712</v>
      </c>
      <c r="Q225" s="39" t="s">
        <v>986</v>
      </c>
      <c r="R225" s="19">
        <v>71151.45</v>
      </c>
      <c r="S225" s="21">
        <v>0.2</v>
      </c>
      <c r="T225" s="21">
        <v>85381.739999999991</v>
      </c>
      <c r="U225" s="44" t="s">
        <v>987</v>
      </c>
      <c r="V225" s="22">
        <v>45714</v>
      </c>
      <c r="W225" s="54" t="s">
        <v>91</v>
      </c>
      <c r="X225" s="23"/>
      <c r="Y225" s="23" t="s">
        <v>92</v>
      </c>
      <c r="Z225" s="56" t="s">
        <v>988</v>
      </c>
      <c r="AA225" s="24">
        <v>203</v>
      </c>
      <c r="AB225" s="45">
        <v>45726</v>
      </c>
      <c r="AC225" s="19"/>
      <c r="AD225" s="15" t="e">
        <f ca="1">IF(AND($D225&lt;&gt;"",COUNTIF(OFFSET(UFS!$E$2,MATCH($D225&amp;"",UFS!$A$2:$A$175,0)-1,0,COUNTIF(UFS!$A$2:$A$175,$D225&amp;""),1),M225)&gt;0),"Valide","Invalide")</f>
        <v>#N/A</v>
      </c>
      <c r="AH225" s="15" t="str">
        <f t="shared" si="3"/>
        <v>En attente</v>
      </c>
    </row>
    <row r="226" spans="1:34" s="15" customFormat="1" ht="45" hidden="1" customHeight="1" x14ac:dyDescent="0.3">
      <c r="A226" s="42">
        <v>225</v>
      </c>
      <c r="B226" s="19" t="s">
        <v>10</v>
      </c>
      <c r="C226" s="19" t="s">
        <v>982</v>
      </c>
      <c r="D226" s="20" t="s">
        <v>200</v>
      </c>
      <c r="E226" s="20" t="s">
        <v>96</v>
      </c>
      <c r="F226" s="21" t="s">
        <v>80</v>
      </c>
      <c r="G226" s="38" t="s">
        <v>989</v>
      </c>
      <c r="H226" s="39"/>
      <c r="I226" s="39" t="s">
        <v>990</v>
      </c>
      <c r="J226" s="21" t="s">
        <v>144</v>
      </c>
      <c r="K226" s="21" t="s">
        <v>145</v>
      </c>
      <c r="L226" s="21" t="s">
        <v>203</v>
      </c>
      <c r="M226" s="21" t="s">
        <v>109</v>
      </c>
      <c r="N226" s="21" t="s">
        <v>109</v>
      </c>
      <c r="O226" s="20" t="s">
        <v>991</v>
      </c>
      <c r="P226" s="45">
        <v>45714</v>
      </c>
      <c r="Q226" s="39" t="s">
        <v>992</v>
      </c>
      <c r="R226" s="19">
        <v>178416</v>
      </c>
      <c r="S226" s="21">
        <v>0.2</v>
      </c>
      <c r="T226" s="21">
        <v>214099.20000000001</v>
      </c>
      <c r="U226" s="44" t="s">
        <v>993</v>
      </c>
      <c r="V226" s="22">
        <v>45714</v>
      </c>
      <c r="W226" s="54" t="s">
        <v>91</v>
      </c>
      <c r="X226" s="23"/>
      <c r="Y226" s="23" t="s">
        <v>92</v>
      </c>
      <c r="Z226" s="56" t="s">
        <v>994</v>
      </c>
      <c r="AA226" s="24">
        <v>204</v>
      </c>
      <c r="AB226" s="45">
        <v>45726</v>
      </c>
      <c r="AC226" s="19"/>
      <c r="AD226" s="15" t="e">
        <f ca="1">IF(AND($D226&lt;&gt;"",COUNTIF(OFFSET(UFS!$E$2,MATCH($D226&amp;"",UFS!$A$2:$A$175,0)-1,0,COUNTIF(UFS!$A$2:$A$175,$D226&amp;""),1),M226)&gt;0),"Valide","Invalide")</f>
        <v>#N/A</v>
      </c>
      <c r="AH226" s="15" t="str">
        <f t="shared" si="3"/>
        <v>En attente</v>
      </c>
    </row>
    <row r="227" spans="1:34" s="15" customFormat="1" ht="45" hidden="1" customHeight="1" x14ac:dyDescent="0.3">
      <c r="A227" s="42">
        <v>226</v>
      </c>
      <c r="B227" s="19" t="s">
        <v>20</v>
      </c>
      <c r="C227" s="19" t="s">
        <v>37</v>
      </c>
      <c r="D227" s="20" t="s">
        <v>413</v>
      </c>
      <c r="E227" s="20" t="s">
        <v>79</v>
      </c>
      <c r="F227" s="21" t="s">
        <v>80</v>
      </c>
      <c r="G227" s="38" t="s">
        <v>241</v>
      </c>
      <c r="H227" s="39" t="s">
        <v>367</v>
      </c>
      <c r="I227" s="39" t="s">
        <v>368</v>
      </c>
      <c r="J227" s="21" t="s">
        <v>183</v>
      </c>
      <c r="K227" s="21" t="s">
        <v>184</v>
      </c>
      <c r="L227" s="21" t="s">
        <v>185</v>
      </c>
      <c r="M227" s="21" t="s">
        <v>109</v>
      </c>
      <c r="N227" s="21" t="s">
        <v>109</v>
      </c>
      <c r="O227" s="20" t="s">
        <v>995</v>
      </c>
      <c r="P227" s="45">
        <v>45713</v>
      </c>
      <c r="Q227" s="39" t="s">
        <v>996</v>
      </c>
      <c r="R227" s="19">
        <v>1040.8499999999999</v>
      </c>
      <c r="S227" s="21">
        <v>0.1</v>
      </c>
      <c r="T227" s="21">
        <v>1144.9349999999999</v>
      </c>
      <c r="U227" s="44" t="s">
        <v>997</v>
      </c>
      <c r="V227" s="22">
        <v>45715</v>
      </c>
      <c r="W227" s="54" t="s">
        <v>91</v>
      </c>
      <c r="X227" s="23"/>
      <c r="Y227" s="23" t="s">
        <v>92</v>
      </c>
      <c r="Z227" s="56"/>
      <c r="AA227" s="24">
        <v>199</v>
      </c>
      <c r="AB227" s="19"/>
      <c r="AC227" s="46" t="s">
        <v>94</v>
      </c>
      <c r="AD227" s="15" t="str">
        <f ca="1">IF(AND($D227&lt;&gt;"",COUNTIF(OFFSET(UFS!$E$2,MATCH($D227&amp;"",UFS!$A$2:$A$175,0)-1,0,COUNTIF(UFS!$A$2:$A$175,$D227&amp;""),1),M227)&gt;0),"Valide","Invalide")</f>
        <v>Valide</v>
      </c>
      <c r="AH227" s="15" t="str">
        <f t="shared" si="3"/>
        <v>En attente</v>
      </c>
    </row>
    <row r="228" spans="1:34" s="15" customFormat="1" ht="45" hidden="1" customHeight="1" x14ac:dyDescent="0.3">
      <c r="A228" s="42">
        <v>227</v>
      </c>
      <c r="B228" s="19" t="s">
        <v>6</v>
      </c>
      <c r="C228" s="19" t="s">
        <v>36</v>
      </c>
      <c r="D228" s="20" t="s">
        <v>233</v>
      </c>
      <c r="E228" s="20" t="s">
        <v>79</v>
      </c>
      <c r="F228" s="21" t="s">
        <v>80</v>
      </c>
      <c r="G228" s="38" t="s">
        <v>241</v>
      </c>
      <c r="H228" s="39" t="s">
        <v>252</v>
      </c>
      <c r="I228" s="39" t="s">
        <v>253</v>
      </c>
      <c r="J228" s="21" t="s">
        <v>124</v>
      </c>
      <c r="K228" s="21" t="s">
        <v>235</v>
      </c>
      <c r="L228" s="21" t="s">
        <v>177</v>
      </c>
      <c r="M228" s="21" t="s">
        <v>109</v>
      </c>
      <c r="N228" s="21" t="s">
        <v>109</v>
      </c>
      <c r="O228" s="20" t="s">
        <v>998</v>
      </c>
      <c r="P228" s="45">
        <v>45708</v>
      </c>
      <c r="Q228" s="39" t="s">
        <v>999</v>
      </c>
      <c r="R228" s="19">
        <v>1606.28</v>
      </c>
      <c r="S228" s="21">
        <v>0.1</v>
      </c>
      <c r="T228" s="21">
        <v>1766.9079999999999</v>
      </c>
      <c r="U228" s="44" t="s">
        <v>1000</v>
      </c>
      <c r="V228" s="22">
        <v>45715</v>
      </c>
      <c r="W228" s="54" t="s">
        <v>91</v>
      </c>
      <c r="X228" s="23"/>
      <c r="Y228" s="23" t="s">
        <v>92</v>
      </c>
      <c r="Z228" s="56"/>
      <c r="AA228" s="24">
        <v>200</v>
      </c>
      <c r="AB228" s="19"/>
      <c r="AC228" s="46" t="s">
        <v>94</v>
      </c>
      <c r="AD228" s="15" t="str">
        <f ca="1">IF(AND($D228&lt;&gt;"",COUNTIF(OFFSET(UFS!$E$2,MATCH($D228&amp;"",UFS!$A$2:$A$175,0)-1,0,COUNTIF(UFS!$A$2:$A$175,$D228&amp;""),1),M228)&gt;0),"Valide","Invalide")</f>
        <v>Valide</v>
      </c>
      <c r="AH228" s="15" t="str">
        <f t="shared" si="3"/>
        <v>En attente</v>
      </c>
    </row>
    <row r="229" spans="1:34" s="15" customFormat="1" ht="45" hidden="1" customHeight="1" x14ac:dyDescent="0.3">
      <c r="A229" s="42">
        <v>228</v>
      </c>
      <c r="B229" s="19" t="s">
        <v>6</v>
      </c>
      <c r="C229" s="19" t="s">
        <v>36</v>
      </c>
      <c r="D229" s="20" t="s">
        <v>251</v>
      </c>
      <c r="E229" s="20" t="s">
        <v>79</v>
      </c>
      <c r="F229" s="21" t="s">
        <v>80</v>
      </c>
      <c r="G229" s="38" t="s">
        <v>241</v>
      </c>
      <c r="H229" s="39" t="s">
        <v>252</v>
      </c>
      <c r="I229" s="39" t="s">
        <v>253</v>
      </c>
      <c r="J229" s="21" t="s">
        <v>144</v>
      </c>
      <c r="K229" s="21" t="s">
        <v>145</v>
      </c>
      <c r="L229" s="21" t="s">
        <v>254</v>
      </c>
      <c r="M229" s="21" t="s">
        <v>255</v>
      </c>
      <c r="N229" s="21" t="s">
        <v>256</v>
      </c>
      <c r="O229" s="20" t="s">
        <v>1001</v>
      </c>
      <c r="P229" s="45">
        <v>45714</v>
      </c>
      <c r="Q229" s="39" t="s">
        <v>1002</v>
      </c>
      <c r="R229" s="19">
        <v>5798</v>
      </c>
      <c r="S229" s="21">
        <v>0.2</v>
      </c>
      <c r="T229" s="21">
        <v>6957.6</v>
      </c>
      <c r="U229" s="44" t="s">
        <v>1003</v>
      </c>
      <c r="V229" s="22">
        <v>45715</v>
      </c>
      <c r="W229" s="54" t="s">
        <v>91</v>
      </c>
      <c r="X229" s="23"/>
      <c r="Y229" s="23" t="s">
        <v>92</v>
      </c>
      <c r="Z229" s="56" t="s">
        <v>1004</v>
      </c>
      <c r="AA229" s="64" t="s">
        <v>1005</v>
      </c>
      <c r="AB229" s="19"/>
      <c r="AC229" s="46" t="s">
        <v>94</v>
      </c>
      <c r="AD229" s="15" t="str">
        <f ca="1">IF(AND($D229&lt;&gt;"",COUNTIF(OFFSET(UFS!$E$2,MATCH($D229&amp;"",UFS!$A$2:$A$175,0)-1,0,COUNTIF(UFS!$A$2:$A$175,$D229&amp;""),1),M229)&gt;0),"Valide","Invalide")</f>
        <v>Valide</v>
      </c>
      <c r="AH229" s="15" t="str">
        <f t="shared" si="3"/>
        <v>En attente</v>
      </c>
    </row>
    <row r="230" spans="1:34" s="15" customFormat="1" ht="45" hidden="1" customHeight="1" x14ac:dyDescent="0.3">
      <c r="A230" s="42">
        <v>229</v>
      </c>
      <c r="B230" s="19" t="s">
        <v>6</v>
      </c>
      <c r="C230" s="19" t="s">
        <v>36</v>
      </c>
      <c r="D230" s="20" t="s">
        <v>123</v>
      </c>
      <c r="E230" s="20" t="s">
        <v>79</v>
      </c>
      <c r="F230" s="21" t="s">
        <v>80</v>
      </c>
      <c r="G230" s="38" t="s">
        <v>241</v>
      </c>
      <c r="H230" s="39" t="s">
        <v>252</v>
      </c>
      <c r="I230" s="39" t="s">
        <v>253</v>
      </c>
      <c r="J230" s="21" t="s">
        <v>124</v>
      </c>
      <c r="K230" s="21" t="s">
        <v>125</v>
      </c>
      <c r="L230" s="21" t="s">
        <v>126</v>
      </c>
      <c r="M230" s="21" t="s">
        <v>109</v>
      </c>
      <c r="N230" s="21" t="s">
        <v>109</v>
      </c>
      <c r="O230" s="20" t="s">
        <v>1006</v>
      </c>
      <c r="P230" s="45">
        <v>45715</v>
      </c>
      <c r="Q230" s="39" t="s">
        <v>1007</v>
      </c>
      <c r="R230" s="19">
        <v>1517.6</v>
      </c>
      <c r="S230" s="21">
        <v>0.1</v>
      </c>
      <c r="T230" s="21">
        <v>1669.36</v>
      </c>
      <c r="U230" s="44" t="s">
        <v>1008</v>
      </c>
      <c r="V230" s="22">
        <v>45715</v>
      </c>
      <c r="W230" s="54" t="s">
        <v>91</v>
      </c>
      <c r="X230" s="23"/>
      <c r="Y230" s="23" t="s">
        <v>92</v>
      </c>
      <c r="Z230" s="56"/>
      <c r="AA230" s="24">
        <v>202</v>
      </c>
      <c r="AB230" s="19"/>
      <c r="AC230" s="46" t="s">
        <v>94</v>
      </c>
      <c r="AD230" s="15" t="str">
        <f ca="1">IF(AND($D230&lt;&gt;"",COUNTIF(OFFSET(UFS!$E$2,MATCH($D230&amp;"",UFS!$A$2:$A$175,0)-1,0,COUNTIF(UFS!$A$2:$A$175,$D230&amp;""),1),M230)&gt;0),"Valide","Invalide")</f>
        <v>Valide</v>
      </c>
      <c r="AH230" s="15" t="str">
        <f t="shared" si="3"/>
        <v>En attente</v>
      </c>
    </row>
    <row r="231" spans="1:34" s="15" customFormat="1" ht="45" hidden="1" customHeight="1" x14ac:dyDescent="0.3">
      <c r="A231" s="42">
        <v>230</v>
      </c>
      <c r="B231" s="19" t="s">
        <v>6</v>
      </c>
      <c r="C231" s="19" t="s">
        <v>21</v>
      </c>
      <c r="D231" s="20" t="s">
        <v>200</v>
      </c>
      <c r="E231" s="20" t="s">
        <v>853</v>
      </c>
      <c r="F231" s="21" t="s">
        <v>80</v>
      </c>
      <c r="G231" s="38" t="s">
        <v>854</v>
      </c>
      <c r="H231" s="39" t="s">
        <v>534</v>
      </c>
      <c r="I231" s="39"/>
      <c r="J231" s="21" t="s">
        <v>144</v>
      </c>
      <c r="K231" s="21" t="s">
        <v>145</v>
      </c>
      <c r="L231" s="21" t="s">
        <v>203</v>
      </c>
      <c r="M231" s="21" t="s">
        <v>109</v>
      </c>
      <c r="N231" s="21" t="s">
        <v>109</v>
      </c>
      <c r="O231" s="20" t="s">
        <v>1009</v>
      </c>
      <c r="P231" s="45">
        <v>45715</v>
      </c>
      <c r="Q231" s="39" t="s">
        <v>1010</v>
      </c>
      <c r="R231" s="19">
        <v>876.7</v>
      </c>
      <c r="S231" s="21">
        <v>0.2</v>
      </c>
      <c r="T231" s="21">
        <v>1052.04</v>
      </c>
      <c r="U231" s="44" t="s">
        <v>1011</v>
      </c>
      <c r="V231" s="22">
        <v>45715</v>
      </c>
      <c r="W231" s="54" t="s">
        <v>91</v>
      </c>
      <c r="X231" s="23"/>
      <c r="Y231" s="23" t="s">
        <v>92</v>
      </c>
      <c r="Z231" s="56" t="s">
        <v>854</v>
      </c>
      <c r="AA231" s="24">
        <v>3001</v>
      </c>
      <c r="AB231" s="19"/>
      <c r="AC231" s="46" t="s">
        <v>94</v>
      </c>
      <c r="AD231" s="15" t="e">
        <f ca="1">IF(AND($D231&lt;&gt;"",COUNTIF(OFFSET(UFS!$E$2,MATCH($D231&amp;"",UFS!$A$2:$A$175,0)-1,0,COUNTIF(UFS!$A$2:$A$175,$D231&amp;""),1),M231)&gt;0),"Valide","Invalide")</f>
        <v>#N/A</v>
      </c>
      <c r="AH231" s="15" t="str">
        <f t="shared" si="3"/>
        <v>En attente</v>
      </c>
    </row>
    <row r="232" spans="1:34" s="15" customFormat="1" ht="45" hidden="1" customHeight="1" x14ac:dyDescent="0.3">
      <c r="A232" s="42">
        <v>231</v>
      </c>
      <c r="B232" s="19" t="s">
        <v>6</v>
      </c>
      <c r="C232" s="19" t="s">
        <v>21</v>
      </c>
      <c r="D232" s="20" t="s">
        <v>200</v>
      </c>
      <c r="E232" s="20" t="s">
        <v>853</v>
      </c>
      <c r="F232" s="21" t="s">
        <v>80</v>
      </c>
      <c r="G232" s="38" t="s">
        <v>854</v>
      </c>
      <c r="H232" s="39" t="s">
        <v>534</v>
      </c>
      <c r="I232" s="39"/>
      <c r="J232" s="21" t="s">
        <v>144</v>
      </c>
      <c r="K232" s="21" t="s">
        <v>145</v>
      </c>
      <c r="L232" s="21" t="s">
        <v>203</v>
      </c>
      <c r="M232" s="21" t="s">
        <v>109</v>
      </c>
      <c r="N232" s="21" t="s">
        <v>109</v>
      </c>
      <c r="O232" s="20" t="s">
        <v>1012</v>
      </c>
      <c r="P232" s="45">
        <v>45715</v>
      </c>
      <c r="Q232" s="39" t="s">
        <v>1013</v>
      </c>
      <c r="R232" s="19">
        <v>1608.2</v>
      </c>
      <c r="S232" s="21">
        <v>0.2</v>
      </c>
      <c r="T232" s="21">
        <v>1929.8400000000001</v>
      </c>
      <c r="U232" s="44" t="s">
        <v>1014</v>
      </c>
      <c r="V232" s="22">
        <v>45715</v>
      </c>
      <c r="W232" s="54" t="s">
        <v>91</v>
      </c>
      <c r="X232" s="23"/>
      <c r="Y232" s="23" t="s">
        <v>92</v>
      </c>
      <c r="Z232" s="56" t="s">
        <v>854</v>
      </c>
      <c r="AA232" s="24">
        <v>3002</v>
      </c>
      <c r="AB232" s="19"/>
      <c r="AC232" s="46" t="s">
        <v>94</v>
      </c>
      <c r="AD232" s="15" t="e">
        <f ca="1">IF(AND($D232&lt;&gt;"",COUNTIF(OFFSET(UFS!$E$2,MATCH($D232&amp;"",UFS!$A$2:$A$175,0)-1,0,COUNTIF(UFS!$A$2:$A$175,$D232&amp;""),1),M232)&gt;0),"Valide","Invalide")</f>
        <v>#N/A</v>
      </c>
      <c r="AH232" s="15" t="str">
        <f t="shared" si="3"/>
        <v>En attente</v>
      </c>
    </row>
    <row r="233" spans="1:34" s="15" customFormat="1" ht="45" hidden="1" customHeight="1" x14ac:dyDescent="0.3">
      <c r="A233" s="42">
        <v>232</v>
      </c>
      <c r="B233" s="19" t="s">
        <v>6</v>
      </c>
      <c r="C233" s="19" t="s">
        <v>21</v>
      </c>
      <c r="D233" s="20" t="s">
        <v>200</v>
      </c>
      <c r="E233" s="20" t="s">
        <v>853</v>
      </c>
      <c r="F233" s="21" t="s">
        <v>80</v>
      </c>
      <c r="G233" s="38" t="s">
        <v>854</v>
      </c>
      <c r="H233" s="39" t="s">
        <v>534</v>
      </c>
      <c r="I233" s="39"/>
      <c r="J233" s="21" t="s">
        <v>144</v>
      </c>
      <c r="K233" s="21" t="s">
        <v>145</v>
      </c>
      <c r="L233" s="21" t="s">
        <v>203</v>
      </c>
      <c r="M233" s="21" t="s">
        <v>109</v>
      </c>
      <c r="N233" s="21" t="s">
        <v>109</v>
      </c>
      <c r="O233" s="20" t="s">
        <v>1015</v>
      </c>
      <c r="P233" s="45">
        <v>45715</v>
      </c>
      <c r="Q233" s="39" t="s">
        <v>1016</v>
      </c>
      <c r="R233" s="19">
        <v>1049.4000000000001</v>
      </c>
      <c r="S233" s="21">
        <v>0.2</v>
      </c>
      <c r="T233" s="21">
        <v>1259.2800000000002</v>
      </c>
      <c r="U233" s="44" t="s">
        <v>1017</v>
      </c>
      <c r="V233" s="22">
        <v>45715</v>
      </c>
      <c r="W233" s="54" t="s">
        <v>91</v>
      </c>
      <c r="X233" s="23"/>
      <c r="Y233" s="23" t="s">
        <v>92</v>
      </c>
      <c r="Z233" s="56" t="s">
        <v>854</v>
      </c>
      <c r="AA233" s="24">
        <v>3003</v>
      </c>
      <c r="AB233" s="19"/>
      <c r="AC233" s="46" t="s">
        <v>94</v>
      </c>
      <c r="AD233" s="15" t="e">
        <f ca="1">IF(AND($D233&lt;&gt;"",COUNTIF(OFFSET(UFS!$E$2,MATCH($D233&amp;"",UFS!$A$2:$A$175,0)-1,0,COUNTIF(UFS!$A$2:$A$175,$D233&amp;""),1),M233)&gt;0),"Valide","Invalide")</f>
        <v>#N/A</v>
      </c>
      <c r="AH233" s="15" t="str">
        <f t="shared" si="3"/>
        <v>En attente</v>
      </c>
    </row>
    <row r="234" spans="1:34" s="15" customFormat="1" ht="45" hidden="1" customHeight="1" x14ac:dyDescent="0.3">
      <c r="A234" s="42">
        <v>233</v>
      </c>
      <c r="B234" s="19" t="s">
        <v>10</v>
      </c>
      <c r="C234" s="19" t="s">
        <v>1018</v>
      </c>
      <c r="D234" s="20" t="s">
        <v>200</v>
      </c>
      <c r="E234" s="20" t="s">
        <v>96</v>
      </c>
      <c r="F234" s="21" t="s">
        <v>80</v>
      </c>
      <c r="G234" s="38" t="s">
        <v>976</v>
      </c>
      <c r="H234" s="39"/>
      <c r="I234" s="39" t="s">
        <v>977</v>
      </c>
      <c r="J234" s="21" t="s">
        <v>144</v>
      </c>
      <c r="K234" s="21" t="s">
        <v>145</v>
      </c>
      <c r="L234" s="21" t="s">
        <v>203</v>
      </c>
      <c r="M234" s="21" t="s">
        <v>109</v>
      </c>
      <c r="N234" s="21" t="s">
        <v>109</v>
      </c>
      <c r="O234" s="20" t="s">
        <v>1019</v>
      </c>
      <c r="P234" s="45">
        <v>45716</v>
      </c>
      <c r="Q234" s="39" t="s">
        <v>1020</v>
      </c>
      <c r="R234" s="19">
        <v>14825</v>
      </c>
      <c r="S234" s="21">
        <v>0.2</v>
      </c>
      <c r="T234" s="21">
        <v>17790</v>
      </c>
      <c r="U234" s="60" t="s">
        <v>1021</v>
      </c>
      <c r="V234" s="22">
        <v>45716</v>
      </c>
      <c r="W234" s="54" t="s">
        <v>91</v>
      </c>
      <c r="X234" s="23"/>
      <c r="Y234" s="23" t="s">
        <v>92</v>
      </c>
      <c r="Z234" s="56" t="s">
        <v>1022</v>
      </c>
      <c r="AA234" s="24">
        <v>211</v>
      </c>
      <c r="AB234" s="19"/>
      <c r="AC234" s="19"/>
      <c r="AD234" s="15" t="e">
        <f ca="1">IF(AND($D234&lt;&gt;"",COUNTIF(OFFSET(UFS!$E$2,MATCH($D234&amp;"",UFS!$A$2:$A$175,0)-1,0,COUNTIF(UFS!$A$2:$A$175,$D234&amp;""),1),M234)&gt;0),"Valide","Invalide")</f>
        <v>#N/A</v>
      </c>
      <c r="AH234" s="15" t="str">
        <f t="shared" si="3"/>
        <v>En attente</v>
      </c>
    </row>
    <row r="235" spans="1:34" s="15" customFormat="1" ht="45" hidden="1" customHeight="1" x14ac:dyDescent="0.3">
      <c r="A235" s="42">
        <v>234</v>
      </c>
      <c r="B235" s="19" t="s">
        <v>16</v>
      </c>
      <c r="C235" s="19" t="s">
        <v>1023</v>
      </c>
      <c r="D235" s="20" t="s">
        <v>251</v>
      </c>
      <c r="E235" s="20" t="s">
        <v>79</v>
      </c>
      <c r="F235" s="21" t="s">
        <v>80</v>
      </c>
      <c r="G235" s="38" t="s">
        <v>81</v>
      </c>
      <c r="H235" s="39"/>
      <c r="I235" s="39" t="s">
        <v>83</v>
      </c>
      <c r="J235" s="21" t="s">
        <v>144</v>
      </c>
      <c r="K235" s="21" t="s">
        <v>145</v>
      </c>
      <c r="L235" s="21" t="s">
        <v>254</v>
      </c>
      <c r="M235" s="21" t="s">
        <v>255</v>
      </c>
      <c r="N235" s="21" t="s">
        <v>256</v>
      </c>
      <c r="O235" s="38" t="s">
        <v>1024</v>
      </c>
      <c r="P235" s="45">
        <v>45719</v>
      </c>
      <c r="Q235" s="39" t="s">
        <v>1025</v>
      </c>
      <c r="R235" s="19">
        <v>7457</v>
      </c>
      <c r="S235" s="21">
        <v>0.2</v>
      </c>
      <c r="T235" s="21">
        <v>8948.4</v>
      </c>
      <c r="U235" s="44" t="s">
        <v>1026</v>
      </c>
      <c r="V235" s="22">
        <v>45719</v>
      </c>
      <c r="W235" s="54" t="s">
        <v>91</v>
      </c>
      <c r="X235" s="23"/>
      <c r="Y235" s="23" t="s">
        <v>92</v>
      </c>
      <c r="Z235" s="56"/>
      <c r="AA235" s="24">
        <v>212</v>
      </c>
      <c r="AB235" s="19"/>
      <c r="AC235" s="46" t="s">
        <v>94</v>
      </c>
      <c r="AD235" s="15" t="str">
        <f ca="1">IF(AND($D235&lt;&gt;"",COUNTIF(OFFSET(UFS!$E$2,MATCH($D235&amp;"",UFS!$A$2:$A$175,0)-1,0,COUNTIF(UFS!$A$2:$A$175,$D235&amp;""),1),M235)&gt;0),"Valide","Invalide")</f>
        <v>Valide</v>
      </c>
      <c r="AH235" s="15" t="str">
        <f t="shared" si="3"/>
        <v>En attente</v>
      </c>
    </row>
    <row r="236" spans="1:34" s="15" customFormat="1" ht="45" hidden="1" customHeight="1" x14ac:dyDescent="0.3">
      <c r="A236" s="42">
        <v>235</v>
      </c>
      <c r="B236" s="19" t="s">
        <v>24</v>
      </c>
      <c r="C236" s="19" t="s">
        <v>30</v>
      </c>
      <c r="D236" s="20" t="s">
        <v>174</v>
      </c>
      <c r="E236" s="125" t="s">
        <v>96</v>
      </c>
      <c r="F236" s="21" t="s">
        <v>80</v>
      </c>
      <c r="G236" s="38" t="s">
        <v>169</v>
      </c>
      <c r="H236" s="39"/>
      <c r="I236" s="39" t="s">
        <v>176</v>
      </c>
      <c r="J236" s="21" t="s">
        <v>124</v>
      </c>
      <c r="K236" s="21" t="s">
        <v>125</v>
      </c>
      <c r="L236" s="21" t="s">
        <v>177</v>
      </c>
      <c r="M236" s="21" t="s">
        <v>136</v>
      </c>
      <c r="N236" s="21" t="s">
        <v>102</v>
      </c>
      <c r="O236" s="20" t="s">
        <v>1027</v>
      </c>
      <c r="P236" s="45">
        <v>45715</v>
      </c>
      <c r="Q236" s="39" t="s">
        <v>1028</v>
      </c>
      <c r="R236" s="19">
        <v>6367.67</v>
      </c>
      <c r="S236" s="21">
        <v>0.1</v>
      </c>
      <c r="T236" s="21">
        <v>7004.4369999999999</v>
      </c>
      <c r="U236" s="60" t="s">
        <v>180</v>
      </c>
      <c r="V236" s="22">
        <v>45719</v>
      </c>
      <c r="W236" s="54" t="s">
        <v>91</v>
      </c>
      <c r="X236" s="23"/>
      <c r="Y236" s="23" t="s">
        <v>92</v>
      </c>
      <c r="Z236" s="56"/>
      <c r="AA236" s="24">
        <v>213</v>
      </c>
      <c r="AB236" s="19"/>
      <c r="AC236" s="46" t="s">
        <v>94</v>
      </c>
      <c r="AD236" s="15" t="str">
        <f ca="1">IF(AND($D236&lt;&gt;"",COUNTIF(OFFSET(UFS!$E$2,MATCH($D236&amp;"",UFS!$A$2:$A$175,0)-1,0,COUNTIF(UFS!$A$2:$A$175,$D236&amp;""),1),M236)&gt;0),"Valide","Invalide")</f>
        <v>Valide</v>
      </c>
      <c r="AH236" s="15" t="str">
        <f t="shared" si="3"/>
        <v>En attente</v>
      </c>
    </row>
    <row r="237" spans="1:34" s="15" customFormat="1" ht="45" hidden="1" customHeight="1" x14ac:dyDescent="0.3">
      <c r="A237" s="42">
        <v>236</v>
      </c>
      <c r="B237" s="19" t="s">
        <v>24</v>
      </c>
      <c r="C237" s="19" t="s">
        <v>36</v>
      </c>
      <c r="D237" s="20" t="s">
        <v>174</v>
      </c>
      <c r="E237" s="20" t="s">
        <v>96</v>
      </c>
      <c r="F237" s="21" t="s">
        <v>80</v>
      </c>
      <c r="G237" s="38" t="s">
        <v>1029</v>
      </c>
      <c r="H237" s="39"/>
      <c r="I237" s="39" t="s">
        <v>176</v>
      </c>
      <c r="J237" s="21" t="s">
        <v>124</v>
      </c>
      <c r="K237" s="21" t="s">
        <v>125</v>
      </c>
      <c r="L237" s="21" t="s">
        <v>177</v>
      </c>
      <c r="M237" s="21" t="s">
        <v>136</v>
      </c>
      <c r="N237" s="21" t="s">
        <v>102</v>
      </c>
      <c r="O237" s="20" t="s">
        <v>1030</v>
      </c>
      <c r="P237" s="45">
        <v>45699</v>
      </c>
      <c r="Q237" s="39" t="s">
        <v>1031</v>
      </c>
      <c r="R237" s="19">
        <v>360</v>
      </c>
      <c r="S237" s="21">
        <v>0.1</v>
      </c>
      <c r="T237" s="21">
        <v>396</v>
      </c>
      <c r="U237" s="60" t="s">
        <v>180</v>
      </c>
      <c r="V237" s="22">
        <v>45719</v>
      </c>
      <c r="W237" s="54" t="s">
        <v>91</v>
      </c>
      <c r="X237" s="23"/>
      <c r="Y237" s="23" t="s">
        <v>92</v>
      </c>
      <c r="Z237" s="56"/>
      <c r="AA237" s="24">
        <v>214</v>
      </c>
      <c r="AB237" s="19"/>
      <c r="AC237" s="46" t="s">
        <v>94</v>
      </c>
      <c r="AD237" s="15" t="str">
        <f ca="1">IF(AND($D237&lt;&gt;"",COUNTIF(OFFSET(UFS!$E$2,MATCH($D237&amp;"",UFS!$A$2:$A$175,0)-1,0,COUNTIF(UFS!$A$2:$A$175,$D237&amp;""),1),M237)&gt;0),"Valide","Invalide")</f>
        <v>Valide</v>
      </c>
      <c r="AH237" s="15" t="str">
        <f t="shared" si="3"/>
        <v>En attente</v>
      </c>
    </row>
    <row r="238" spans="1:34" s="15" customFormat="1" ht="45" hidden="1" customHeight="1" x14ac:dyDescent="0.3">
      <c r="A238" s="42">
        <v>237</v>
      </c>
      <c r="B238" s="19" t="s">
        <v>16</v>
      </c>
      <c r="C238" s="19" t="s">
        <v>28</v>
      </c>
      <c r="D238" s="20" t="s">
        <v>468</v>
      </c>
      <c r="E238" s="20" t="s">
        <v>79</v>
      </c>
      <c r="F238" s="21" t="s">
        <v>80</v>
      </c>
      <c r="G238" s="38" t="s">
        <v>182</v>
      </c>
      <c r="H238" s="39" t="s">
        <v>82</v>
      </c>
      <c r="I238" s="39" t="s">
        <v>83</v>
      </c>
      <c r="J238" s="21" t="s">
        <v>144</v>
      </c>
      <c r="K238" s="21" t="s">
        <v>145</v>
      </c>
      <c r="L238" s="21" t="s">
        <v>278</v>
      </c>
      <c r="M238" s="21" t="s">
        <v>469</v>
      </c>
      <c r="N238" s="21" t="s">
        <v>87</v>
      </c>
      <c r="O238" s="20" t="s">
        <v>1032</v>
      </c>
      <c r="P238" s="45">
        <v>45720</v>
      </c>
      <c r="Q238" s="39" t="s">
        <v>1033</v>
      </c>
      <c r="R238" s="19">
        <v>7055.68</v>
      </c>
      <c r="S238" s="21">
        <v>0.2</v>
      </c>
      <c r="T238" s="21">
        <v>8466.8160000000007</v>
      </c>
      <c r="U238" s="44" t="s">
        <v>1034</v>
      </c>
      <c r="V238" s="22">
        <v>45720</v>
      </c>
      <c r="W238" s="54" t="s">
        <v>91</v>
      </c>
      <c r="X238" s="23"/>
      <c r="Y238" s="23" t="s">
        <v>92</v>
      </c>
      <c r="Z238" s="56"/>
      <c r="AA238" s="24">
        <v>215</v>
      </c>
      <c r="AB238" s="19"/>
      <c r="AC238" s="46" t="s">
        <v>94</v>
      </c>
      <c r="AD238" s="15" t="str">
        <f ca="1">IF(AND($D238&lt;&gt;"",COUNTIF(OFFSET(UFS!$E$2,MATCH($D238&amp;"",UFS!$A$2:$A$175,0)-1,0,COUNTIF(UFS!$A$2:$A$175,$D238&amp;""),1),M238)&gt;0),"Valide","Invalide")</f>
        <v>Valide</v>
      </c>
      <c r="AH238" s="15" t="str">
        <f t="shared" si="3"/>
        <v>En attente</v>
      </c>
    </row>
    <row r="239" spans="1:34" s="15" customFormat="1" ht="45" hidden="1" customHeight="1" x14ac:dyDescent="0.3">
      <c r="A239" s="42">
        <v>238</v>
      </c>
      <c r="B239" s="19" t="s">
        <v>16</v>
      </c>
      <c r="C239" s="19" t="s">
        <v>34</v>
      </c>
      <c r="D239" s="20" t="s">
        <v>1035</v>
      </c>
      <c r="E239" s="20" t="s">
        <v>79</v>
      </c>
      <c r="F239" s="21" t="s">
        <v>80</v>
      </c>
      <c r="G239" s="38" t="s">
        <v>81</v>
      </c>
      <c r="H239" s="39" t="s">
        <v>267</v>
      </c>
      <c r="I239" s="39" t="s">
        <v>83</v>
      </c>
      <c r="J239" s="21" t="s">
        <v>183</v>
      </c>
      <c r="K239" s="21" t="s">
        <v>544</v>
      </c>
      <c r="L239" s="21" t="s">
        <v>342</v>
      </c>
      <c r="M239" s="21" t="s">
        <v>544</v>
      </c>
      <c r="N239" s="21" t="s">
        <v>271</v>
      </c>
      <c r="O239" s="20" t="s">
        <v>1036</v>
      </c>
      <c r="P239" s="45">
        <v>45714</v>
      </c>
      <c r="Q239" s="39" t="s">
        <v>1037</v>
      </c>
      <c r="R239" s="19">
        <v>21749.79</v>
      </c>
      <c r="S239" s="21">
        <v>0.2</v>
      </c>
      <c r="T239" s="21">
        <v>26099.748</v>
      </c>
      <c r="U239" s="60" t="s">
        <v>1038</v>
      </c>
      <c r="V239" s="22">
        <v>45720</v>
      </c>
      <c r="W239" s="54" t="s">
        <v>91</v>
      </c>
      <c r="X239" s="23"/>
      <c r="Y239" s="23" t="s">
        <v>92</v>
      </c>
      <c r="Z239" s="56"/>
      <c r="AA239" s="24">
        <v>216</v>
      </c>
      <c r="AB239" s="19"/>
      <c r="AC239" s="46" t="s">
        <v>94</v>
      </c>
      <c r="AD239" s="15" t="str">
        <f ca="1">IF(AND($D239&lt;&gt;"",COUNTIF(OFFSET(UFS!$E$2,MATCH($D239&amp;"",UFS!$A$2:$A$175,0)-1,0,COUNTIF(UFS!$A$2:$A$175,$D239&amp;""),1),M239)&gt;0),"Valide","Invalide")</f>
        <v>Valide</v>
      </c>
      <c r="AH239" s="15" t="str">
        <f t="shared" si="3"/>
        <v>En attente</v>
      </c>
    </row>
    <row r="240" spans="1:34" s="15" customFormat="1" ht="45" hidden="1" customHeight="1" x14ac:dyDescent="0.3">
      <c r="A240" s="42">
        <v>239</v>
      </c>
      <c r="B240" s="19" t="s">
        <v>18</v>
      </c>
      <c r="C240" s="19" t="s">
        <v>28</v>
      </c>
      <c r="D240" s="20" t="s">
        <v>200</v>
      </c>
      <c r="E240" s="20" t="s">
        <v>96</v>
      </c>
      <c r="F240" s="21" t="s">
        <v>80</v>
      </c>
      <c r="G240" s="38" t="s">
        <v>294</v>
      </c>
      <c r="H240" s="39"/>
      <c r="I240" s="39" t="s">
        <v>1039</v>
      </c>
      <c r="J240" s="21" t="s">
        <v>144</v>
      </c>
      <c r="K240" s="21" t="s">
        <v>145</v>
      </c>
      <c r="L240" s="21" t="s">
        <v>203</v>
      </c>
      <c r="M240" s="21" t="s">
        <v>109</v>
      </c>
      <c r="N240" s="21" t="s">
        <v>109</v>
      </c>
      <c r="O240" s="20" t="s">
        <v>1040</v>
      </c>
      <c r="P240" s="45">
        <v>45700</v>
      </c>
      <c r="Q240" s="39" t="s">
        <v>1041</v>
      </c>
      <c r="R240" s="53">
        <v>9190.66</v>
      </c>
      <c r="S240" s="21">
        <v>0.2</v>
      </c>
      <c r="T240" s="21">
        <v>11028.791999999999</v>
      </c>
      <c r="U240" s="60" t="s">
        <v>1042</v>
      </c>
      <c r="V240" s="22">
        <v>45720</v>
      </c>
      <c r="W240" s="54" t="s">
        <v>91</v>
      </c>
      <c r="X240" s="23"/>
      <c r="Y240" s="23" t="s">
        <v>92</v>
      </c>
      <c r="Z240" s="56"/>
      <c r="AA240" s="24">
        <v>217</v>
      </c>
      <c r="AB240" s="45">
        <v>45726</v>
      </c>
      <c r="AC240" s="46" t="s">
        <v>94</v>
      </c>
      <c r="AD240" s="15" t="e">
        <f ca="1">IF(AND($D240&lt;&gt;"",COUNTIF(OFFSET(UFS!$E$2,MATCH($D240&amp;"",UFS!$A$2:$A$175,0)-1,0,COUNTIF(UFS!$A$2:$A$175,$D240&amp;""),1),M240)&gt;0),"Valide","Invalide")</f>
        <v>#N/A</v>
      </c>
      <c r="AH240" s="15" t="str">
        <f t="shared" si="3"/>
        <v>En attente</v>
      </c>
    </row>
    <row r="241" spans="1:34" s="15" customFormat="1" ht="45" hidden="1" customHeight="1" x14ac:dyDescent="0.3">
      <c r="A241" s="42">
        <v>240</v>
      </c>
      <c r="B241" s="19" t="s">
        <v>18</v>
      </c>
      <c r="C241" s="19" t="s">
        <v>28</v>
      </c>
      <c r="D241" s="20" t="s">
        <v>200</v>
      </c>
      <c r="E241" s="20" t="s">
        <v>96</v>
      </c>
      <c r="F241" s="21" t="s">
        <v>80</v>
      </c>
      <c r="G241" s="38" t="s">
        <v>294</v>
      </c>
      <c r="H241" s="39"/>
      <c r="I241" s="39" t="s">
        <v>1039</v>
      </c>
      <c r="J241" s="21" t="s">
        <v>144</v>
      </c>
      <c r="K241" s="21" t="s">
        <v>145</v>
      </c>
      <c r="L241" s="21" t="s">
        <v>203</v>
      </c>
      <c r="M241" s="21" t="s">
        <v>109</v>
      </c>
      <c r="N241" s="21" t="s">
        <v>109</v>
      </c>
      <c r="O241" s="20" t="s">
        <v>1043</v>
      </c>
      <c r="P241" s="45">
        <v>45700</v>
      </c>
      <c r="Q241" s="39" t="s">
        <v>1044</v>
      </c>
      <c r="R241" s="52">
        <v>4091.09</v>
      </c>
      <c r="S241" s="21">
        <v>0.2</v>
      </c>
      <c r="T241" s="21">
        <v>4909.308</v>
      </c>
      <c r="U241" s="60" t="s">
        <v>1045</v>
      </c>
      <c r="V241" s="22">
        <v>45720</v>
      </c>
      <c r="W241" s="54" t="s">
        <v>91</v>
      </c>
      <c r="X241" s="23"/>
      <c r="Y241" s="23" t="s">
        <v>92</v>
      </c>
      <c r="Z241" s="56"/>
      <c r="AA241" s="24">
        <v>218</v>
      </c>
      <c r="AB241" s="45">
        <v>45726</v>
      </c>
      <c r="AC241" s="19"/>
      <c r="AD241" s="15" t="e">
        <f ca="1">IF(AND($D241&lt;&gt;"",COUNTIF(OFFSET(UFS!$E$2,MATCH($D241&amp;"",UFS!$A$2:$A$175,0)-1,0,COUNTIF(UFS!$A$2:$A$175,$D241&amp;""),1),M241)&gt;0),"Valide","Invalide")</f>
        <v>#N/A</v>
      </c>
      <c r="AH241" s="15" t="str">
        <f>IF(T241&lt;&gt;"","En attente","")</f>
        <v>En attente</v>
      </c>
    </row>
    <row r="242" spans="1:34" s="15" customFormat="1" ht="45" hidden="1" customHeight="1" x14ac:dyDescent="0.3">
      <c r="A242" s="42">
        <v>241</v>
      </c>
      <c r="B242" s="19" t="s">
        <v>18</v>
      </c>
      <c r="C242" s="19" t="s">
        <v>28</v>
      </c>
      <c r="D242" s="20" t="s">
        <v>200</v>
      </c>
      <c r="E242" s="20" t="s">
        <v>96</v>
      </c>
      <c r="F242" s="21" t="s">
        <v>80</v>
      </c>
      <c r="G242" s="38" t="s">
        <v>294</v>
      </c>
      <c r="H242" s="39"/>
      <c r="I242" s="39" t="s">
        <v>1039</v>
      </c>
      <c r="J242" s="21" t="s">
        <v>144</v>
      </c>
      <c r="K242" s="21" t="s">
        <v>145</v>
      </c>
      <c r="L242" s="21" t="s">
        <v>203</v>
      </c>
      <c r="M242" s="21" t="s">
        <v>109</v>
      </c>
      <c r="N242" s="21" t="s">
        <v>109</v>
      </c>
      <c r="O242" s="20" t="s">
        <v>1046</v>
      </c>
      <c r="P242" s="45">
        <v>45700</v>
      </c>
      <c r="Q242" s="39" t="s">
        <v>1047</v>
      </c>
      <c r="R242" s="53">
        <v>6788.3</v>
      </c>
      <c r="S242" s="21">
        <v>0.2</v>
      </c>
      <c r="T242" s="21">
        <v>8145.96</v>
      </c>
      <c r="U242" s="60" t="s">
        <v>1048</v>
      </c>
      <c r="V242" s="22">
        <v>45720</v>
      </c>
      <c r="W242" s="54" t="s">
        <v>91</v>
      </c>
      <c r="X242" s="23"/>
      <c r="Y242" s="23" t="s">
        <v>92</v>
      </c>
      <c r="Z242" s="56"/>
      <c r="AA242" s="24">
        <v>219</v>
      </c>
      <c r="AB242" s="45">
        <v>45726</v>
      </c>
      <c r="AC242" s="46" t="s">
        <v>94</v>
      </c>
      <c r="AD242" s="15" t="e">
        <f ca="1">IF(AND($D242&lt;&gt;"",COUNTIF(OFFSET(UFS!$E$2,MATCH($D242&amp;"",UFS!$A$2:$A$175,0)-1,0,COUNTIF(UFS!$A$2:$A$175,$D242&amp;""),1),M242)&gt;0),"Valide","Invalide")</f>
        <v>#N/A</v>
      </c>
      <c r="AH242" s="15" t="str">
        <f t="shared" si="3"/>
        <v>En attente</v>
      </c>
    </row>
    <row r="243" spans="1:34" s="15" customFormat="1" ht="45" hidden="1" customHeight="1" x14ac:dyDescent="0.3">
      <c r="A243" s="42">
        <v>242</v>
      </c>
      <c r="B243" s="19" t="s">
        <v>18</v>
      </c>
      <c r="C243" s="19" t="s">
        <v>5</v>
      </c>
      <c r="D243" s="20" t="s">
        <v>200</v>
      </c>
      <c r="E243" s="20" t="s">
        <v>96</v>
      </c>
      <c r="F243" s="21" t="s">
        <v>80</v>
      </c>
      <c r="G243" s="38" t="s">
        <v>288</v>
      </c>
      <c r="H243" s="39"/>
      <c r="I243" s="39" t="s">
        <v>1039</v>
      </c>
      <c r="J243" s="21" t="s">
        <v>144</v>
      </c>
      <c r="K243" s="21" t="s">
        <v>145</v>
      </c>
      <c r="L243" s="21" t="s">
        <v>203</v>
      </c>
      <c r="M243" s="21" t="s">
        <v>109</v>
      </c>
      <c r="N243" s="21" t="s">
        <v>109</v>
      </c>
      <c r="O243" s="20" t="s">
        <v>1049</v>
      </c>
      <c r="P243" s="45">
        <v>45713</v>
      </c>
      <c r="Q243" s="39" t="s">
        <v>1050</v>
      </c>
      <c r="R243" s="53">
        <v>5900.26</v>
      </c>
      <c r="S243" s="21">
        <v>0.2</v>
      </c>
      <c r="T243" s="21">
        <v>7080.3119999999999</v>
      </c>
      <c r="U243" s="60" t="s">
        <v>1051</v>
      </c>
      <c r="V243" s="22">
        <v>45720</v>
      </c>
      <c r="W243" s="54" t="s">
        <v>91</v>
      </c>
      <c r="X243" s="23"/>
      <c r="Y243" s="23" t="s">
        <v>92</v>
      </c>
      <c r="Z243" s="66"/>
      <c r="AA243" s="24">
        <v>221</v>
      </c>
      <c r="AB243" s="45">
        <v>45721</v>
      </c>
      <c r="AC243" s="46" t="s">
        <v>94</v>
      </c>
      <c r="AD243" s="15" t="e">
        <f ca="1">IF(AND($D243&lt;&gt;"",COUNTIF(OFFSET(UFS!$E$2,MATCH($D243&amp;"",UFS!$A$2:$A$175,0)-1,0,COUNTIF(UFS!$A$2:$A$175,$D243&amp;""),1),M243)&gt;0),"Valide","Invalide")</f>
        <v>#N/A</v>
      </c>
      <c r="AH243" s="15" t="str">
        <f t="shared" si="3"/>
        <v>En attente</v>
      </c>
    </row>
    <row r="244" spans="1:34" s="15" customFormat="1" ht="45" hidden="1" customHeight="1" x14ac:dyDescent="0.3">
      <c r="A244" s="42">
        <v>243</v>
      </c>
      <c r="B244" s="19" t="s">
        <v>18</v>
      </c>
      <c r="C244" s="19" t="s">
        <v>5</v>
      </c>
      <c r="D244" s="20" t="s">
        <v>200</v>
      </c>
      <c r="E244" s="20" t="s">
        <v>96</v>
      </c>
      <c r="F244" s="21" t="s">
        <v>80</v>
      </c>
      <c r="G244" s="38" t="s">
        <v>288</v>
      </c>
      <c r="H244" s="39"/>
      <c r="I244" s="39" t="s">
        <v>1039</v>
      </c>
      <c r="J244" s="21" t="s">
        <v>144</v>
      </c>
      <c r="K244" s="21" t="s">
        <v>145</v>
      </c>
      <c r="L244" s="21" t="s">
        <v>203</v>
      </c>
      <c r="M244" s="21" t="s">
        <v>109</v>
      </c>
      <c r="N244" s="21" t="s">
        <v>109</v>
      </c>
      <c r="O244" s="20" t="s">
        <v>1052</v>
      </c>
      <c r="P244" s="45">
        <v>45713</v>
      </c>
      <c r="Q244" s="39" t="s">
        <v>1053</v>
      </c>
      <c r="R244" s="53">
        <v>8054.93</v>
      </c>
      <c r="S244" s="21">
        <v>0.2</v>
      </c>
      <c r="T244" s="21">
        <v>9665.9160000000011</v>
      </c>
      <c r="U244" s="60" t="s">
        <v>1054</v>
      </c>
      <c r="V244" s="22">
        <v>45720</v>
      </c>
      <c r="W244" s="54" t="s">
        <v>91</v>
      </c>
      <c r="X244" s="23"/>
      <c r="Y244" s="23" t="s">
        <v>92</v>
      </c>
      <c r="Z244" s="66"/>
      <c r="AA244" s="24">
        <v>222</v>
      </c>
      <c r="AB244" s="45">
        <v>45721</v>
      </c>
      <c r="AC244" s="46" t="s">
        <v>94</v>
      </c>
      <c r="AD244" s="15" t="e">
        <f ca="1">IF(AND($D244&lt;&gt;"",COUNTIF(OFFSET(UFS!$E$2,MATCH($D244&amp;"",UFS!$A$2:$A$175,0)-1,0,COUNTIF(UFS!$A$2:$A$175,$D244&amp;""),1),M244)&gt;0),"Valide","Invalide")</f>
        <v>#N/A</v>
      </c>
      <c r="AH244" s="15" t="str">
        <f t="shared" si="3"/>
        <v>En attente</v>
      </c>
    </row>
    <row r="245" spans="1:34" s="15" customFormat="1" ht="45" hidden="1" customHeight="1" x14ac:dyDescent="0.3">
      <c r="A245" s="42">
        <v>244</v>
      </c>
      <c r="B245" s="19" t="s">
        <v>18</v>
      </c>
      <c r="C245" s="19" t="s">
        <v>5</v>
      </c>
      <c r="D245" s="20" t="s">
        <v>200</v>
      </c>
      <c r="E245" s="20" t="s">
        <v>96</v>
      </c>
      <c r="F245" s="21" t="s">
        <v>80</v>
      </c>
      <c r="G245" s="38" t="s">
        <v>288</v>
      </c>
      <c r="H245" s="39"/>
      <c r="I245" s="39" t="s">
        <v>1039</v>
      </c>
      <c r="J245" s="21" t="s">
        <v>144</v>
      </c>
      <c r="K245" s="21" t="s">
        <v>145</v>
      </c>
      <c r="L245" s="21" t="s">
        <v>203</v>
      </c>
      <c r="M245" s="21" t="s">
        <v>109</v>
      </c>
      <c r="N245" s="21" t="s">
        <v>109</v>
      </c>
      <c r="O245" s="20" t="s">
        <v>1055</v>
      </c>
      <c r="P245" s="45">
        <v>45713</v>
      </c>
      <c r="Q245" s="39" t="s">
        <v>1056</v>
      </c>
      <c r="R245" s="52">
        <v>5382.25</v>
      </c>
      <c r="S245" s="21">
        <v>0.2</v>
      </c>
      <c r="T245" s="21">
        <v>6458.7</v>
      </c>
      <c r="U245" s="60" t="s">
        <v>1057</v>
      </c>
      <c r="V245" s="22">
        <v>45720</v>
      </c>
      <c r="W245" s="54" t="s">
        <v>91</v>
      </c>
      <c r="X245" s="23"/>
      <c r="Y245" s="23" t="s">
        <v>92</v>
      </c>
      <c r="Z245" s="66"/>
      <c r="AA245" s="24">
        <v>223</v>
      </c>
      <c r="AB245" s="45">
        <v>45721</v>
      </c>
      <c r="AC245" s="46" t="s">
        <v>94</v>
      </c>
      <c r="AD245" s="15" t="e">
        <f ca="1">IF(AND($D245&lt;&gt;"",COUNTIF(OFFSET(UFS!$E$2,MATCH($D245&amp;"",UFS!$A$2:$A$175,0)-1,0,COUNTIF(UFS!$A$2:$A$175,$D245&amp;""),1),M245)&gt;0),"Valide","Invalide")</f>
        <v>#N/A</v>
      </c>
      <c r="AH245" s="15" t="str">
        <f t="shared" si="3"/>
        <v>En attente</v>
      </c>
    </row>
    <row r="246" spans="1:34" s="15" customFormat="1" ht="45" hidden="1" customHeight="1" x14ac:dyDescent="0.3">
      <c r="A246" s="42">
        <v>245</v>
      </c>
      <c r="B246" s="19" t="s">
        <v>18</v>
      </c>
      <c r="C246" s="19" t="s">
        <v>15</v>
      </c>
      <c r="D246" s="20" t="s">
        <v>200</v>
      </c>
      <c r="E246" s="20" t="s">
        <v>96</v>
      </c>
      <c r="F246" s="21" t="s">
        <v>80</v>
      </c>
      <c r="G246" s="38" t="s">
        <v>1029</v>
      </c>
      <c r="H246" s="39"/>
      <c r="I246" s="39" t="s">
        <v>1039</v>
      </c>
      <c r="J246" s="21" t="s">
        <v>144</v>
      </c>
      <c r="K246" s="21" t="s">
        <v>145</v>
      </c>
      <c r="L246" s="21" t="s">
        <v>203</v>
      </c>
      <c r="M246" s="21" t="s">
        <v>109</v>
      </c>
      <c r="N246" s="21" t="s">
        <v>109</v>
      </c>
      <c r="O246" s="20" t="s">
        <v>1058</v>
      </c>
      <c r="P246" s="45">
        <v>45587</v>
      </c>
      <c r="Q246" s="39" t="s">
        <v>1059</v>
      </c>
      <c r="R246" s="53">
        <v>8060.33</v>
      </c>
      <c r="S246" s="21">
        <v>0.2</v>
      </c>
      <c r="T246" s="21">
        <v>9672.3960000000006</v>
      </c>
      <c r="U246" s="44" t="s">
        <v>1060</v>
      </c>
      <c r="V246" s="22">
        <v>45720</v>
      </c>
      <c r="W246" s="54" t="s">
        <v>91</v>
      </c>
      <c r="X246" s="23"/>
      <c r="Y246" s="23" t="s">
        <v>92</v>
      </c>
      <c r="Z246" s="66"/>
      <c r="AA246" s="24">
        <v>224</v>
      </c>
      <c r="AB246" s="45">
        <v>45726</v>
      </c>
      <c r="AC246" s="46" t="s">
        <v>94</v>
      </c>
      <c r="AD246" s="15" t="e">
        <f ca="1">IF(AND($D246&lt;&gt;"",COUNTIF(OFFSET(UFS!$E$2,MATCH($D246&amp;"",UFS!$A$2:$A$175,0)-1,0,COUNTIF(UFS!$A$2:$A$175,$D246&amp;""),1),M246)&gt;0),"Valide","Invalide")</f>
        <v>#N/A</v>
      </c>
      <c r="AH246" s="15" t="str">
        <f t="shared" si="3"/>
        <v>En attente</v>
      </c>
    </row>
    <row r="247" spans="1:34" s="15" customFormat="1" ht="45" hidden="1" customHeight="1" x14ac:dyDescent="0.3">
      <c r="A247" s="42">
        <v>246</v>
      </c>
      <c r="B247" s="19" t="s">
        <v>18</v>
      </c>
      <c r="C247" s="19" t="s">
        <v>15</v>
      </c>
      <c r="D247" s="20" t="s">
        <v>200</v>
      </c>
      <c r="E247" s="20" t="s">
        <v>96</v>
      </c>
      <c r="F247" s="21" t="s">
        <v>80</v>
      </c>
      <c r="G247" s="38" t="s">
        <v>1029</v>
      </c>
      <c r="H247" s="39"/>
      <c r="I247" s="39" t="s">
        <v>1039</v>
      </c>
      <c r="J247" s="21" t="s">
        <v>144</v>
      </c>
      <c r="K247" s="21" t="s">
        <v>145</v>
      </c>
      <c r="L247" s="21" t="s">
        <v>203</v>
      </c>
      <c r="M247" s="21" t="s">
        <v>109</v>
      </c>
      <c r="N247" s="21" t="s">
        <v>109</v>
      </c>
      <c r="O247" s="20" t="s">
        <v>1061</v>
      </c>
      <c r="P247" s="45">
        <v>45589</v>
      </c>
      <c r="Q247" s="39" t="s">
        <v>1062</v>
      </c>
      <c r="R247" s="53">
        <v>8760.34</v>
      </c>
      <c r="S247" s="21">
        <v>0.2</v>
      </c>
      <c r="T247" s="21">
        <v>10512.407999999999</v>
      </c>
      <c r="U247" s="60" t="s">
        <v>1063</v>
      </c>
      <c r="V247" s="22">
        <v>45720</v>
      </c>
      <c r="W247" s="54" t="s">
        <v>91</v>
      </c>
      <c r="X247" s="23"/>
      <c r="Y247" s="23" t="s">
        <v>92</v>
      </c>
      <c r="Z247" s="66"/>
      <c r="AA247" s="24">
        <v>225</v>
      </c>
      <c r="AB247" s="45">
        <v>45726</v>
      </c>
      <c r="AC247" s="46" t="s">
        <v>94</v>
      </c>
      <c r="AD247" s="15" t="e">
        <f ca="1">IF(AND($D247&lt;&gt;"",COUNTIF(OFFSET(UFS!$E$2,MATCH($D247&amp;"",UFS!$A$2:$A$175,0)-1,0,COUNTIF(UFS!$A$2:$A$175,$D247&amp;""),1),M247)&gt;0),"Valide","Invalide")</f>
        <v>#N/A</v>
      </c>
      <c r="AH247" s="15" t="str">
        <f t="shared" si="3"/>
        <v>En attente</v>
      </c>
    </row>
    <row r="248" spans="1:34" s="15" customFormat="1" ht="45" hidden="1" customHeight="1" x14ac:dyDescent="0.3">
      <c r="A248" s="42">
        <v>247</v>
      </c>
      <c r="B248" s="19" t="s">
        <v>18</v>
      </c>
      <c r="C248" s="19" t="s">
        <v>15</v>
      </c>
      <c r="D248" s="20" t="s">
        <v>200</v>
      </c>
      <c r="E248" s="20" t="s">
        <v>96</v>
      </c>
      <c r="F248" s="21" t="s">
        <v>80</v>
      </c>
      <c r="G248" s="38" t="s">
        <v>1029</v>
      </c>
      <c r="H248" s="39"/>
      <c r="I248" s="39" t="s">
        <v>1039</v>
      </c>
      <c r="J248" s="21" t="s">
        <v>144</v>
      </c>
      <c r="K248" s="21" t="s">
        <v>145</v>
      </c>
      <c r="L248" s="21" t="s">
        <v>203</v>
      </c>
      <c r="M248" s="21" t="s">
        <v>109</v>
      </c>
      <c r="N248" s="21" t="s">
        <v>109</v>
      </c>
      <c r="O248" s="20" t="s">
        <v>1064</v>
      </c>
      <c r="P248" s="45">
        <v>45589</v>
      </c>
      <c r="Q248" s="39" t="s">
        <v>1065</v>
      </c>
      <c r="R248" s="53">
        <v>7594.13</v>
      </c>
      <c r="S248" s="21">
        <v>0.2</v>
      </c>
      <c r="T248" s="21">
        <v>9112.9560000000001</v>
      </c>
      <c r="U248" s="60" t="s">
        <v>1066</v>
      </c>
      <c r="V248" s="22">
        <v>45720</v>
      </c>
      <c r="W248" s="54" t="s">
        <v>91</v>
      </c>
      <c r="X248" s="23"/>
      <c r="Y248" s="23" t="s">
        <v>92</v>
      </c>
      <c r="Z248" s="66"/>
      <c r="AA248" s="24">
        <v>226</v>
      </c>
      <c r="AB248" s="45">
        <v>45726</v>
      </c>
      <c r="AC248" s="46" t="s">
        <v>94</v>
      </c>
      <c r="AD248" s="15" t="e">
        <f ca="1">IF(AND($D248&lt;&gt;"",COUNTIF(OFFSET(UFS!$E$2,MATCH($D248&amp;"",UFS!$A$2:$A$175,0)-1,0,COUNTIF(UFS!$A$2:$A$175,$D248&amp;""),1),M248)&gt;0),"Valide","Invalide")</f>
        <v>#N/A</v>
      </c>
      <c r="AH248" s="15" t="str">
        <f t="shared" si="3"/>
        <v>En attente</v>
      </c>
    </row>
    <row r="249" spans="1:34" s="15" customFormat="1" ht="45" hidden="1" customHeight="1" x14ac:dyDescent="0.3">
      <c r="A249" s="42">
        <v>248</v>
      </c>
      <c r="B249" s="19" t="s">
        <v>709</v>
      </c>
      <c r="C249" s="19" t="s">
        <v>23</v>
      </c>
      <c r="D249" s="20" t="s">
        <v>260</v>
      </c>
      <c r="E249" s="20" t="s">
        <v>79</v>
      </c>
      <c r="F249" s="21" t="s">
        <v>80</v>
      </c>
      <c r="G249" s="38" t="s">
        <v>241</v>
      </c>
      <c r="H249" s="39" t="s">
        <v>643</v>
      </c>
      <c r="I249" s="39" t="s">
        <v>644</v>
      </c>
      <c r="J249" s="21" t="s">
        <v>84</v>
      </c>
      <c r="K249" s="21" t="s">
        <v>113</v>
      </c>
      <c r="L249" s="21" t="s">
        <v>86</v>
      </c>
      <c r="M249" s="21" t="s">
        <v>109</v>
      </c>
      <c r="N249" s="21" t="s">
        <v>109</v>
      </c>
      <c r="O249" s="20" t="s">
        <v>1067</v>
      </c>
      <c r="P249" s="45">
        <v>45721</v>
      </c>
      <c r="Q249" s="39" t="s">
        <v>1068</v>
      </c>
      <c r="R249" s="19">
        <v>707.5</v>
      </c>
      <c r="S249" s="21">
        <v>0.1</v>
      </c>
      <c r="T249" s="21">
        <v>778.25</v>
      </c>
      <c r="U249" s="60" t="s">
        <v>714</v>
      </c>
      <c r="V249" s="22">
        <v>45722</v>
      </c>
      <c r="W249" s="54" t="s">
        <v>91</v>
      </c>
      <c r="X249" s="23"/>
      <c r="Y249" s="23" t="s">
        <v>92</v>
      </c>
      <c r="Z249" s="56" t="s">
        <v>1069</v>
      </c>
      <c r="AA249" s="24">
        <v>227</v>
      </c>
      <c r="AB249" s="19"/>
      <c r="AC249" s="19"/>
      <c r="AD249" s="15" t="str">
        <f ca="1">IF(AND($D249&lt;&gt;"",COUNTIF(OFFSET(UFS!$E$2,MATCH($D249&amp;"",UFS!$A$2:$A$175,0)-1,0,COUNTIF(UFS!$A$2:$A$175,$D249&amp;""),1),M249)&gt;0),"Valide","Invalide")</f>
        <v>Valide</v>
      </c>
      <c r="AH249" s="15" t="str">
        <f t="shared" si="3"/>
        <v>En attente</v>
      </c>
    </row>
    <row r="250" spans="1:34" s="15" customFormat="1" ht="45" hidden="1" customHeight="1" x14ac:dyDescent="0.3">
      <c r="A250" s="42">
        <v>249</v>
      </c>
      <c r="B250" s="19" t="s">
        <v>20</v>
      </c>
      <c r="C250" s="19" t="s">
        <v>37</v>
      </c>
      <c r="D250" s="20" t="s">
        <v>123</v>
      </c>
      <c r="E250" s="20" t="s">
        <v>79</v>
      </c>
      <c r="F250" s="21" t="s">
        <v>80</v>
      </c>
      <c r="G250" s="38" t="s">
        <v>241</v>
      </c>
      <c r="H250" s="39" t="s">
        <v>367</v>
      </c>
      <c r="I250" s="39" t="s">
        <v>368</v>
      </c>
      <c r="J250" s="21" t="s">
        <v>124</v>
      </c>
      <c r="K250" s="21" t="s">
        <v>125</v>
      </c>
      <c r="L250" s="21" t="s">
        <v>126</v>
      </c>
      <c r="M250" s="21" t="s">
        <v>109</v>
      </c>
      <c r="N250" s="21" t="s">
        <v>109</v>
      </c>
      <c r="O250" s="20" t="s">
        <v>1070</v>
      </c>
      <c r="P250" s="45">
        <v>45692</v>
      </c>
      <c r="Q250" s="39" t="s">
        <v>1071</v>
      </c>
      <c r="R250" s="19">
        <v>90</v>
      </c>
      <c r="S250" s="21">
        <v>0.1</v>
      </c>
      <c r="T250" s="21">
        <v>99</v>
      </c>
      <c r="U250" s="44" t="s">
        <v>371</v>
      </c>
      <c r="V250" s="22">
        <v>45722</v>
      </c>
      <c r="W250" s="54" t="s">
        <v>91</v>
      </c>
      <c r="X250" s="23"/>
      <c r="Y250" s="23" t="s">
        <v>92</v>
      </c>
      <c r="Z250" s="56" t="s">
        <v>928</v>
      </c>
      <c r="AA250" s="24">
        <v>228</v>
      </c>
      <c r="AB250" s="19"/>
      <c r="AC250" s="46" t="s">
        <v>94</v>
      </c>
      <c r="AD250" s="15" t="str">
        <f ca="1">IF(AND($D250&lt;&gt;"",COUNTIF(OFFSET(UFS!$E$2,MATCH($D250&amp;"",UFS!$A$2:$A$175,0)-1,0,COUNTIF(UFS!$A$2:$A$175,$D250&amp;""),1),M250)&gt;0),"Valide","Invalide")</f>
        <v>Valide</v>
      </c>
      <c r="AH250" s="15" t="str">
        <f t="shared" si="3"/>
        <v>En attente</v>
      </c>
    </row>
    <row r="251" spans="1:34" s="15" customFormat="1" ht="45" hidden="1" customHeight="1" x14ac:dyDescent="0.3">
      <c r="A251" s="42">
        <v>250</v>
      </c>
      <c r="B251" s="19" t="s">
        <v>20</v>
      </c>
      <c r="C251" s="19" t="s">
        <v>37</v>
      </c>
      <c r="D251" s="20" t="s">
        <v>260</v>
      </c>
      <c r="E251" s="20" t="s">
        <v>79</v>
      </c>
      <c r="F251" s="21" t="s">
        <v>80</v>
      </c>
      <c r="G251" s="38" t="s">
        <v>241</v>
      </c>
      <c r="H251" s="39" t="s">
        <v>367</v>
      </c>
      <c r="I251" s="39" t="s">
        <v>368</v>
      </c>
      <c r="J251" s="21" t="s">
        <v>84</v>
      </c>
      <c r="K251" s="21" t="s">
        <v>113</v>
      </c>
      <c r="L251" s="21" t="s">
        <v>86</v>
      </c>
      <c r="M251" s="21" t="s">
        <v>109</v>
      </c>
      <c r="N251" s="21" t="s">
        <v>109</v>
      </c>
      <c r="O251" s="20" t="s">
        <v>1072</v>
      </c>
      <c r="P251" s="45">
        <v>45692</v>
      </c>
      <c r="Q251" s="39" t="s">
        <v>1073</v>
      </c>
      <c r="R251" s="19">
        <v>90</v>
      </c>
      <c r="S251" s="21">
        <v>0.1</v>
      </c>
      <c r="T251" s="21">
        <v>99</v>
      </c>
      <c r="U251" s="60" t="s">
        <v>371</v>
      </c>
      <c r="V251" s="22">
        <v>45722</v>
      </c>
      <c r="W251" s="54" t="s">
        <v>91</v>
      </c>
      <c r="X251" s="23"/>
      <c r="Y251" s="23" t="s">
        <v>92</v>
      </c>
      <c r="Z251" s="56"/>
      <c r="AA251" s="24">
        <v>229</v>
      </c>
      <c r="AB251" s="19"/>
      <c r="AC251" s="46" t="s">
        <v>94</v>
      </c>
      <c r="AD251" s="15" t="str">
        <f ca="1">IF(AND($D251&lt;&gt;"",COUNTIF(OFFSET(UFS!$E$2,MATCH($D251&amp;"",UFS!$A$2:$A$175,0)-1,0,COUNTIF(UFS!$A$2:$A$175,$D251&amp;""),1),M251)&gt;0),"Valide","Invalide")</f>
        <v>Valide</v>
      </c>
      <c r="AH251" s="15" t="str">
        <f t="shared" si="3"/>
        <v>En attente</v>
      </c>
    </row>
    <row r="252" spans="1:34" s="15" customFormat="1" ht="45" hidden="1" customHeight="1" x14ac:dyDescent="0.3">
      <c r="A252" s="42">
        <v>251</v>
      </c>
      <c r="B252" s="19" t="s">
        <v>20</v>
      </c>
      <c r="C252" s="19" t="s">
        <v>37</v>
      </c>
      <c r="D252" s="20" t="s">
        <v>260</v>
      </c>
      <c r="E252" s="20" t="s">
        <v>79</v>
      </c>
      <c r="F252" s="21" t="s">
        <v>80</v>
      </c>
      <c r="G252" s="38" t="s">
        <v>241</v>
      </c>
      <c r="H252" s="39" t="s">
        <v>367</v>
      </c>
      <c r="I252" s="39" t="s">
        <v>368</v>
      </c>
      <c r="J252" s="21" t="s">
        <v>84</v>
      </c>
      <c r="K252" s="21" t="s">
        <v>113</v>
      </c>
      <c r="L252" s="21" t="s">
        <v>86</v>
      </c>
      <c r="M252" s="21" t="s">
        <v>109</v>
      </c>
      <c r="N252" s="21" t="s">
        <v>109</v>
      </c>
      <c r="O252" s="20" t="s">
        <v>1074</v>
      </c>
      <c r="P252" s="45">
        <v>45698</v>
      </c>
      <c r="Q252" s="39" t="s">
        <v>1075</v>
      </c>
      <c r="R252" s="19">
        <v>135</v>
      </c>
      <c r="S252" s="21">
        <v>0.1</v>
      </c>
      <c r="T252" s="21">
        <v>148.5</v>
      </c>
      <c r="U252" s="60" t="s">
        <v>371</v>
      </c>
      <c r="V252" s="22">
        <v>45722</v>
      </c>
      <c r="W252" s="54" t="s">
        <v>91</v>
      </c>
      <c r="X252" s="23"/>
      <c r="Y252" s="23" t="s">
        <v>92</v>
      </c>
      <c r="Z252" s="56" t="s">
        <v>928</v>
      </c>
      <c r="AA252" s="24">
        <v>230</v>
      </c>
      <c r="AB252" s="19"/>
      <c r="AC252" s="46" t="s">
        <v>94</v>
      </c>
      <c r="AD252" s="15" t="str">
        <f ca="1">IF(AND($D252&lt;&gt;"",COUNTIF(OFFSET(UFS!$E$2,MATCH($D252&amp;"",UFS!$A$2:$A$175,0)-1,0,COUNTIF(UFS!$A$2:$A$175,$D252&amp;""),1),M252)&gt;0),"Valide","Invalide")</f>
        <v>Valide</v>
      </c>
      <c r="AH252" s="15" t="str">
        <f t="shared" si="3"/>
        <v>En attente</v>
      </c>
    </row>
    <row r="253" spans="1:34" s="15" customFormat="1" ht="45" hidden="1" customHeight="1" x14ac:dyDescent="0.3">
      <c r="A253" s="42">
        <v>252</v>
      </c>
      <c r="B253" s="19" t="s">
        <v>26</v>
      </c>
      <c r="C253" s="19" t="s">
        <v>34</v>
      </c>
      <c r="D253" s="20" t="s">
        <v>1076</v>
      </c>
      <c r="E253" s="20" t="s">
        <v>79</v>
      </c>
      <c r="F253" s="21" t="s">
        <v>80</v>
      </c>
      <c r="G253" s="38" t="s">
        <v>81</v>
      </c>
      <c r="H253" s="39" t="s">
        <v>267</v>
      </c>
      <c r="I253" s="39" t="s">
        <v>83</v>
      </c>
      <c r="J253" s="21" t="s">
        <v>144</v>
      </c>
      <c r="K253" s="21" t="s">
        <v>145</v>
      </c>
      <c r="L253" s="21" t="s">
        <v>120</v>
      </c>
      <c r="M253" s="21" t="s">
        <v>1077</v>
      </c>
      <c r="N253" s="21" t="s">
        <v>165</v>
      </c>
      <c r="O253" s="20" t="s">
        <v>1078</v>
      </c>
      <c r="P253" s="45">
        <v>45677</v>
      </c>
      <c r="Q253" s="39" t="s">
        <v>1079</v>
      </c>
      <c r="R253" s="19">
        <v>10784.86</v>
      </c>
      <c r="S253" s="21">
        <v>0.2</v>
      </c>
      <c r="T253" s="21">
        <v>12941.832</v>
      </c>
      <c r="U253" s="60" t="s">
        <v>1080</v>
      </c>
      <c r="V253" s="22">
        <v>45722</v>
      </c>
      <c r="W253" s="54" t="s">
        <v>91</v>
      </c>
      <c r="X253" s="23"/>
      <c r="Y253" s="23" t="s">
        <v>376</v>
      </c>
      <c r="Z253" s="56" t="s">
        <v>1081</v>
      </c>
      <c r="AA253" s="24"/>
      <c r="AB253" s="19"/>
      <c r="AC253" s="19"/>
      <c r="AD253" s="15" t="str">
        <f ca="1">IF(AND($D253&lt;&gt;"",COUNTIF(OFFSET(UFS!$E$2,MATCH($D253&amp;"",UFS!$A$2:$A$175,0)-1,0,COUNTIF(UFS!$A$2:$A$175,$D253&amp;""),1),M253)&gt;0),"Valide","Invalide")</f>
        <v>Valide</v>
      </c>
      <c r="AH253" s="15" t="str">
        <f t="shared" si="3"/>
        <v>En attente</v>
      </c>
    </row>
    <row r="254" spans="1:34" s="15" customFormat="1" ht="45" hidden="1" customHeight="1" x14ac:dyDescent="0.3">
      <c r="A254" s="42">
        <v>253</v>
      </c>
      <c r="B254" s="19" t="s">
        <v>26</v>
      </c>
      <c r="C254" s="19" t="s">
        <v>19</v>
      </c>
      <c r="D254" s="20" t="s">
        <v>516</v>
      </c>
      <c r="E254" s="20" t="s">
        <v>79</v>
      </c>
      <c r="F254" s="21" t="s">
        <v>80</v>
      </c>
      <c r="G254" s="38" t="s">
        <v>81</v>
      </c>
      <c r="H254" s="39" t="s">
        <v>211</v>
      </c>
      <c r="I254" s="39" t="s">
        <v>83</v>
      </c>
      <c r="J254" s="21" t="s">
        <v>497</v>
      </c>
      <c r="K254" s="21" t="s">
        <v>498</v>
      </c>
      <c r="L254" s="21" t="s">
        <v>499</v>
      </c>
      <c r="M254" s="21" t="s">
        <v>498</v>
      </c>
      <c r="N254" s="21" t="s">
        <v>151</v>
      </c>
      <c r="O254" s="20" t="s">
        <v>1082</v>
      </c>
      <c r="P254" s="45">
        <v>45708</v>
      </c>
      <c r="Q254" s="39" t="s">
        <v>1083</v>
      </c>
      <c r="R254" s="19">
        <v>5597.46</v>
      </c>
      <c r="S254" s="21">
        <v>0.2</v>
      </c>
      <c r="T254" s="21">
        <v>6716.9520000000002</v>
      </c>
      <c r="U254" s="60" t="s">
        <v>1084</v>
      </c>
      <c r="V254" s="22">
        <v>45722</v>
      </c>
      <c r="W254" s="54" t="s">
        <v>91</v>
      </c>
      <c r="X254" s="23"/>
      <c r="Y254" s="23" t="s">
        <v>92</v>
      </c>
      <c r="Z254" s="56"/>
      <c r="AA254" s="24">
        <v>231</v>
      </c>
      <c r="AB254" s="19"/>
      <c r="AC254" s="19"/>
      <c r="AD254" s="15" t="str">
        <f ca="1">IF(AND($D254&lt;&gt;"",COUNTIF(OFFSET(UFS!$E$2,MATCH($D254&amp;"",UFS!$A$2:$A$175,0)-1,0,COUNTIF(UFS!$A$2:$A$175,$D254&amp;""),1),M254)&gt;0),"Valide","Invalide")</f>
        <v>Valide</v>
      </c>
      <c r="AH254" s="15" t="str">
        <f t="shared" si="3"/>
        <v>En attente</v>
      </c>
    </row>
    <row r="255" spans="1:34" s="15" customFormat="1" ht="45" hidden="1" customHeight="1" x14ac:dyDescent="0.3">
      <c r="A255" s="42">
        <v>254</v>
      </c>
      <c r="B255" s="19" t="s">
        <v>425</v>
      </c>
      <c r="C255" s="19" t="s">
        <v>9</v>
      </c>
      <c r="D255" s="20" t="s">
        <v>582</v>
      </c>
      <c r="E255" s="20" t="s">
        <v>79</v>
      </c>
      <c r="F255" s="21" t="s">
        <v>80</v>
      </c>
      <c r="G255" s="38" t="s">
        <v>163</v>
      </c>
      <c r="H255" s="39" t="s">
        <v>1085</v>
      </c>
      <c r="I255" s="39" t="s">
        <v>644</v>
      </c>
      <c r="J255" s="21" t="s">
        <v>144</v>
      </c>
      <c r="K255" s="21" t="s">
        <v>145</v>
      </c>
      <c r="L255" s="21" t="s">
        <v>328</v>
      </c>
      <c r="M255" s="21" t="s">
        <v>327</v>
      </c>
      <c r="N255" s="21" t="s">
        <v>102</v>
      </c>
      <c r="O255" s="20" t="s">
        <v>1086</v>
      </c>
      <c r="P255" s="45">
        <v>45712</v>
      </c>
      <c r="Q255" s="156" t="s">
        <v>1087</v>
      </c>
      <c r="R255" s="19">
        <v>417.23</v>
      </c>
      <c r="S255" s="21">
        <v>0.1</v>
      </c>
      <c r="T255" s="21">
        <v>458.95300000000003</v>
      </c>
      <c r="U255" s="44" t="s">
        <v>429</v>
      </c>
      <c r="V255" s="22">
        <v>45722</v>
      </c>
      <c r="W255" s="54" t="s">
        <v>91</v>
      </c>
      <c r="X255" s="23"/>
      <c r="Y255" s="23" t="s">
        <v>92</v>
      </c>
      <c r="Z255" s="56"/>
      <c r="AA255" s="24">
        <v>846483</v>
      </c>
      <c r="AB255" s="19"/>
      <c r="AC255" s="19"/>
      <c r="AD255" s="15" t="str">
        <f ca="1">IF(AND($D255&lt;&gt;"",COUNTIF(OFFSET(UFS!$E$2,MATCH($D255&amp;"",UFS!$A$2:$A$175,0)-1,0,COUNTIF(UFS!$A$2:$A$175,$D255&amp;""),1),M255)&gt;0),"Valide","Invalide")</f>
        <v>Invalide</v>
      </c>
      <c r="AH255" s="15" t="str">
        <f t="shared" si="3"/>
        <v>En attente</v>
      </c>
    </row>
    <row r="256" spans="1:34" s="15" customFormat="1" ht="45" hidden="1" customHeight="1" x14ac:dyDescent="0.3">
      <c r="A256" s="42">
        <v>255</v>
      </c>
      <c r="B256" s="19" t="s">
        <v>425</v>
      </c>
      <c r="C256" s="19" t="s">
        <v>9</v>
      </c>
      <c r="D256" s="20" t="s">
        <v>334</v>
      </c>
      <c r="E256" s="20" t="s">
        <v>79</v>
      </c>
      <c r="F256" s="21" t="s">
        <v>80</v>
      </c>
      <c r="G256" s="38" t="s">
        <v>163</v>
      </c>
      <c r="H256" s="39" t="s">
        <v>1085</v>
      </c>
      <c r="I256" s="39" t="s">
        <v>644</v>
      </c>
      <c r="J256" s="21" t="s">
        <v>144</v>
      </c>
      <c r="K256" s="21" t="s">
        <v>145</v>
      </c>
      <c r="L256" s="21" t="s">
        <v>278</v>
      </c>
      <c r="M256" s="21" t="s">
        <v>335</v>
      </c>
      <c r="N256" s="21" t="s">
        <v>102</v>
      </c>
      <c r="O256" s="20" t="s">
        <v>1088</v>
      </c>
      <c r="P256" s="45">
        <v>45712</v>
      </c>
      <c r="Q256" s="39" t="s">
        <v>1089</v>
      </c>
      <c r="R256" s="19">
        <v>441</v>
      </c>
      <c r="S256" s="21">
        <v>0.1</v>
      </c>
      <c r="T256" s="21">
        <v>485.1</v>
      </c>
      <c r="U256" s="44" t="s">
        <v>429</v>
      </c>
      <c r="V256" s="22">
        <v>45722</v>
      </c>
      <c r="W256" s="54" t="s">
        <v>91</v>
      </c>
      <c r="X256" s="23"/>
      <c r="Y256" s="23" t="s">
        <v>92</v>
      </c>
      <c r="Z256" s="56"/>
      <c r="AA256" s="24">
        <v>846487</v>
      </c>
      <c r="AB256" s="19"/>
      <c r="AC256" s="19"/>
      <c r="AD256" s="15" t="str">
        <f ca="1">IF(AND($D256&lt;&gt;"",COUNTIF(OFFSET(UFS!$E$2,MATCH($D256&amp;"",UFS!$A$2:$A$175,0)-1,0,COUNTIF(UFS!$A$2:$A$175,$D256&amp;""),1),M256)&gt;0),"Valide","Invalide")</f>
        <v>Valide</v>
      </c>
      <c r="AH256" s="15" t="str">
        <f t="shared" si="3"/>
        <v>En attente</v>
      </c>
    </row>
    <row r="257" spans="1:34" s="15" customFormat="1" ht="45" hidden="1" customHeight="1" x14ac:dyDescent="0.3">
      <c r="A257" s="42">
        <v>256</v>
      </c>
      <c r="B257" s="19" t="s">
        <v>425</v>
      </c>
      <c r="C257" s="19" t="s">
        <v>9</v>
      </c>
      <c r="D257" s="20" t="s">
        <v>1090</v>
      </c>
      <c r="E257" s="20" t="s">
        <v>79</v>
      </c>
      <c r="F257" s="21" t="s">
        <v>80</v>
      </c>
      <c r="G257" s="38" t="s">
        <v>163</v>
      </c>
      <c r="H257" s="39" t="s">
        <v>1085</v>
      </c>
      <c r="I257" s="39" t="s">
        <v>644</v>
      </c>
      <c r="J257" s="21" t="s">
        <v>144</v>
      </c>
      <c r="K257" s="21" t="s">
        <v>145</v>
      </c>
      <c r="L257" s="21" t="s">
        <v>636</v>
      </c>
      <c r="M257" s="21" t="s">
        <v>1091</v>
      </c>
      <c r="N257" s="21" t="s">
        <v>102</v>
      </c>
      <c r="O257" s="20" t="s">
        <v>1092</v>
      </c>
      <c r="P257" s="45">
        <v>45712</v>
      </c>
      <c r="Q257" s="39" t="s">
        <v>1093</v>
      </c>
      <c r="R257" s="19">
        <v>417.23</v>
      </c>
      <c r="S257" s="21">
        <v>0.1</v>
      </c>
      <c r="T257" s="21">
        <v>458.95300000000003</v>
      </c>
      <c r="U257" s="44" t="s">
        <v>429</v>
      </c>
      <c r="V257" s="22">
        <v>45722</v>
      </c>
      <c r="W257" s="54" t="s">
        <v>91</v>
      </c>
      <c r="X257" s="23"/>
      <c r="Y257" s="23" t="s">
        <v>92</v>
      </c>
      <c r="Z257" s="68"/>
      <c r="AA257" s="24">
        <v>846515</v>
      </c>
      <c r="AB257" s="19"/>
      <c r="AC257" s="19"/>
      <c r="AD257" s="15" t="str">
        <f ca="1">IF(AND($D257&lt;&gt;"",COUNTIF(OFFSET(UFS!$E$2,MATCH($D257&amp;"",UFS!$A$2:$A$175,0)-1,0,COUNTIF(UFS!$A$2:$A$175,$D257&amp;""),1),M257)&gt;0),"Valide","Invalide")</f>
        <v>Valide</v>
      </c>
      <c r="AH257" s="15" t="str">
        <f t="shared" si="3"/>
        <v>En attente</v>
      </c>
    </row>
    <row r="258" spans="1:34" s="15" customFormat="1" ht="45" hidden="1" customHeight="1" x14ac:dyDescent="0.3">
      <c r="A258" s="42">
        <v>257</v>
      </c>
      <c r="B258" s="19" t="s">
        <v>425</v>
      </c>
      <c r="C258" s="19" t="s">
        <v>9</v>
      </c>
      <c r="D258" s="20" t="s">
        <v>800</v>
      </c>
      <c r="E258" s="20" t="s">
        <v>79</v>
      </c>
      <c r="F258" s="21" t="s">
        <v>80</v>
      </c>
      <c r="G258" s="38" t="s">
        <v>163</v>
      </c>
      <c r="H258" s="39" t="s">
        <v>1085</v>
      </c>
      <c r="I258" s="39" t="s">
        <v>644</v>
      </c>
      <c r="J258" s="21" t="s">
        <v>144</v>
      </c>
      <c r="K258" s="21" t="s">
        <v>145</v>
      </c>
      <c r="L258" s="21" t="s">
        <v>499</v>
      </c>
      <c r="M258" s="21" t="s">
        <v>801</v>
      </c>
      <c r="N258" s="21" t="s">
        <v>102</v>
      </c>
      <c r="O258" s="20" t="s">
        <v>1094</v>
      </c>
      <c r="P258" s="45">
        <v>45712</v>
      </c>
      <c r="Q258" s="39" t="s">
        <v>1095</v>
      </c>
      <c r="R258" s="19">
        <v>430.66</v>
      </c>
      <c r="S258" s="21">
        <v>0.1</v>
      </c>
      <c r="T258" s="21">
        <v>473.72600000000006</v>
      </c>
      <c r="U258" s="44" t="s">
        <v>429</v>
      </c>
      <c r="V258" s="22">
        <v>45722</v>
      </c>
      <c r="W258" s="54" t="s">
        <v>91</v>
      </c>
      <c r="X258" s="23"/>
      <c r="Y258" s="23" t="s">
        <v>92</v>
      </c>
      <c r="Z258" s="56"/>
      <c r="AA258" s="24">
        <v>846493</v>
      </c>
      <c r="AB258" s="19"/>
      <c r="AC258" s="19"/>
      <c r="AD258" s="15" t="str">
        <f ca="1">IF(AND($D258&lt;&gt;"",COUNTIF(OFFSET(UFS!$E$2,MATCH($D258&amp;"",UFS!$A$2:$A$175,0)-1,0,COUNTIF(UFS!$A$2:$A$175,$D258&amp;""),1),M258)&gt;0),"Valide","Invalide")</f>
        <v>Valide</v>
      </c>
      <c r="AH258" s="15" t="str">
        <f t="shared" si="3"/>
        <v>En attente</v>
      </c>
    </row>
    <row r="259" spans="1:34" s="15" customFormat="1" ht="45" hidden="1" customHeight="1" x14ac:dyDescent="0.3">
      <c r="A259" s="42">
        <v>258</v>
      </c>
      <c r="B259" s="19" t="s">
        <v>425</v>
      </c>
      <c r="C259" s="19" t="s">
        <v>9</v>
      </c>
      <c r="D259" s="20" t="s">
        <v>911</v>
      </c>
      <c r="E259" s="20" t="s">
        <v>79</v>
      </c>
      <c r="F259" s="21" t="s">
        <v>80</v>
      </c>
      <c r="G259" s="38" t="s">
        <v>163</v>
      </c>
      <c r="H259" s="39" t="s">
        <v>1085</v>
      </c>
      <c r="I259" s="39" t="s">
        <v>644</v>
      </c>
      <c r="J259" s="21" t="s">
        <v>144</v>
      </c>
      <c r="K259" s="21" t="s">
        <v>145</v>
      </c>
      <c r="L259" s="21" t="s">
        <v>270</v>
      </c>
      <c r="M259" s="21" t="s">
        <v>912</v>
      </c>
      <c r="N259" s="21" t="s">
        <v>102</v>
      </c>
      <c r="O259" s="20" t="s">
        <v>1096</v>
      </c>
      <c r="P259" s="45">
        <v>45712</v>
      </c>
      <c r="Q259" s="39" t="s">
        <v>1097</v>
      </c>
      <c r="R259" s="19">
        <v>479.26</v>
      </c>
      <c r="S259" s="21">
        <v>0.1</v>
      </c>
      <c r="T259" s="21">
        <v>527.18600000000004</v>
      </c>
      <c r="U259" s="44" t="s">
        <v>429</v>
      </c>
      <c r="V259" s="22">
        <v>45722</v>
      </c>
      <c r="W259" s="54" t="s">
        <v>91</v>
      </c>
      <c r="X259" s="23"/>
      <c r="Y259" s="23" t="s">
        <v>92</v>
      </c>
      <c r="Z259" s="56"/>
      <c r="AA259" s="24">
        <v>846492</v>
      </c>
      <c r="AB259" s="19"/>
      <c r="AC259" s="19"/>
      <c r="AD259" s="15" t="str">
        <f ca="1">IF(AND($D259&lt;&gt;"",COUNTIF(OFFSET(UFS!$E$2,MATCH($D259&amp;"",UFS!$A$2:$A$175,0)-1,0,COUNTIF(UFS!$A$2:$A$175,$D259&amp;""),1),M259)&gt;0),"Valide","Invalide")</f>
        <v>Valide</v>
      </c>
      <c r="AH259" s="15" t="str">
        <f t="shared" ref="AH259:AH322" si="4">IF(T259&lt;&gt;"","En attente","")</f>
        <v>En attente</v>
      </c>
    </row>
    <row r="260" spans="1:34" s="15" customFormat="1" ht="45" hidden="1" customHeight="1" x14ac:dyDescent="0.3">
      <c r="A260" s="42">
        <v>259</v>
      </c>
      <c r="B260" s="19" t="s">
        <v>425</v>
      </c>
      <c r="C260" s="19" t="s">
        <v>9</v>
      </c>
      <c r="D260" s="20" t="s">
        <v>902</v>
      </c>
      <c r="E260" s="20" t="s">
        <v>79</v>
      </c>
      <c r="F260" s="21" t="s">
        <v>80</v>
      </c>
      <c r="G260" s="38" t="s">
        <v>163</v>
      </c>
      <c r="H260" s="39" t="s">
        <v>1085</v>
      </c>
      <c r="I260" s="39" t="s">
        <v>644</v>
      </c>
      <c r="J260" s="21" t="s">
        <v>144</v>
      </c>
      <c r="K260" s="21" t="s">
        <v>145</v>
      </c>
      <c r="L260" s="21" t="s">
        <v>192</v>
      </c>
      <c r="M260" s="21" t="s">
        <v>903</v>
      </c>
      <c r="N260" s="21" t="s">
        <v>102</v>
      </c>
      <c r="O260" s="20" t="s">
        <v>1098</v>
      </c>
      <c r="P260" s="45">
        <v>45712</v>
      </c>
      <c r="Q260" s="39" t="s">
        <v>1099</v>
      </c>
      <c r="R260" s="19">
        <v>338.64</v>
      </c>
      <c r="S260" s="21">
        <v>0.1</v>
      </c>
      <c r="T260" s="21">
        <v>372.50399999999996</v>
      </c>
      <c r="U260" s="44" t="s">
        <v>429</v>
      </c>
      <c r="V260" s="22">
        <v>45722</v>
      </c>
      <c r="W260" s="54" t="s">
        <v>91</v>
      </c>
      <c r="X260" s="23"/>
      <c r="Y260" s="23" t="s">
        <v>92</v>
      </c>
      <c r="Z260" s="56"/>
      <c r="AA260" s="24">
        <v>846491</v>
      </c>
      <c r="AB260" s="19"/>
      <c r="AC260" s="19"/>
      <c r="AD260" s="15" t="str">
        <f ca="1">IF(AND($D260&lt;&gt;"",COUNTIF(OFFSET(UFS!$E$2,MATCH($D260&amp;"",UFS!$A$2:$A$175,0)-1,0,COUNTIF(UFS!$A$2:$A$175,$D260&amp;""),1),M260)&gt;0),"Valide","Invalide")</f>
        <v>Valide</v>
      </c>
      <c r="AH260" s="15" t="str">
        <f t="shared" si="4"/>
        <v>En attente</v>
      </c>
    </row>
    <row r="261" spans="1:34" s="15" customFormat="1" ht="45" hidden="1" customHeight="1" x14ac:dyDescent="0.3">
      <c r="A261" s="42">
        <v>260</v>
      </c>
      <c r="B261" s="19" t="s">
        <v>425</v>
      </c>
      <c r="C261" s="19" t="s">
        <v>9</v>
      </c>
      <c r="D261" s="20" t="s">
        <v>432</v>
      </c>
      <c r="E261" s="20" t="s">
        <v>79</v>
      </c>
      <c r="F261" s="21" t="s">
        <v>433</v>
      </c>
      <c r="G261" s="38" t="s">
        <v>1100</v>
      </c>
      <c r="H261" s="39" t="s">
        <v>1085</v>
      </c>
      <c r="I261" s="39" t="s">
        <v>644</v>
      </c>
      <c r="J261" s="21" t="s">
        <v>144</v>
      </c>
      <c r="K261" s="21" t="s">
        <v>145</v>
      </c>
      <c r="L261" s="21" t="s">
        <v>434</v>
      </c>
      <c r="M261" s="21" t="s">
        <v>435</v>
      </c>
      <c r="N261" s="21" t="s">
        <v>436</v>
      </c>
      <c r="O261" s="20" t="s">
        <v>1101</v>
      </c>
      <c r="P261" s="45">
        <v>45712</v>
      </c>
      <c r="Q261" s="39" t="s">
        <v>1102</v>
      </c>
      <c r="R261" s="19">
        <v>495.09</v>
      </c>
      <c r="S261" s="21">
        <v>0.1</v>
      </c>
      <c r="T261" s="21">
        <v>495.09</v>
      </c>
      <c r="U261" s="60" t="s">
        <v>429</v>
      </c>
      <c r="V261" s="22">
        <v>45722</v>
      </c>
      <c r="W261" s="54" t="s">
        <v>91</v>
      </c>
      <c r="X261" s="23"/>
      <c r="Y261" s="23" t="s">
        <v>92</v>
      </c>
      <c r="Z261" s="61" t="s">
        <v>1103</v>
      </c>
      <c r="AA261" s="24">
        <v>847254</v>
      </c>
      <c r="AB261" s="19"/>
      <c r="AC261" s="19"/>
      <c r="AD261" s="15" t="str">
        <f ca="1">IF(AND($D261&lt;&gt;"",COUNTIF(OFFSET(UFS!$E$2,MATCH($D261&amp;"",UFS!$A$2:$A$175,0)-1,0,COUNTIF(UFS!$A$2:$A$175,$D261&amp;""),1),M261)&gt;0),"Valide","Invalide")</f>
        <v>Valide</v>
      </c>
      <c r="AH261" s="15" t="str">
        <f t="shared" si="4"/>
        <v>En attente</v>
      </c>
    </row>
    <row r="262" spans="1:34" s="15" customFormat="1" ht="45" hidden="1" customHeight="1" x14ac:dyDescent="0.3">
      <c r="A262" s="42">
        <v>261</v>
      </c>
      <c r="B262" s="19" t="s">
        <v>425</v>
      </c>
      <c r="C262" s="19" t="s">
        <v>9</v>
      </c>
      <c r="D262" s="20" t="s">
        <v>233</v>
      </c>
      <c r="E262" s="20" t="s">
        <v>79</v>
      </c>
      <c r="F262" s="21" t="s">
        <v>80</v>
      </c>
      <c r="G262" s="38" t="s">
        <v>163</v>
      </c>
      <c r="H262" s="39" t="s">
        <v>1085</v>
      </c>
      <c r="I262" s="39" t="s">
        <v>644</v>
      </c>
      <c r="J262" s="21" t="s">
        <v>124</v>
      </c>
      <c r="K262" s="21" t="s">
        <v>235</v>
      </c>
      <c r="L262" s="21" t="s">
        <v>177</v>
      </c>
      <c r="M262" s="21" t="s">
        <v>109</v>
      </c>
      <c r="N262" s="21" t="s">
        <v>109</v>
      </c>
      <c r="O262" s="20" t="s">
        <v>1104</v>
      </c>
      <c r="P262" s="45">
        <v>45712</v>
      </c>
      <c r="Q262" s="39" t="s">
        <v>1105</v>
      </c>
      <c r="R262" s="19">
        <v>1287.49</v>
      </c>
      <c r="S262" s="21">
        <v>0.1</v>
      </c>
      <c r="T262" s="21">
        <v>1416.239</v>
      </c>
      <c r="U262" s="44" t="s">
        <v>429</v>
      </c>
      <c r="V262" s="22">
        <v>45722</v>
      </c>
      <c r="W262" s="54" t="s">
        <v>91</v>
      </c>
      <c r="X262" s="23"/>
      <c r="Y262" s="23" t="s">
        <v>92</v>
      </c>
      <c r="Z262" s="56"/>
      <c r="AA262" s="24">
        <v>846485</v>
      </c>
      <c r="AB262" s="19"/>
      <c r="AC262" s="19"/>
      <c r="AD262" s="15" t="str">
        <f ca="1">IF(AND($D262&lt;&gt;"",COUNTIF(OFFSET(UFS!$E$2,MATCH($D262&amp;"",UFS!$A$2:$A$175,0)-1,0,COUNTIF(UFS!$A$2:$A$175,$D262&amp;""),1),M262)&gt;0),"Valide","Invalide")</f>
        <v>Valide</v>
      </c>
      <c r="AH262" s="15" t="str">
        <f t="shared" si="4"/>
        <v>En attente</v>
      </c>
    </row>
    <row r="263" spans="1:34" s="15" customFormat="1" ht="45" hidden="1" customHeight="1" x14ac:dyDescent="0.3">
      <c r="A263" s="42">
        <v>262</v>
      </c>
      <c r="B263" s="19" t="s">
        <v>425</v>
      </c>
      <c r="C263" s="19" t="s">
        <v>9</v>
      </c>
      <c r="D263" s="20" t="s">
        <v>413</v>
      </c>
      <c r="E263" s="20" t="s">
        <v>79</v>
      </c>
      <c r="F263" s="21" t="s">
        <v>80</v>
      </c>
      <c r="G263" s="38" t="s">
        <v>163</v>
      </c>
      <c r="H263" s="39" t="s">
        <v>1085</v>
      </c>
      <c r="I263" s="39" t="s">
        <v>644</v>
      </c>
      <c r="J263" s="21" t="s">
        <v>183</v>
      </c>
      <c r="K263" s="21" t="s">
        <v>184</v>
      </c>
      <c r="L263" s="21" t="s">
        <v>185</v>
      </c>
      <c r="M263" s="21" t="s">
        <v>109</v>
      </c>
      <c r="N263" s="21" t="s">
        <v>109</v>
      </c>
      <c r="O263" s="20" t="s">
        <v>1106</v>
      </c>
      <c r="P263" s="45">
        <v>45712</v>
      </c>
      <c r="Q263" s="39" t="s">
        <v>1107</v>
      </c>
      <c r="R263" s="19">
        <v>1015</v>
      </c>
      <c r="S263" s="21">
        <v>0.1</v>
      </c>
      <c r="T263" s="21">
        <v>1116.5</v>
      </c>
      <c r="U263" s="44" t="s">
        <v>429</v>
      </c>
      <c r="V263" s="22">
        <v>45722</v>
      </c>
      <c r="W263" s="54" t="s">
        <v>91</v>
      </c>
      <c r="X263" s="23"/>
      <c r="Y263" s="23" t="s">
        <v>92</v>
      </c>
      <c r="Z263" s="56"/>
      <c r="AA263" s="24">
        <v>846482</v>
      </c>
      <c r="AB263" s="19"/>
      <c r="AC263" s="19"/>
      <c r="AD263" s="15" t="str">
        <f ca="1">IF(AND($D263&lt;&gt;"",COUNTIF(OFFSET(UFS!$E$2,MATCH($D263&amp;"",UFS!$A$2:$A$175,0)-1,0,COUNTIF(UFS!$A$2:$A$175,$D263&amp;""),1),M263)&gt;0),"Valide","Invalide")</f>
        <v>Valide</v>
      </c>
      <c r="AH263" s="15" t="str">
        <f t="shared" si="4"/>
        <v>En attente</v>
      </c>
    </row>
    <row r="264" spans="1:34" s="15" customFormat="1" ht="45" hidden="1" customHeight="1" x14ac:dyDescent="0.3">
      <c r="A264" s="42">
        <v>263</v>
      </c>
      <c r="B264" s="19" t="s">
        <v>425</v>
      </c>
      <c r="C264" s="19" t="s">
        <v>9</v>
      </c>
      <c r="D264" s="20" t="s">
        <v>260</v>
      </c>
      <c r="E264" s="20" t="s">
        <v>79</v>
      </c>
      <c r="F264" s="21" t="s">
        <v>80</v>
      </c>
      <c r="G264" s="38" t="s">
        <v>163</v>
      </c>
      <c r="H264" s="39" t="s">
        <v>1085</v>
      </c>
      <c r="I264" s="39" t="s">
        <v>644</v>
      </c>
      <c r="J264" s="21" t="s">
        <v>84</v>
      </c>
      <c r="K264" s="21" t="s">
        <v>113</v>
      </c>
      <c r="L264" s="21" t="s">
        <v>86</v>
      </c>
      <c r="M264" s="21" t="s">
        <v>109</v>
      </c>
      <c r="N264" s="21" t="s">
        <v>109</v>
      </c>
      <c r="O264" s="20" t="s">
        <v>1108</v>
      </c>
      <c r="P264" s="45">
        <v>45712</v>
      </c>
      <c r="Q264" s="39" t="s">
        <v>1109</v>
      </c>
      <c r="R264" s="19">
        <v>994.73</v>
      </c>
      <c r="S264" s="21">
        <v>0.1</v>
      </c>
      <c r="T264" s="21">
        <v>1094.203</v>
      </c>
      <c r="U264" s="44" t="s">
        <v>1110</v>
      </c>
      <c r="V264" s="22">
        <v>45722</v>
      </c>
      <c r="W264" s="54" t="s">
        <v>91</v>
      </c>
      <c r="X264" s="23"/>
      <c r="Y264" s="23" t="s">
        <v>92</v>
      </c>
      <c r="Z264" s="56"/>
      <c r="AA264" s="24">
        <v>846480</v>
      </c>
      <c r="AB264" s="19"/>
      <c r="AC264" s="19"/>
      <c r="AD264" s="15" t="str">
        <f ca="1">IF(AND($D264&lt;&gt;"",COUNTIF(OFFSET(UFS!$E$2,MATCH($D264&amp;"",UFS!$A$2:$A$175,0)-1,0,COUNTIF(UFS!$A$2:$A$175,$D264&amp;""),1),M264)&gt;0),"Valide","Invalide")</f>
        <v>Valide</v>
      </c>
      <c r="AH264" s="15" t="str">
        <f t="shared" si="4"/>
        <v>En attente</v>
      </c>
    </row>
    <row r="265" spans="1:34" s="15" customFormat="1" ht="45" hidden="1" customHeight="1" x14ac:dyDescent="0.3">
      <c r="A265" s="42">
        <v>264</v>
      </c>
      <c r="B265" s="19" t="s">
        <v>425</v>
      </c>
      <c r="C265" s="19" t="s">
        <v>9</v>
      </c>
      <c r="D265" s="20" t="s">
        <v>106</v>
      </c>
      <c r="E265" s="20" t="s">
        <v>79</v>
      </c>
      <c r="F265" s="21" t="s">
        <v>80</v>
      </c>
      <c r="G265" s="38" t="s">
        <v>163</v>
      </c>
      <c r="H265" s="39" t="s">
        <v>1085</v>
      </c>
      <c r="I265" s="39" t="s">
        <v>644</v>
      </c>
      <c r="J265" s="21" t="s">
        <v>98</v>
      </c>
      <c r="K265" s="21" t="s">
        <v>108</v>
      </c>
      <c r="L265" s="21" t="s">
        <v>100</v>
      </c>
      <c r="M265" s="21" t="s">
        <v>109</v>
      </c>
      <c r="N265" s="21" t="s">
        <v>109</v>
      </c>
      <c r="O265" s="20" t="s">
        <v>1111</v>
      </c>
      <c r="P265" s="45">
        <v>45712</v>
      </c>
      <c r="Q265" s="39" t="s">
        <v>1112</v>
      </c>
      <c r="R265" s="19">
        <v>1325.62</v>
      </c>
      <c r="S265" s="21">
        <v>0.1</v>
      </c>
      <c r="T265" s="21">
        <v>1325.62</v>
      </c>
      <c r="U265" s="44" t="s">
        <v>429</v>
      </c>
      <c r="V265" s="22">
        <v>45722</v>
      </c>
      <c r="W265" s="54" t="s">
        <v>91</v>
      </c>
      <c r="X265" s="23"/>
      <c r="Y265" s="23" t="s">
        <v>92</v>
      </c>
      <c r="Z265" s="56"/>
      <c r="AA265" s="24">
        <v>846478</v>
      </c>
      <c r="AB265" s="19"/>
      <c r="AC265" s="19"/>
      <c r="AD265" s="15" t="str">
        <f ca="1">IF(AND($D265&lt;&gt;"",COUNTIF(OFFSET(UFS!$E$2,MATCH($D265&amp;"",UFS!$A$2:$A$175,0)-1,0,COUNTIF(UFS!$A$2:$A$175,$D265&amp;""),1),M265)&gt;0),"Valide","Invalide")</f>
        <v>Valide</v>
      </c>
      <c r="AH265" s="15" t="str">
        <f t="shared" si="4"/>
        <v>En attente</v>
      </c>
    </row>
    <row r="266" spans="1:34" s="15" customFormat="1" ht="45" hidden="1" customHeight="1" x14ac:dyDescent="0.3">
      <c r="A266" s="42">
        <v>265</v>
      </c>
      <c r="B266" s="19" t="s">
        <v>425</v>
      </c>
      <c r="C266" s="19" t="s">
        <v>9</v>
      </c>
      <c r="D266" s="20" t="s">
        <v>123</v>
      </c>
      <c r="E266" s="20" t="s">
        <v>79</v>
      </c>
      <c r="F266" s="21" t="s">
        <v>80</v>
      </c>
      <c r="G266" s="38" t="s">
        <v>163</v>
      </c>
      <c r="H266" s="39" t="s">
        <v>1085</v>
      </c>
      <c r="I266" s="39" t="s">
        <v>644</v>
      </c>
      <c r="J266" s="21" t="s">
        <v>124</v>
      </c>
      <c r="K266" s="21" t="s">
        <v>125</v>
      </c>
      <c r="L266" s="21" t="s">
        <v>126</v>
      </c>
      <c r="M266" s="21" t="s">
        <v>109</v>
      </c>
      <c r="N266" s="21" t="s">
        <v>109</v>
      </c>
      <c r="O266" s="20" t="s">
        <v>1113</v>
      </c>
      <c r="P266" s="45">
        <v>45712</v>
      </c>
      <c r="Q266" s="39" t="s">
        <v>1114</v>
      </c>
      <c r="R266" s="19">
        <v>1691.36</v>
      </c>
      <c r="S266" s="21">
        <v>0.1</v>
      </c>
      <c r="T266" s="21">
        <v>1860.4959999999999</v>
      </c>
      <c r="U266" s="44" t="s">
        <v>429</v>
      </c>
      <c r="V266" s="22">
        <v>45722</v>
      </c>
      <c r="W266" s="54" t="s">
        <v>91</v>
      </c>
      <c r="X266" s="23"/>
      <c r="Y266" s="23" t="s">
        <v>92</v>
      </c>
      <c r="Z266" s="56"/>
      <c r="AA266" s="24">
        <v>846473</v>
      </c>
      <c r="AB266" s="19"/>
      <c r="AC266" s="19"/>
      <c r="AD266" s="15" t="str">
        <f ca="1">IF(AND($D266&lt;&gt;"",COUNTIF(OFFSET(UFS!$E$2,MATCH($D266&amp;"",UFS!$A$2:$A$175,0)-1,0,COUNTIF(UFS!$A$2:$A$175,$D266&amp;""),1),M266)&gt;0),"Valide","Invalide")</f>
        <v>Valide</v>
      </c>
      <c r="AH266" s="15" t="str">
        <f t="shared" si="4"/>
        <v>En attente</v>
      </c>
    </row>
    <row r="267" spans="1:34" s="15" customFormat="1" ht="45" hidden="1" customHeight="1" x14ac:dyDescent="0.3">
      <c r="A267" s="42">
        <v>266</v>
      </c>
      <c r="B267" s="19" t="s">
        <v>425</v>
      </c>
      <c r="C267" s="19" t="s">
        <v>9</v>
      </c>
      <c r="D267" s="20" t="s">
        <v>190</v>
      </c>
      <c r="E267" s="20" t="s">
        <v>79</v>
      </c>
      <c r="F267" s="21" t="s">
        <v>80</v>
      </c>
      <c r="G267" s="38" t="s">
        <v>163</v>
      </c>
      <c r="H267" s="39" t="s">
        <v>1085</v>
      </c>
      <c r="I267" s="39" t="s">
        <v>644</v>
      </c>
      <c r="J267" s="21" t="s">
        <v>144</v>
      </c>
      <c r="K267" s="21" t="s">
        <v>145</v>
      </c>
      <c r="L267" s="21" t="s">
        <v>192</v>
      </c>
      <c r="M267" s="21" t="s">
        <v>193</v>
      </c>
      <c r="N267" s="21" t="s">
        <v>102</v>
      </c>
      <c r="O267" s="20" t="s">
        <v>1115</v>
      </c>
      <c r="P267" s="45">
        <v>45712</v>
      </c>
      <c r="Q267" s="39" t="s">
        <v>1116</v>
      </c>
      <c r="R267" s="19">
        <v>482.88</v>
      </c>
      <c r="S267" s="21">
        <v>0.1</v>
      </c>
      <c r="T267" s="21">
        <v>482.88</v>
      </c>
      <c r="U267" s="44" t="s">
        <v>429</v>
      </c>
      <c r="V267" s="22">
        <v>45722</v>
      </c>
      <c r="W267" s="54" t="s">
        <v>91</v>
      </c>
      <c r="X267" s="23"/>
      <c r="Y267" s="23" t="s">
        <v>92</v>
      </c>
      <c r="Z267" s="56"/>
      <c r="AA267" s="24">
        <v>846468</v>
      </c>
      <c r="AB267" s="19"/>
      <c r="AC267" s="19"/>
      <c r="AD267" s="15" t="e">
        <f ca="1">IF(AND($D267&lt;&gt;"",COUNTIF(OFFSET(UFS!$E$2,MATCH($D267&amp;"",UFS!$A$2:$A$175,0)-1,0,COUNTIF(UFS!$A$2:$A$175,$D267&amp;""),1),M267)&gt;0),"Valide","Invalide")</f>
        <v>#N/A</v>
      </c>
      <c r="AH267" s="15" t="str">
        <f t="shared" si="4"/>
        <v>En attente</v>
      </c>
    </row>
    <row r="268" spans="1:34" s="15" customFormat="1" ht="45" hidden="1" customHeight="1" x14ac:dyDescent="0.3">
      <c r="A268" s="42">
        <v>267</v>
      </c>
      <c r="B268" s="19" t="s">
        <v>26</v>
      </c>
      <c r="C268" s="19" t="s">
        <v>28</v>
      </c>
      <c r="D268" s="20" t="s">
        <v>1117</v>
      </c>
      <c r="E268" s="20" t="s">
        <v>79</v>
      </c>
      <c r="F268" s="21" t="s">
        <v>80</v>
      </c>
      <c r="G268" s="38" t="s">
        <v>182</v>
      </c>
      <c r="H268" s="39" t="s">
        <v>82</v>
      </c>
      <c r="I268" s="39" t="s">
        <v>83</v>
      </c>
      <c r="J268" s="21" t="s">
        <v>1118</v>
      </c>
      <c r="K268" s="21" t="s">
        <v>1119</v>
      </c>
      <c r="L268" s="21" t="s">
        <v>100</v>
      </c>
      <c r="M268" s="21" t="s">
        <v>1120</v>
      </c>
      <c r="N268" s="21" t="s">
        <v>151</v>
      </c>
      <c r="O268" s="20" t="s">
        <v>1121</v>
      </c>
      <c r="P268" s="45">
        <v>45722</v>
      </c>
      <c r="Q268" s="39" t="s">
        <v>1122</v>
      </c>
      <c r="R268" s="19">
        <v>7724.32</v>
      </c>
      <c r="S268" s="21">
        <v>0.2</v>
      </c>
      <c r="T268" s="21">
        <v>9269.1839999999993</v>
      </c>
      <c r="U268" s="60" t="s">
        <v>1123</v>
      </c>
      <c r="V268" s="22">
        <v>45723</v>
      </c>
      <c r="W268" s="54" t="s">
        <v>91</v>
      </c>
      <c r="X268" s="23"/>
      <c r="Y268" s="23" t="s">
        <v>92</v>
      </c>
      <c r="Z268" s="56"/>
      <c r="AA268" s="24">
        <v>246</v>
      </c>
      <c r="AB268" s="19"/>
      <c r="AC268" s="46" t="s">
        <v>94</v>
      </c>
      <c r="AD268" s="15" t="str">
        <f ca="1">IF(AND($D268&lt;&gt;"",COUNTIF(OFFSET(UFS!$E$2,MATCH($D268&amp;"",UFS!$A$2:$A$175,0)-1,0,COUNTIF(UFS!$A$2:$A$175,$D268&amp;""),1),M268)&gt;0),"Valide","Invalide")</f>
        <v>Valide</v>
      </c>
      <c r="AH268" s="15" t="str">
        <f t="shared" si="4"/>
        <v>En attente</v>
      </c>
    </row>
    <row r="269" spans="1:34" s="15" customFormat="1" ht="45" hidden="1" customHeight="1" x14ac:dyDescent="0.3">
      <c r="A269" s="42">
        <v>268</v>
      </c>
      <c r="B269" s="19" t="s">
        <v>24</v>
      </c>
      <c r="C269" s="19" t="s">
        <v>28</v>
      </c>
      <c r="D269" s="20" t="s">
        <v>825</v>
      </c>
      <c r="E269" s="20" t="s">
        <v>79</v>
      </c>
      <c r="F269" s="21" t="s">
        <v>80</v>
      </c>
      <c r="G269" s="38" t="s">
        <v>182</v>
      </c>
      <c r="H269" s="39" t="s">
        <v>82</v>
      </c>
      <c r="I269" s="39" t="s">
        <v>83</v>
      </c>
      <c r="J269" s="21" t="s">
        <v>244</v>
      </c>
      <c r="K269" s="21" t="s">
        <v>827</v>
      </c>
      <c r="L269" s="21" t="s">
        <v>629</v>
      </c>
      <c r="M269" s="21" t="s">
        <v>828</v>
      </c>
      <c r="N269" s="21" t="s">
        <v>87</v>
      </c>
      <c r="O269" s="20" t="s">
        <v>1124</v>
      </c>
      <c r="P269" s="45">
        <v>45720</v>
      </c>
      <c r="Q269" s="39" t="s">
        <v>1125</v>
      </c>
      <c r="R269" s="19">
        <v>9027.36</v>
      </c>
      <c r="S269" s="21">
        <v>0.2</v>
      </c>
      <c r="T269" s="21">
        <v>10832.832</v>
      </c>
      <c r="U269" s="44" t="s">
        <v>1126</v>
      </c>
      <c r="V269" s="22">
        <v>45723</v>
      </c>
      <c r="W269" s="54" t="s">
        <v>91</v>
      </c>
      <c r="X269" s="23"/>
      <c r="Y269" s="23" t="s">
        <v>92</v>
      </c>
      <c r="Z269" s="56"/>
      <c r="AA269" s="24">
        <v>247</v>
      </c>
      <c r="AB269" s="19"/>
      <c r="AC269" s="46" t="s">
        <v>94</v>
      </c>
      <c r="AD269" s="15" t="str">
        <f ca="1">IF(AND($D269&lt;&gt;"",COUNTIF(OFFSET(UFS!$E$2,MATCH($D269&amp;"",UFS!$A$2:$A$175,0)-1,0,COUNTIF(UFS!$A$2:$A$175,$D269&amp;""),1),M269)&gt;0),"Valide","Invalide")</f>
        <v>Valide</v>
      </c>
      <c r="AH269" s="15" t="str">
        <f t="shared" si="4"/>
        <v>En attente</v>
      </c>
    </row>
    <row r="270" spans="1:34" s="15" customFormat="1" ht="45" hidden="1" customHeight="1" x14ac:dyDescent="0.3">
      <c r="A270" s="42">
        <v>269</v>
      </c>
      <c r="B270" s="19" t="s">
        <v>18</v>
      </c>
      <c r="C270" s="19" t="s">
        <v>35</v>
      </c>
      <c r="D270" s="20" t="s">
        <v>200</v>
      </c>
      <c r="E270" s="20" t="s">
        <v>96</v>
      </c>
      <c r="F270" s="21" t="s">
        <v>80</v>
      </c>
      <c r="G270" s="38" t="s">
        <v>175</v>
      </c>
      <c r="H270" s="39"/>
      <c r="I270" s="39" t="s">
        <v>1039</v>
      </c>
      <c r="J270" s="21" t="s">
        <v>144</v>
      </c>
      <c r="K270" s="21" t="s">
        <v>145</v>
      </c>
      <c r="L270" s="21" t="s">
        <v>203</v>
      </c>
      <c r="M270" s="21" t="s">
        <v>109</v>
      </c>
      <c r="N270" s="21" t="s">
        <v>109</v>
      </c>
      <c r="O270" s="20" t="s">
        <v>1127</v>
      </c>
      <c r="P270" s="45">
        <v>45614</v>
      </c>
      <c r="Q270" s="39" t="s">
        <v>1128</v>
      </c>
      <c r="R270" s="19">
        <v>9799.2800000000007</v>
      </c>
      <c r="S270" s="21">
        <v>0.2</v>
      </c>
      <c r="T270" s="21">
        <v>11759.136</v>
      </c>
      <c r="U270" s="44" t="s">
        <v>1129</v>
      </c>
      <c r="V270" s="22">
        <v>45723</v>
      </c>
      <c r="W270" s="54" t="s">
        <v>91</v>
      </c>
      <c r="X270" s="23"/>
      <c r="Y270" s="23" t="s">
        <v>92</v>
      </c>
      <c r="Z270" s="56"/>
      <c r="AA270" s="24">
        <v>245</v>
      </c>
      <c r="AB270" s="45">
        <v>45733</v>
      </c>
      <c r="AC270" s="46" t="s">
        <v>94</v>
      </c>
      <c r="AD270" s="15" t="e">
        <f ca="1">IF(AND($D270&lt;&gt;"",COUNTIF(OFFSET(UFS!$E$2,MATCH($D270&amp;"",UFS!$A$2:$A$175,0)-1,0,COUNTIF(UFS!$A$2:$A$175,$D270&amp;""),1),M270)&gt;0),"Valide","Invalide")</f>
        <v>#N/A</v>
      </c>
      <c r="AH270" s="15" t="str">
        <f t="shared" si="4"/>
        <v>En attente</v>
      </c>
    </row>
    <row r="271" spans="1:34" s="15" customFormat="1" ht="45" hidden="1" customHeight="1" x14ac:dyDescent="0.3">
      <c r="A271" s="42">
        <v>270</v>
      </c>
      <c r="B271" s="19" t="s">
        <v>10</v>
      </c>
      <c r="C271" s="19" t="s">
        <v>975</v>
      </c>
      <c r="D271" s="20" t="s">
        <v>200</v>
      </c>
      <c r="E271" s="20" t="s">
        <v>79</v>
      </c>
      <c r="F271" s="21" t="s">
        <v>80</v>
      </c>
      <c r="G271" s="38" t="s">
        <v>163</v>
      </c>
      <c r="H271" s="39"/>
      <c r="I271" s="39" t="s">
        <v>1130</v>
      </c>
      <c r="J271" s="21" t="s">
        <v>144</v>
      </c>
      <c r="K271" s="21" t="s">
        <v>145</v>
      </c>
      <c r="L271" s="21" t="s">
        <v>203</v>
      </c>
      <c r="M271" s="21" t="s">
        <v>109</v>
      </c>
      <c r="N271" s="21" t="s">
        <v>109</v>
      </c>
      <c r="O271" s="20" t="s">
        <v>1131</v>
      </c>
      <c r="P271" s="45">
        <v>45721</v>
      </c>
      <c r="Q271" s="39" t="s">
        <v>1132</v>
      </c>
      <c r="R271" s="19">
        <v>4500</v>
      </c>
      <c r="S271" s="21">
        <v>0.2</v>
      </c>
      <c r="T271" s="21">
        <v>5400</v>
      </c>
      <c r="U271" s="60" t="s">
        <v>1133</v>
      </c>
      <c r="V271" s="22">
        <v>45723</v>
      </c>
      <c r="W271" s="54" t="s">
        <v>91</v>
      </c>
      <c r="X271" s="23"/>
      <c r="Y271" s="23" t="s">
        <v>92</v>
      </c>
      <c r="Z271" s="56"/>
      <c r="AA271" s="24">
        <v>248</v>
      </c>
      <c r="AB271" s="19"/>
      <c r="AC271" s="19"/>
      <c r="AD271" s="15" t="e">
        <f ca="1">IF(AND($D271&lt;&gt;"",COUNTIF(OFFSET(UFS!$E$2,MATCH($D271&amp;"",UFS!$A$2:$A$175,0)-1,0,COUNTIF(UFS!$A$2:$A$175,$D271&amp;""),1),M271)&gt;0),"Valide","Invalide")</f>
        <v>#N/A</v>
      </c>
      <c r="AH271" s="15" t="str">
        <f t="shared" si="4"/>
        <v>En attente</v>
      </c>
    </row>
    <row r="272" spans="1:34" s="15" customFormat="1" ht="45" hidden="1" customHeight="1" x14ac:dyDescent="0.3">
      <c r="A272" s="42">
        <v>271</v>
      </c>
      <c r="B272" s="19" t="s">
        <v>4</v>
      </c>
      <c r="C272" s="19" t="s">
        <v>33</v>
      </c>
      <c r="D272" s="20" t="s">
        <v>1134</v>
      </c>
      <c r="E272" s="20" t="s">
        <v>79</v>
      </c>
      <c r="F272" s="21" t="s">
        <v>80</v>
      </c>
      <c r="G272" s="38" t="s">
        <v>81</v>
      </c>
      <c r="H272" s="39" t="s">
        <v>234</v>
      </c>
      <c r="I272" s="39" t="s">
        <v>83</v>
      </c>
      <c r="J272" s="21" t="s">
        <v>1135</v>
      </c>
      <c r="K272" s="21" t="s">
        <v>1136</v>
      </c>
      <c r="L272" s="21" t="s">
        <v>135</v>
      </c>
      <c r="M272" s="21" t="s">
        <v>1137</v>
      </c>
      <c r="N272" s="21" t="s">
        <v>151</v>
      </c>
      <c r="O272" s="20" t="s">
        <v>1138</v>
      </c>
      <c r="P272" s="45">
        <v>45727</v>
      </c>
      <c r="Q272" s="39" t="s">
        <v>1139</v>
      </c>
      <c r="R272" s="19">
        <v>491.92</v>
      </c>
      <c r="S272" s="21">
        <v>0.2</v>
      </c>
      <c r="T272" s="21">
        <v>590.30399999999997</v>
      </c>
      <c r="U272" s="60" t="s">
        <v>953</v>
      </c>
      <c r="V272" s="22">
        <v>45727</v>
      </c>
      <c r="W272" s="54" t="s">
        <v>91</v>
      </c>
      <c r="X272" s="23"/>
      <c r="Y272" s="23" t="s">
        <v>92</v>
      </c>
      <c r="Z272" s="56"/>
      <c r="AA272" s="24">
        <v>249</v>
      </c>
      <c r="AB272" s="19"/>
      <c r="AC272" s="19"/>
      <c r="AD272" s="15" t="str">
        <f ca="1">IF(AND($D272&lt;&gt;"",COUNTIF(OFFSET(UFS!$E$2,MATCH($D272&amp;"",UFS!$A$2:$A$175,0)-1,0,COUNTIF(UFS!$A$2:$A$175,$D272&amp;""),1),M272)&gt;0),"Valide","Invalide")</f>
        <v>Valide</v>
      </c>
      <c r="AH272" s="15" t="str">
        <f t="shared" si="4"/>
        <v>En attente</v>
      </c>
    </row>
    <row r="273" spans="1:34" s="15" customFormat="1" ht="45" hidden="1" customHeight="1" x14ac:dyDescent="0.3">
      <c r="A273" s="42">
        <v>272</v>
      </c>
      <c r="B273" s="19" t="s">
        <v>4</v>
      </c>
      <c r="C273" s="19" t="s">
        <v>33</v>
      </c>
      <c r="D273" s="20" t="s">
        <v>1134</v>
      </c>
      <c r="E273" s="20" t="s">
        <v>79</v>
      </c>
      <c r="F273" s="21" t="s">
        <v>80</v>
      </c>
      <c r="G273" s="38" t="s">
        <v>81</v>
      </c>
      <c r="H273" s="39" t="s">
        <v>234</v>
      </c>
      <c r="I273" s="39" t="s">
        <v>83</v>
      </c>
      <c r="J273" s="21" t="s">
        <v>1135</v>
      </c>
      <c r="K273" s="21" t="s">
        <v>1136</v>
      </c>
      <c r="L273" s="21" t="s">
        <v>135</v>
      </c>
      <c r="M273" s="21" t="s">
        <v>1137</v>
      </c>
      <c r="N273" s="21" t="s">
        <v>151</v>
      </c>
      <c r="O273" s="20" t="s">
        <v>1140</v>
      </c>
      <c r="P273" s="45">
        <v>45727</v>
      </c>
      <c r="Q273" s="39" t="s">
        <v>1141</v>
      </c>
      <c r="R273" s="19">
        <v>3433</v>
      </c>
      <c r="S273" s="21">
        <v>0.2</v>
      </c>
      <c r="T273" s="21">
        <v>4119.6000000000004</v>
      </c>
      <c r="U273" s="60" t="s">
        <v>953</v>
      </c>
      <c r="V273" s="22">
        <v>45727</v>
      </c>
      <c r="W273" s="54" t="s">
        <v>91</v>
      </c>
      <c r="X273" s="23"/>
      <c r="Y273" s="23" t="s">
        <v>92</v>
      </c>
      <c r="Z273" s="56"/>
      <c r="AA273" s="24">
        <v>250</v>
      </c>
      <c r="AB273" s="19"/>
      <c r="AC273" s="19"/>
      <c r="AD273" s="15" t="str">
        <f ca="1">IF(AND($D273&lt;&gt;"",COUNTIF(OFFSET(UFS!$E$2,MATCH($D273&amp;"",UFS!$A$2:$A$175,0)-1,0,COUNTIF(UFS!$A$2:$A$175,$D273&amp;""),1),M273)&gt;0),"Valide","Invalide")</f>
        <v>Valide</v>
      </c>
      <c r="AH273" s="15" t="str">
        <f t="shared" si="4"/>
        <v>En attente</v>
      </c>
    </row>
    <row r="274" spans="1:34" s="15" customFormat="1" ht="45" hidden="1" customHeight="1" x14ac:dyDescent="0.3">
      <c r="A274" s="42">
        <v>273</v>
      </c>
      <c r="B274" s="19" t="s">
        <v>16</v>
      </c>
      <c r="C274" s="19" t="s">
        <v>1</v>
      </c>
      <c r="D274" s="20" t="s">
        <v>1142</v>
      </c>
      <c r="E274" s="20" t="s">
        <v>79</v>
      </c>
      <c r="F274" s="21" t="s">
        <v>80</v>
      </c>
      <c r="G274" s="38" t="s">
        <v>182</v>
      </c>
      <c r="H274" s="39" t="s">
        <v>82</v>
      </c>
      <c r="I274" s="39" t="s">
        <v>83</v>
      </c>
      <c r="J274" s="21" t="s">
        <v>268</v>
      </c>
      <c r="K274" s="21" t="s">
        <v>1143</v>
      </c>
      <c r="L274" s="21" t="s">
        <v>342</v>
      </c>
      <c r="M274" s="21" t="s">
        <v>1143</v>
      </c>
      <c r="N274" s="21" t="s">
        <v>271</v>
      </c>
      <c r="O274" s="20" t="s">
        <v>1144</v>
      </c>
      <c r="P274" s="45">
        <v>45726</v>
      </c>
      <c r="Q274" s="39" t="s">
        <v>1145</v>
      </c>
      <c r="R274" s="19">
        <v>1477.84</v>
      </c>
      <c r="S274" s="21">
        <v>0.2</v>
      </c>
      <c r="T274" s="21">
        <v>1773.4079999999999</v>
      </c>
      <c r="U274" s="60" t="s">
        <v>1146</v>
      </c>
      <c r="V274" s="22">
        <v>45728</v>
      </c>
      <c r="W274" s="54" t="s">
        <v>91</v>
      </c>
      <c r="X274" s="23"/>
      <c r="Y274" s="23" t="s">
        <v>92</v>
      </c>
      <c r="Z274" s="56"/>
      <c r="AA274" s="24">
        <v>251</v>
      </c>
      <c r="AB274" s="19"/>
      <c r="AC274" s="46" t="s">
        <v>94</v>
      </c>
      <c r="AD274" s="15" t="str">
        <f ca="1">IF(AND($D274&lt;&gt;"",COUNTIF(OFFSET(UFS!$E$2,MATCH($D274&amp;"",UFS!$A$2:$A$175,0)-1,0,COUNTIF(UFS!$A$2:$A$175,$D274&amp;""),1),M274)&gt;0),"Valide","Invalide")</f>
        <v>Valide</v>
      </c>
      <c r="AH274" s="15" t="str">
        <f t="shared" si="4"/>
        <v>En attente</v>
      </c>
    </row>
    <row r="275" spans="1:34" s="15" customFormat="1" ht="45" hidden="1" customHeight="1" x14ac:dyDescent="0.3">
      <c r="A275" s="42">
        <v>274</v>
      </c>
      <c r="B275" s="19" t="s">
        <v>26</v>
      </c>
      <c r="C275" s="19" t="s">
        <v>30</v>
      </c>
      <c r="D275" s="20" t="s">
        <v>1076</v>
      </c>
      <c r="E275" s="20" t="s">
        <v>79</v>
      </c>
      <c r="F275" s="21" t="s">
        <v>80</v>
      </c>
      <c r="G275" s="38" t="s">
        <v>81</v>
      </c>
      <c r="H275" s="39" t="s">
        <v>211</v>
      </c>
      <c r="I275" s="39" t="s">
        <v>83</v>
      </c>
      <c r="J275" s="21" t="s">
        <v>144</v>
      </c>
      <c r="K275" s="21" t="s">
        <v>145</v>
      </c>
      <c r="L275" s="21" t="s">
        <v>120</v>
      </c>
      <c r="M275" s="21" t="s">
        <v>1077</v>
      </c>
      <c r="N275" s="21" t="s">
        <v>165</v>
      </c>
      <c r="O275" s="20" t="s">
        <v>1147</v>
      </c>
      <c r="P275" s="45">
        <v>45727</v>
      </c>
      <c r="Q275" s="39" t="s">
        <v>1148</v>
      </c>
      <c r="R275" s="19">
        <v>4500</v>
      </c>
      <c r="S275" s="21">
        <v>0.2</v>
      </c>
      <c r="T275" s="21">
        <v>5400</v>
      </c>
      <c r="U275" s="60" t="s">
        <v>1149</v>
      </c>
      <c r="V275" s="22">
        <v>45728</v>
      </c>
      <c r="W275" s="54" t="s">
        <v>91</v>
      </c>
      <c r="X275" s="23"/>
      <c r="Y275" s="23" t="s">
        <v>92</v>
      </c>
      <c r="Z275" s="56"/>
      <c r="AA275" s="24">
        <v>252</v>
      </c>
      <c r="AB275" s="19"/>
      <c r="AC275" s="46" t="s">
        <v>94</v>
      </c>
      <c r="AD275" s="15" t="str">
        <f ca="1">IF(AND($D275&lt;&gt;"",COUNTIF(OFFSET(UFS!$E$2,MATCH($D275&amp;"",UFS!$A$2:$A$175,0)-1,0,COUNTIF(UFS!$A$2:$A$175,$D275&amp;""),1),M275)&gt;0),"Valide","Invalide")</f>
        <v>Valide</v>
      </c>
      <c r="AH275" s="15" t="str">
        <f t="shared" si="4"/>
        <v>En attente</v>
      </c>
    </row>
    <row r="276" spans="1:34" s="15" customFormat="1" ht="45" hidden="1" customHeight="1" x14ac:dyDescent="0.3">
      <c r="A276" s="42">
        <v>275</v>
      </c>
      <c r="B276" s="19" t="s">
        <v>26</v>
      </c>
      <c r="C276" s="19" t="s">
        <v>11</v>
      </c>
      <c r="D276" s="20" t="s">
        <v>582</v>
      </c>
      <c r="E276" s="20" t="s">
        <v>79</v>
      </c>
      <c r="F276" s="21" t="s">
        <v>80</v>
      </c>
      <c r="G276" s="38" t="s">
        <v>182</v>
      </c>
      <c r="H276" s="39" t="s">
        <v>211</v>
      </c>
      <c r="I276" s="39" t="s">
        <v>83</v>
      </c>
      <c r="J276" s="21" t="s">
        <v>144</v>
      </c>
      <c r="K276" s="21" t="s">
        <v>145</v>
      </c>
      <c r="L276" s="21" t="s">
        <v>328</v>
      </c>
      <c r="M276" s="21" t="s">
        <v>327</v>
      </c>
      <c r="N276" s="21" t="s">
        <v>102</v>
      </c>
      <c r="O276" s="20" t="s">
        <v>1150</v>
      </c>
      <c r="P276" s="45">
        <v>45727</v>
      </c>
      <c r="Q276" s="39" t="s">
        <v>1151</v>
      </c>
      <c r="R276" s="19">
        <v>923.83</v>
      </c>
      <c r="S276" s="21">
        <v>0.1</v>
      </c>
      <c r="T276" s="21">
        <v>1016.2130000000001</v>
      </c>
      <c r="U276" s="60" t="s">
        <v>1152</v>
      </c>
      <c r="V276" s="22">
        <v>45728</v>
      </c>
      <c r="W276" s="54" t="s">
        <v>91</v>
      </c>
      <c r="X276" s="23"/>
      <c r="Y276" s="23" t="s">
        <v>92</v>
      </c>
      <c r="Z276" s="56"/>
      <c r="AA276" s="24">
        <v>253</v>
      </c>
      <c r="AB276" s="19"/>
      <c r="AC276" s="46" t="s">
        <v>94</v>
      </c>
      <c r="AD276" s="15" t="str">
        <f ca="1">IF(AND($D276&lt;&gt;"",COUNTIF(OFFSET(UFS!$E$2,MATCH($D276&amp;"",UFS!$A$2:$A$175,0)-1,0,COUNTIF(UFS!$A$2:$A$175,$D276&amp;""),1),M276)&gt;0),"Valide","Invalide")</f>
        <v>Invalide</v>
      </c>
      <c r="AH276" s="15" t="str">
        <f t="shared" si="4"/>
        <v>En attente</v>
      </c>
    </row>
    <row r="277" spans="1:34" s="15" customFormat="1" ht="45" hidden="1" customHeight="1" x14ac:dyDescent="0.3">
      <c r="A277" s="42">
        <v>276</v>
      </c>
      <c r="B277" s="19" t="s">
        <v>6</v>
      </c>
      <c r="C277" s="19" t="s">
        <v>9</v>
      </c>
      <c r="D277" s="20" t="s">
        <v>123</v>
      </c>
      <c r="E277" s="20" t="s">
        <v>79</v>
      </c>
      <c r="F277" s="21" t="s">
        <v>80</v>
      </c>
      <c r="G277" s="38" t="s">
        <v>163</v>
      </c>
      <c r="H277" s="39" t="s">
        <v>1085</v>
      </c>
      <c r="I277" s="39"/>
      <c r="J277" s="21" t="s">
        <v>124</v>
      </c>
      <c r="K277" s="21" t="s">
        <v>125</v>
      </c>
      <c r="L277" s="21" t="s">
        <v>126</v>
      </c>
      <c r="M277" s="21" t="s">
        <v>109</v>
      </c>
      <c r="N277" s="21" t="s">
        <v>109</v>
      </c>
      <c r="O277" s="20" t="s">
        <v>1153</v>
      </c>
      <c r="P277" s="45">
        <v>45701</v>
      </c>
      <c r="Q277" s="39" t="s">
        <v>1154</v>
      </c>
      <c r="R277" s="53">
        <v>1400</v>
      </c>
      <c r="S277" s="21">
        <v>0.1</v>
      </c>
      <c r="T277" s="21">
        <v>1540</v>
      </c>
      <c r="U277" s="60" t="s">
        <v>1155</v>
      </c>
      <c r="V277" s="22">
        <v>45728</v>
      </c>
      <c r="W277" s="54" t="s">
        <v>91</v>
      </c>
      <c r="X277" s="23"/>
      <c r="Y277" s="23" t="s">
        <v>92</v>
      </c>
      <c r="Z277" s="56" t="s">
        <v>1156</v>
      </c>
      <c r="AA277" s="24">
        <v>847102</v>
      </c>
      <c r="AB277" s="19"/>
      <c r="AC277" s="19"/>
      <c r="AD277" s="15" t="str">
        <f ca="1">IF(AND($D277&lt;&gt;"",COUNTIF(OFFSET(UFS!$E$2,MATCH($D277&amp;"",UFS!$A$2:$A$175,0)-1,0,COUNTIF(UFS!$A$2:$A$175,$D277&amp;""),1),M277)&gt;0),"Valide","Invalide")</f>
        <v>Valide</v>
      </c>
      <c r="AH277" s="15" t="str">
        <f t="shared" si="4"/>
        <v>En attente</v>
      </c>
    </row>
    <row r="278" spans="1:34" s="15" customFormat="1" ht="45" hidden="1" customHeight="1" x14ac:dyDescent="0.3">
      <c r="A278" s="42">
        <v>277</v>
      </c>
      <c r="B278" s="19" t="s">
        <v>6</v>
      </c>
      <c r="C278" s="19" t="s">
        <v>21</v>
      </c>
      <c r="D278" s="20" t="s">
        <v>200</v>
      </c>
      <c r="E278" s="20" t="s">
        <v>79</v>
      </c>
      <c r="F278" s="21" t="s">
        <v>80</v>
      </c>
      <c r="G278" s="38" t="s">
        <v>533</v>
      </c>
      <c r="H278" s="39" t="s">
        <v>534</v>
      </c>
      <c r="I278" s="39" t="s">
        <v>535</v>
      </c>
      <c r="J278" s="21" t="s">
        <v>144</v>
      </c>
      <c r="K278" s="21" t="s">
        <v>145</v>
      </c>
      <c r="L278" s="21" t="s">
        <v>203</v>
      </c>
      <c r="M278" s="21" t="s">
        <v>109</v>
      </c>
      <c r="N278" s="21" t="s">
        <v>109</v>
      </c>
      <c r="O278" s="20" t="s">
        <v>1157</v>
      </c>
      <c r="P278" s="45">
        <v>45715</v>
      </c>
      <c r="Q278" s="39" t="s">
        <v>1158</v>
      </c>
      <c r="R278" s="53">
        <v>3164.3</v>
      </c>
      <c r="S278" s="21">
        <v>0.2</v>
      </c>
      <c r="T278" s="21">
        <v>3797.1600000000003</v>
      </c>
      <c r="U278" s="60" t="s">
        <v>1159</v>
      </c>
      <c r="V278" s="22">
        <v>45728</v>
      </c>
      <c r="W278" s="54" t="s">
        <v>91</v>
      </c>
      <c r="X278" s="23"/>
      <c r="Y278" s="23" t="s">
        <v>92</v>
      </c>
      <c r="Z278" s="56"/>
      <c r="AA278" s="24">
        <v>255</v>
      </c>
      <c r="AB278" s="19"/>
      <c r="AC278" s="46" t="s">
        <v>94</v>
      </c>
      <c r="AD278" s="15" t="e">
        <f ca="1">IF(AND($D278&lt;&gt;"",COUNTIF(OFFSET(UFS!$E$2,MATCH($D278&amp;"",UFS!$A$2:$A$175,0)-1,0,COUNTIF(UFS!$A$2:$A$175,$D278&amp;""),1),M278)&gt;0),"Valide","Invalide")</f>
        <v>#N/A</v>
      </c>
      <c r="AH278" s="15" t="str">
        <f t="shared" si="4"/>
        <v>En attente</v>
      </c>
    </row>
    <row r="279" spans="1:34" s="15" customFormat="1" ht="45" hidden="1" customHeight="1" x14ac:dyDescent="0.3">
      <c r="A279" s="42">
        <v>278</v>
      </c>
      <c r="B279" s="19" t="s">
        <v>4</v>
      </c>
      <c r="C279" s="19" t="s">
        <v>36</v>
      </c>
      <c r="D279" s="20" t="s">
        <v>260</v>
      </c>
      <c r="E279" s="20" t="s">
        <v>79</v>
      </c>
      <c r="F279" s="21" t="s">
        <v>80</v>
      </c>
      <c r="G279" s="38" t="s">
        <v>241</v>
      </c>
      <c r="H279" s="39" t="s">
        <v>252</v>
      </c>
      <c r="I279" s="39" t="s">
        <v>253</v>
      </c>
      <c r="J279" s="21" t="s">
        <v>84</v>
      </c>
      <c r="K279" s="21" t="s">
        <v>113</v>
      </c>
      <c r="L279" s="21" t="s">
        <v>86</v>
      </c>
      <c r="M279" s="21" t="s">
        <v>109</v>
      </c>
      <c r="N279" s="21" t="s">
        <v>109</v>
      </c>
      <c r="O279" s="20" t="s">
        <v>1160</v>
      </c>
      <c r="P279" s="45">
        <v>45729</v>
      </c>
      <c r="Q279" s="39" t="s">
        <v>1161</v>
      </c>
      <c r="R279" s="19">
        <v>3075.65</v>
      </c>
      <c r="S279" s="21">
        <v>0.1</v>
      </c>
      <c r="T279" s="21">
        <v>3383.2150000000001</v>
      </c>
      <c r="U279" s="60" t="s">
        <v>399</v>
      </c>
      <c r="V279" s="22">
        <v>45729</v>
      </c>
      <c r="W279" s="54" t="s">
        <v>91</v>
      </c>
      <c r="X279" s="23"/>
      <c r="Y279" s="23" t="s">
        <v>92</v>
      </c>
      <c r="Z279" s="56"/>
      <c r="AA279" s="24">
        <v>256</v>
      </c>
      <c r="AB279" s="19"/>
      <c r="AC279" s="19"/>
      <c r="AD279" s="15" t="str">
        <f ca="1">IF(AND($D279&lt;&gt;"",COUNTIF(OFFSET(UFS!$E$2,MATCH($D279&amp;"",UFS!$A$2:$A$175,0)-1,0,COUNTIF(UFS!$A$2:$A$175,$D279&amp;""),1),M279)&gt;0),"Valide","Invalide")</f>
        <v>Valide</v>
      </c>
      <c r="AH279" s="15" t="str">
        <f t="shared" si="4"/>
        <v>En attente</v>
      </c>
    </row>
    <row r="280" spans="1:34" s="15" customFormat="1" ht="45" hidden="1" customHeight="1" x14ac:dyDescent="0.3">
      <c r="A280" s="42">
        <v>279</v>
      </c>
      <c r="B280" s="19" t="s">
        <v>20</v>
      </c>
      <c r="C280" s="19" t="s">
        <v>1</v>
      </c>
      <c r="D280" s="20" t="s">
        <v>628</v>
      </c>
      <c r="E280" s="20" t="s">
        <v>79</v>
      </c>
      <c r="F280" s="21" t="s">
        <v>80</v>
      </c>
      <c r="G280" s="38" t="s">
        <v>182</v>
      </c>
      <c r="H280" s="39" t="s">
        <v>82</v>
      </c>
      <c r="I280" s="39" t="s">
        <v>83</v>
      </c>
      <c r="J280" s="21" t="s">
        <v>124</v>
      </c>
      <c r="K280" s="21" t="s">
        <v>125</v>
      </c>
      <c r="L280" s="21" t="s">
        <v>629</v>
      </c>
      <c r="M280" s="21" t="s">
        <v>136</v>
      </c>
      <c r="N280" s="21" t="s">
        <v>102</v>
      </c>
      <c r="O280" s="38" t="s">
        <v>1162</v>
      </c>
      <c r="P280" s="45">
        <v>45723</v>
      </c>
      <c r="Q280" s="39" t="s">
        <v>1163</v>
      </c>
      <c r="R280" s="19">
        <v>378.67</v>
      </c>
      <c r="S280" s="21">
        <v>0.1</v>
      </c>
      <c r="T280" s="21">
        <v>416.53700000000003</v>
      </c>
      <c r="U280" s="60" t="s">
        <v>439</v>
      </c>
      <c r="V280" s="22">
        <v>45729</v>
      </c>
      <c r="W280" s="54" t="s">
        <v>91</v>
      </c>
      <c r="X280" s="23"/>
      <c r="Y280" s="23" t="s">
        <v>92</v>
      </c>
      <c r="Z280" s="56"/>
      <c r="AA280" s="24">
        <v>257</v>
      </c>
      <c r="AB280" s="19"/>
      <c r="AC280" s="46" t="s">
        <v>94</v>
      </c>
      <c r="AD280" s="15" t="str">
        <f ca="1">IF(AND($D280&lt;&gt;"",COUNTIF(OFFSET(UFS!$E$2,MATCH($D280&amp;"",UFS!$A$2:$A$175,0)-1,0,COUNTIF(UFS!$A$2:$A$175,$D280&amp;""),1),M280)&gt;0),"Valide","Invalide")</f>
        <v>Valide</v>
      </c>
      <c r="AH280" s="15" t="str">
        <f t="shared" si="4"/>
        <v>En attente</v>
      </c>
    </row>
    <row r="281" spans="1:34" s="15" customFormat="1" ht="45" hidden="1" customHeight="1" x14ac:dyDescent="0.3">
      <c r="A281" s="42">
        <v>280</v>
      </c>
      <c r="B281" s="19" t="s">
        <v>20</v>
      </c>
      <c r="C281" s="19" t="s">
        <v>676</v>
      </c>
      <c r="D281" s="20" t="s">
        <v>1164</v>
      </c>
      <c r="E281" s="20" t="s">
        <v>79</v>
      </c>
      <c r="F281" s="21" t="s">
        <v>80</v>
      </c>
      <c r="G281" s="38" t="s">
        <v>241</v>
      </c>
      <c r="H281" s="39"/>
      <c r="I281" s="39" t="s">
        <v>677</v>
      </c>
      <c r="J281" s="21" t="s">
        <v>124</v>
      </c>
      <c r="K281" s="21" t="s">
        <v>125</v>
      </c>
      <c r="L281" s="21" t="s">
        <v>126</v>
      </c>
      <c r="M281" s="21" t="s">
        <v>131</v>
      </c>
      <c r="N281" s="21" t="s">
        <v>1165</v>
      </c>
      <c r="O281" s="20" t="s">
        <v>1166</v>
      </c>
      <c r="P281" s="45">
        <v>45726</v>
      </c>
      <c r="Q281" s="39" t="s">
        <v>1167</v>
      </c>
      <c r="R281" s="19">
        <v>521.66</v>
      </c>
      <c r="S281" s="21">
        <v>0.1</v>
      </c>
      <c r="T281" s="21">
        <v>573.82600000000002</v>
      </c>
      <c r="U281" s="60" t="s">
        <v>680</v>
      </c>
      <c r="V281" s="22">
        <v>45729</v>
      </c>
      <c r="W281" s="54" t="s">
        <v>91</v>
      </c>
      <c r="X281" s="23"/>
      <c r="Y281" s="23" t="s">
        <v>92</v>
      </c>
      <c r="Z281" s="56"/>
      <c r="AA281" s="24">
        <v>258</v>
      </c>
      <c r="AB281" s="19"/>
      <c r="AC281" s="19"/>
      <c r="AD281" s="15" t="str">
        <f ca="1">IF(AND($D281&lt;&gt;"",COUNTIF(OFFSET(UFS!$E$2,MATCH($D281&amp;"",UFS!$A$2:$A$175,0)-1,0,COUNTIF(UFS!$A$2:$A$175,$D281&amp;""),1),M281)&gt;0),"Valide","Invalide")</f>
        <v>Valide</v>
      </c>
      <c r="AH281" s="15" t="str">
        <f t="shared" si="4"/>
        <v>En attente</v>
      </c>
    </row>
    <row r="282" spans="1:34" s="15" customFormat="1" ht="45" hidden="1" customHeight="1" x14ac:dyDescent="0.3">
      <c r="A282" s="42">
        <v>281</v>
      </c>
      <c r="B282" s="19" t="s">
        <v>2</v>
      </c>
      <c r="C282" s="19" t="s">
        <v>1168</v>
      </c>
      <c r="D282" s="20" t="s">
        <v>156</v>
      </c>
      <c r="E282" s="20" t="s">
        <v>79</v>
      </c>
      <c r="F282" s="21" t="s">
        <v>80</v>
      </c>
      <c r="G282" s="38" t="s">
        <v>1169</v>
      </c>
      <c r="H282" s="39" t="s">
        <v>1085</v>
      </c>
      <c r="I282" s="39"/>
      <c r="J282" s="21" t="s">
        <v>144</v>
      </c>
      <c r="K282" s="21" t="s">
        <v>145</v>
      </c>
      <c r="L282" s="21" t="s">
        <v>146</v>
      </c>
      <c r="M282" s="21" t="s">
        <v>146</v>
      </c>
      <c r="N282" s="21" t="s">
        <v>157</v>
      </c>
      <c r="O282" s="20" t="s">
        <v>1170</v>
      </c>
      <c r="P282" s="45">
        <v>45705</v>
      </c>
      <c r="Q282" s="39" t="s">
        <v>1171</v>
      </c>
      <c r="R282" s="19">
        <v>35995</v>
      </c>
      <c r="S282" s="21">
        <v>0.2</v>
      </c>
      <c r="T282" s="21">
        <v>43194</v>
      </c>
      <c r="U282" s="60" t="s">
        <v>1172</v>
      </c>
      <c r="V282" s="22">
        <v>45729</v>
      </c>
      <c r="W282" s="54" t="s">
        <v>91</v>
      </c>
      <c r="X282" s="23"/>
      <c r="Y282" s="23" t="s">
        <v>92</v>
      </c>
      <c r="Z282" s="56" t="s">
        <v>1173</v>
      </c>
      <c r="AA282" s="69">
        <v>847671</v>
      </c>
      <c r="AB282" s="19"/>
      <c r="AC282" s="19"/>
      <c r="AD282" s="15" t="str">
        <f ca="1">IF(AND($D282&lt;&gt;"",COUNTIF(OFFSET(UFS!$E$2,MATCH($D282&amp;"",UFS!$A$2:$A$175,0)-1,0,COUNTIF(UFS!$A$2:$A$175,$D282&amp;""),1),M282)&gt;0),"Valide","Invalide")</f>
        <v>Valide</v>
      </c>
      <c r="AH282" s="15" t="str">
        <f t="shared" si="4"/>
        <v>En attente</v>
      </c>
    </row>
    <row r="283" spans="1:34" s="15" customFormat="1" ht="45" hidden="1" customHeight="1" x14ac:dyDescent="0.3">
      <c r="A283" s="42">
        <v>282</v>
      </c>
      <c r="B283" s="19" t="s">
        <v>24</v>
      </c>
      <c r="C283" s="19" t="s">
        <v>35</v>
      </c>
      <c r="D283" s="20" t="s">
        <v>78</v>
      </c>
      <c r="E283" s="20" t="s">
        <v>96</v>
      </c>
      <c r="F283" s="21" t="s">
        <v>80</v>
      </c>
      <c r="G283" s="38" t="s">
        <v>288</v>
      </c>
      <c r="H283" s="39"/>
      <c r="I283" s="39" t="s">
        <v>1174</v>
      </c>
      <c r="J283" s="21" t="s">
        <v>84</v>
      </c>
      <c r="K283" s="21" t="s">
        <v>85</v>
      </c>
      <c r="L283" s="21" t="s">
        <v>86</v>
      </c>
      <c r="M283" s="21" t="s">
        <v>85</v>
      </c>
      <c r="N283" s="21" t="s">
        <v>87</v>
      </c>
      <c r="O283" s="20" t="s">
        <v>1175</v>
      </c>
      <c r="P283" s="45">
        <v>45713</v>
      </c>
      <c r="Q283" s="39" t="s">
        <v>1176</v>
      </c>
      <c r="R283" s="19">
        <v>3587.08</v>
      </c>
      <c r="S283" s="21">
        <v>0.2</v>
      </c>
      <c r="T283" s="21">
        <v>4304.4960000000001</v>
      </c>
      <c r="U283" s="60" t="s">
        <v>1177</v>
      </c>
      <c r="V283" s="22">
        <v>45730</v>
      </c>
      <c r="W283" s="54" t="s">
        <v>91</v>
      </c>
      <c r="X283" s="23"/>
      <c r="Y283" s="23" t="s">
        <v>92</v>
      </c>
      <c r="Z283" s="56"/>
      <c r="AA283" s="24">
        <v>261</v>
      </c>
      <c r="AB283" s="19"/>
      <c r="AC283" s="46" t="s">
        <v>94</v>
      </c>
      <c r="AD283" s="15" t="str">
        <f ca="1">IF(AND($D283&lt;&gt;"",COUNTIF(OFFSET(UFS!$E$2,MATCH($D283&amp;"",UFS!$A$2:$A$175,0)-1,0,COUNTIF(UFS!$A$2:$A$175,$D283&amp;""),1),M283)&gt;0),"Valide","Invalide")</f>
        <v>Valide</v>
      </c>
      <c r="AH283" s="15" t="str">
        <f t="shared" si="4"/>
        <v>En attente</v>
      </c>
    </row>
    <row r="284" spans="1:34" s="15" customFormat="1" ht="45" hidden="1" customHeight="1" x14ac:dyDescent="0.3">
      <c r="A284" s="42">
        <v>283</v>
      </c>
      <c r="B284" s="19" t="s">
        <v>24</v>
      </c>
      <c r="C284" s="19" t="s">
        <v>11</v>
      </c>
      <c r="D284" s="20" t="s">
        <v>78</v>
      </c>
      <c r="E284" s="20" t="s">
        <v>96</v>
      </c>
      <c r="F284" s="21" t="s">
        <v>80</v>
      </c>
      <c r="G284" s="38" t="s">
        <v>182</v>
      </c>
      <c r="H284" s="39"/>
      <c r="I284" s="39" t="s">
        <v>1174</v>
      </c>
      <c r="J284" s="21" t="s">
        <v>84</v>
      </c>
      <c r="K284" s="21" t="s">
        <v>85</v>
      </c>
      <c r="L284" s="21" t="s">
        <v>86</v>
      </c>
      <c r="M284" s="21" t="s">
        <v>85</v>
      </c>
      <c r="N284" s="21" t="s">
        <v>87</v>
      </c>
      <c r="O284" s="20" t="s">
        <v>1178</v>
      </c>
      <c r="P284" s="45">
        <v>45702</v>
      </c>
      <c r="Q284" s="39" t="s">
        <v>1179</v>
      </c>
      <c r="R284" s="19">
        <v>15127.46</v>
      </c>
      <c r="S284" s="21">
        <v>0.2</v>
      </c>
      <c r="T284" s="21">
        <v>18152.951999999997</v>
      </c>
      <c r="U284" s="60" t="s">
        <v>1177</v>
      </c>
      <c r="V284" s="22">
        <v>45730</v>
      </c>
      <c r="W284" s="54" t="s">
        <v>91</v>
      </c>
      <c r="X284" s="23"/>
      <c r="Y284" s="23" t="s">
        <v>92</v>
      </c>
      <c r="Z284" s="56"/>
      <c r="AA284" s="24">
        <v>262</v>
      </c>
      <c r="AB284" s="19"/>
      <c r="AC284" s="46" t="s">
        <v>94</v>
      </c>
      <c r="AD284" s="15" t="str">
        <f ca="1">IF(AND($D284&lt;&gt;"",COUNTIF(OFFSET(UFS!$E$2,MATCH($D284&amp;"",UFS!$A$2:$A$175,0)-1,0,COUNTIF(UFS!$A$2:$A$175,$D284&amp;""),1),M284)&gt;0),"Valide","Invalide")</f>
        <v>Valide</v>
      </c>
      <c r="AH284" s="15" t="str">
        <f t="shared" si="4"/>
        <v>En attente</v>
      </c>
    </row>
    <row r="285" spans="1:34" s="15" customFormat="1" ht="45" hidden="1" customHeight="1" x14ac:dyDescent="0.3">
      <c r="A285" s="42">
        <v>284</v>
      </c>
      <c r="B285" s="19" t="s">
        <v>24</v>
      </c>
      <c r="C285" s="19" t="s">
        <v>30</v>
      </c>
      <c r="D285" s="20" t="s">
        <v>78</v>
      </c>
      <c r="E285" s="20" t="s">
        <v>96</v>
      </c>
      <c r="F285" s="21" t="s">
        <v>80</v>
      </c>
      <c r="G285" s="38" t="s">
        <v>288</v>
      </c>
      <c r="H285" s="39"/>
      <c r="I285" s="39" t="s">
        <v>1174</v>
      </c>
      <c r="J285" s="21" t="s">
        <v>84</v>
      </c>
      <c r="K285" s="21" t="s">
        <v>85</v>
      </c>
      <c r="L285" s="21" t="s">
        <v>86</v>
      </c>
      <c r="M285" s="21" t="s">
        <v>85</v>
      </c>
      <c r="N285" s="21" t="s">
        <v>87</v>
      </c>
      <c r="O285" s="20" t="s">
        <v>1180</v>
      </c>
      <c r="P285" s="45">
        <v>45646</v>
      </c>
      <c r="Q285" s="39" t="s">
        <v>1181</v>
      </c>
      <c r="R285" s="19">
        <v>5518.42</v>
      </c>
      <c r="S285" s="21">
        <v>0.2</v>
      </c>
      <c r="T285" s="21">
        <v>6622.1040000000003</v>
      </c>
      <c r="U285" s="60" t="s">
        <v>1182</v>
      </c>
      <c r="V285" s="22">
        <v>45730</v>
      </c>
      <c r="W285" s="54" t="s">
        <v>91</v>
      </c>
      <c r="X285" s="23"/>
      <c r="Y285" s="23" t="s">
        <v>92</v>
      </c>
      <c r="Z285" s="56"/>
      <c r="AA285" s="24">
        <v>263</v>
      </c>
      <c r="AB285" s="19"/>
      <c r="AC285" s="46" t="s">
        <v>94</v>
      </c>
      <c r="AD285" s="15" t="str">
        <f ca="1">IF(AND($D285&lt;&gt;"",COUNTIF(OFFSET(UFS!$E$2,MATCH($D285&amp;"",UFS!$A$2:$A$175,0)-1,0,COUNTIF(UFS!$A$2:$A$175,$D285&amp;""),1),M285)&gt;0),"Valide","Invalide")</f>
        <v>Valide</v>
      </c>
      <c r="AH285" s="15" t="str">
        <f t="shared" si="4"/>
        <v>En attente</v>
      </c>
    </row>
    <row r="286" spans="1:34" s="15" customFormat="1" ht="45" customHeight="1" x14ac:dyDescent="0.3">
      <c r="A286" s="42">
        <v>285</v>
      </c>
      <c r="B286" s="19" t="s">
        <v>24</v>
      </c>
      <c r="C286" s="19" t="s">
        <v>28</v>
      </c>
      <c r="D286" s="20" t="s">
        <v>78</v>
      </c>
      <c r="E286" s="20" t="s">
        <v>96</v>
      </c>
      <c r="F286" s="21" t="s">
        <v>80</v>
      </c>
      <c r="G286" s="38" t="s">
        <v>288</v>
      </c>
      <c r="H286" s="39"/>
      <c r="I286" s="39" t="s">
        <v>1174</v>
      </c>
      <c r="J286" s="21" t="s">
        <v>84</v>
      </c>
      <c r="K286" s="21" t="s">
        <v>85</v>
      </c>
      <c r="L286" s="21" t="s">
        <v>86</v>
      </c>
      <c r="M286" s="21" t="s">
        <v>85</v>
      </c>
      <c r="N286" s="21" t="s">
        <v>87</v>
      </c>
      <c r="O286" s="20" t="s">
        <v>1183</v>
      </c>
      <c r="P286" s="45">
        <v>45649</v>
      </c>
      <c r="Q286" s="39" t="s">
        <v>1184</v>
      </c>
      <c r="R286" s="19">
        <v>2444.06</v>
      </c>
      <c r="S286" s="21">
        <v>0.2</v>
      </c>
      <c r="T286" s="21">
        <v>2932.8719999999998</v>
      </c>
      <c r="U286" s="60" t="s">
        <v>1177</v>
      </c>
      <c r="V286" s="22">
        <v>45730</v>
      </c>
      <c r="W286" s="54" t="s">
        <v>91</v>
      </c>
      <c r="X286" s="23"/>
      <c r="Y286" s="23" t="s">
        <v>92</v>
      </c>
      <c r="Z286" s="56" t="s">
        <v>1185</v>
      </c>
      <c r="AA286" s="24">
        <v>264</v>
      </c>
      <c r="AB286" s="19" t="s">
        <v>1186</v>
      </c>
      <c r="AC286" s="19"/>
      <c r="AD286" s="15" t="str">
        <f ca="1">IF(AND($D286&lt;&gt;"",COUNTIF(OFFSET(UFS!$E$2,MATCH($D286&amp;"",UFS!$A$2:$A$175,0)-1,0,COUNTIF(UFS!$A$2:$A$175,$D286&amp;""),1),M286)&gt;0),"Valide","Invalide")</f>
        <v>Valide</v>
      </c>
      <c r="AH286" s="15" t="str">
        <f t="shared" si="4"/>
        <v>En attente</v>
      </c>
    </row>
    <row r="287" spans="1:34" s="15" customFormat="1" ht="45" hidden="1" customHeight="1" x14ac:dyDescent="0.3">
      <c r="A287" s="42">
        <v>286</v>
      </c>
      <c r="B287" s="19" t="s">
        <v>24</v>
      </c>
      <c r="C287" s="19" t="s">
        <v>5</v>
      </c>
      <c r="D287" s="20" t="s">
        <v>78</v>
      </c>
      <c r="E287" s="20" t="s">
        <v>96</v>
      </c>
      <c r="F287" s="21" t="s">
        <v>80</v>
      </c>
      <c r="G287" s="38" t="s">
        <v>288</v>
      </c>
      <c r="H287" s="39"/>
      <c r="I287" s="39" t="s">
        <v>1174</v>
      </c>
      <c r="J287" s="21" t="s">
        <v>84</v>
      </c>
      <c r="K287" s="21" t="s">
        <v>85</v>
      </c>
      <c r="L287" s="21" t="s">
        <v>86</v>
      </c>
      <c r="M287" s="21" t="s">
        <v>85</v>
      </c>
      <c r="N287" s="21" t="s">
        <v>87</v>
      </c>
      <c r="O287" s="20" t="s">
        <v>1187</v>
      </c>
      <c r="P287" s="45">
        <v>45646</v>
      </c>
      <c r="Q287" s="39" t="s">
        <v>1188</v>
      </c>
      <c r="R287" s="19">
        <v>1705.84</v>
      </c>
      <c r="S287" s="21">
        <v>0.2</v>
      </c>
      <c r="T287" s="21">
        <v>2047.0079999999998</v>
      </c>
      <c r="U287" s="60" t="s">
        <v>1177</v>
      </c>
      <c r="V287" s="22">
        <v>45730</v>
      </c>
      <c r="W287" s="54" t="s">
        <v>91</v>
      </c>
      <c r="X287" s="23"/>
      <c r="Y287" s="23" t="s">
        <v>92</v>
      </c>
      <c r="Z287" s="56"/>
      <c r="AA287" s="24">
        <v>265</v>
      </c>
      <c r="AB287" s="19"/>
      <c r="AC287" s="49" t="s">
        <v>94</v>
      </c>
      <c r="AD287" s="15" t="str">
        <f ca="1">IF(AND($D287&lt;&gt;"",COUNTIF(OFFSET(UFS!$E$2,MATCH($D287&amp;"",UFS!$A$2:$A$175,0)-1,0,COUNTIF(UFS!$A$2:$A$175,$D287&amp;""),1),M287)&gt;0),"Valide","Invalide")</f>
        <v>Valide</v>
      </c>
      <c r="AH287" s="15" t="str">
        <f t="shared" si="4"/>
        <v>En attente</v>
      </c>
    </row>
    <row r="288" spans="1:34" s="15" customFormat="1" ht="45" hidden="1" customHeight="1" x14ac:dyDescent="0.3">
      <c r="A288" s="42">
        <v>287</v>
      </c>
      <c r="B288" s="19" t="s">
        <v>4</v>
      </c>
      <c r="C288" s="19" t="s">
        <v>36</v>
      </c>
      <c r="D288" s="20" t="s">
        <v>123</v>
      </c>
      <c r="E288" s="20" t="s">
        <v>79</v>
      </c>
      <c r="F288" s="21" t="s">
        <v>80</v>
      </c>
      <c r="G288" s="38" t="s">
        <v>241</v>
      </c>
      <c r="H288" s="39" t="s">
        <v>252</v>
      </c>
      <c r="I288" s="39" t="s">
        <v>253</v>
      </c>
      <c r="J288" s="21" t="s">
        <v>124</v>
      </c>
      <c r="K288" s="21" t="s">
        <v>125</v>
      </c>
      <c r="L288" s="21" t="s">
        <v>126</v>
      </c>
      <c r="M288" s="21" t="s">
        <v>109</v>
      </c>
      <c r="N288" s="21" t="s">
        <v>109</v>
      </c>
      <c r="O288" s="20" t="s">
        <v>1189</v>
      </c>
      <c r="P288" s="45">
        <v>45729</v>
      </c>
      <c r="Q288" s="39" t="s">
        <v>1190</v>
      </c>
      <c r="R288" s="19">
        <v>2995.2</v>
      </c>
      <c r="S288" s="21">
        <v>0.1</v>
      </c>
      <c r="T288" s="21">
        <v>3294.72</v>
      </c>
      <c r="U288" s="44" t="s">
        <v>399</v>
      </c>
      <c r="V288" s="22">
        <v>45730</v>
      </c>
      <c r="W288" s="54" t="s">
        <v>91</v>
      </c>
      <c r="X288" s="23"/>
      <c r="Y288" s="23" t="s">
        <v>92</v>
      </c>
      <c r="Z288" s="56"/>
      <c r="AA288" s="24">
        <v>266</v>
      </c>
      <c r="AB288" s="19"/>
      <c r="AC288" s="46" t="s">
        <v>94</v>
      </c>
      <c r="AD288" s="15" t="str">
        <f ca="1">IF(AND($D288&lt;&gt;"",COUNTIF(OFFSET(UFS!$E$2,MATCH($D288&amp;"",UFS!$A$2:$A$175,0)-1,0,COUNTIF(UFS!$A$2:$A$175,$D288&amp;""),1),M288)&gt;0),"Valide","Invalide")</f>
        <v>Valide</v>
      </c>
      <c r="AH288" s="15" t="str">
        <f t="shared" si="4"/>
        <v>En attente</v>
      </c>
    </row>
    <row r="289" spans="1:34" s="15" customFormat="1" ht="45" hidden="1" customHeight="1" x14ac:dyDescent="0.3">
      <c r="A289" s="42">
        <v>288</v>
      </c>
      <c r="B289" s="19" t="s">
        <v>4</v>
      </c>
      <c r="C289" s="19" t="s">
        <v>36</v>
      </c>
      <c r="D289" s="20" t="s">
        <v>260</v>
      </c>
      <c r="E289" s="20" t="s">
        <v>79</v>
      </c>
      <c r="F289" s="21" t="s">
        <v>80</v>
      </c>
      <c r="G289" s="38" t="s">
        <v>241</v>
      </c>
      <c r="H289" s="39" t="s">
        <v>252</v>
      </c>
      <c r="I289" s="39" t="s">
        <v>253</v>
      </c>
      <c r="J289" s="21" t="s">
        <v>84</v>
      </c>
      <c r="K289" s="21" t="s">
        <v>113</v>
      </c>
      <c r="L289" s="21" t="s">
        <v>86</v>
      </c>
      <c r="M289" s="21" t="s">
        <v>109</v>
      </c>
      <c r="N289" s="21" t="s">
        <v>109</v>
      </c>
      <c r="O289" s="20" t="s">
        <v>1191</v>
      </c>
      <c r="P289" s="45">
        <v>45604</v>
      </c>
      <c r="Q289" s="39" t="s">
        <v>1192</v>
      </c>
      <c r="R289" s="19">
        <v>2834</v>
      </c>
      <c r="S289" s="21">
        <v>0.1</v>
      </c>
      <c r="T289" s="21">
        <v>3117.4</v>
      </c>
      <c r="U289" s="44" t="s">
        <v>399</v>
      </c>
      <c r="V289" s="22">
        <v>45730</v>
      </c>
      <c r="W289" s="54" t="s">
        <v>91</v>
      </c>
      <c r="X289" s="23"/>
      <c r="Y289" s="23" t="s">
        <v>92</v>
      </c>
      <c r="Z289" s="56"/>
      <c r="AA289" s="24">
        <v>267</v>
      </c>
      <c r="AB289" s="19"/>
      <c r="AC289" s="19"/>
      <c r="AD289" s="15" t="str">
        <f ca="1">IF(AND($D289&lt;&gt;"",COUNTIF(OFFSET(UFS!$E$2,MATCH($D289&amp;"",UFS!$A$2:$A$175,0)-1,0,COUNTIF(UFS!$A$2:$A$175,$D289&amp;""),1),M289)&gt;0),"Valide","Invalide")</f>
        <v>Valide</v>
      </c>
      <c r="AH289" s="15" t="str">
        <f t="shared" si="4"/>
        <v>En attente</v>
      </c>
    </row>
    <row r="290" spans="1:34" s="15" customFormat="1" ht="45" hidden="1" customHeight="1" x14ac:dyDescent="0.3">
      <c r="A290" s="42">
        <v>289</v>
      </c>
      <c r="B290" s="19" t="s">
        <v>6</v>
      </c>
      <c r="C290" s="19" t="s">
        <v>21</v>
      </c>
      <c r="D290" s="20" t="s">
        <v>200</v>
      </c>
      <c r="E290" s="20" t="s">
        <v>853</v>
      </c>
      <c r="F290" s="21" t="s">
        <v>80</v>
      </c>
      <c r="G290" s="38" t="s">
        <v>854</v>
      </c>
      <c r="H290" s="39" t="s">
        <v>534</v>
      </c>
      <c r="I290" s="39"/>
      <c r="J290" s="21" t="s">
        <v>144</v>
      </c>
      <c r="K290" s="21" t="s">
        <v>145</v>
      </c>
      <c r="L290" s="21" t="s">
        <v>203</v>
      </c>
      <c r="M290" s="21" t="s">
        <v>109</v>
      </c>
      <c r="N290" s="21" t="s">
        <v>109</v>
      </c>
      <c r="O290" s="20" t="s">
        <v>1193</v>
      </c>
      <c r="P290" s="45">
        <v>45729</v>
      </c>
      <c r="Q290" s="39" t="s">
        <v>1194</v>
      </c>
      <c r="R290" s="19">
        <v>777.7</v>
      </c>
      <c r="S290" s="21">
        <v>0.2</v>
      </c>
      <c r="T290" s="21">
        <v>933.24</v>
      </c>
      <c r="U290" s="44" t="s">
        <v>1195</v>
      </c>
      <c r="V290" s="22">
        <v>45730</v>
      </c>
      <c r="W290" s="54" t="s">
        <v>91</v>
      </c>
      <c r="X290" s="23"/>
      <c r="Y290" s="23" t="s">
        <v>92</v>
      </c>
      <c r="Z290" s="56" t="s">
        <v>1196</v>
      </c>
      <c r="AA290" s="24">
        <v>3004</v>
      </c>
      <c r="AB290" s="19"/>
      <c r="AC290" s="46" t="s">
        <v>94</v>
      </c>
      <c r="AD290" s="15" t="e">
        <f ca="1">IF(AND($D290&lt;&gt;"",COUNTIF(OFFSET(UFS!$E$2,MATCH($D290&amp;"",UFS!$A$2:$A$175,0)-1,0,COUNTIF(UFS!$A$2:$A$175,$D290&amp;""),1),M290)&gt;0),"Valide","Invalide")</f>
        <v>#N/A</v>
      </c>
      <c r="AH290" s="15" t="str">
        <f t="shared" si="4"/>
        <v>En attente</v>
      </c>
    </row>
    <row r="291" spans="1:34" s="15" customFormat="1" ht="45" hidden="1" customHeight="1" x14ac:dyDescent="0.3">
      <c r="A291" s="42">
        <v>290</v>
      </c>
      <c r="B291" s="19" t="s">
        <v>6</v>
      </c>
      <c r="C291" s="19" t="s">
        <v>21</v>
      </c>
      <c r="D291" s="20" t="s">
        <v>200</v>
      </c>
      <c r="E291" s="20" t="s">
        <v>853</v>
      </c>
      <c r="F291" s="21" t="s">
        <v>80</v>
      </c>
      <c r="G291" s="38" t="s">
        <v>854</v>
      </c>
      <c r="H291" s="39" t="s">
        <v>534</v>
      </c>
      <c r="I291" s="39"/>
      <c r="J291" s="21" t="s">
        <v>144</v>
      </c>
      <c r="K291" s="21" t="s">
        <v>145</v>
      </c>
      <c r="L291" s="21" t="s">
        <v>203</v>
      </c>
      <c r="M291" s="21" t="s">
        <v>109</v>
      </c>
      <c r="N291" s="21" t="s">
        <v>109</v>
      </c>
      <c r="O291" s="20" t="s">
        <v>1197</v>
      </c>
      <c r="P291" s="45">
        <v>45729</v>
      </c>
      <c r="Q291" s="39" t="s">
        <v>1198</v>
      </c>
      <c r="R291" s="19">
        <v>803</v>
      </c>
      <c r="S291" s="21">
        <v>0.2</v>
      </c>
      <c r="T291" s="21">
        <v>963.6</v>
      </c>
      <c r="U291" s="44" t="s">
        <v>1199</v>
      </c>
      <c r="V291" s="22">
        <v>45730</v>
      </c>
      <c r="W291" s="54" t="s">
        <v>91</v>
      </c>
      <c r="X291" s="23"/>
      <c r="Y291" s="23" t="s">
        <v>92</v>
      </c>
      <c r="Z291" s="56" t="s">
        <v>1196</v>
      </c>
      <c r="AA291" s="24">
        <v>3005</v>
      </c>
      <c r="AB291" s="19"/>
      <c r="AC291" s="46" t="s">
        <v>94</v>
      </c>
      <c r="AD291" s="15" t="e">
        <f ca="1">IF(AND($D291&lt;&gt;"",COUNTIF(OFFSET(UFS!$E$2,MATCH($D291&amp;"",UFS!$A$2:$A$175,0)-1,0,COUNTIF(UFS!$A$2:$A$175,$D291&amp;""),1),M291)&gt;0),"Valide","Invalide")</f>
        <v>#N/A</v>
      </c>
      <c r="AH291" s="15" t="str">
        <f t="shared" si="4"/>
        <v>En attente</v>
      </c>
    </row>
    <row r="292" spans="1:34" s="15" customFormat="1" ht="45" hidden="1" customHeight="1" x14ac:dyDescent="0.3">
      <c r="A292" s="42">
        <v>291</v>
      </c>
      <c r="B292" s="19" t="s">
        <v>24</v>
      </c>
      <c r="C292" s="19" t="s">
        <v>28</v>
      </c>
      <c r="D292" s="20" t="s">
        <v>1200</v>
      </c>
      <c r="E292" s="20" t="s">
        <v>79</v>
      </c>
      <c r="F292" s="21" t="s">
        <v>80</v>
      </c>
      <c r="G292" s="38" t="s">
        <v>81</v>
      </c>
      <c r="H292" s="39" t="s">
        <v>82</v>
      </c>
      <c r="I292" s="39" t="s">
        <v>83</v>
      </c>
      <c r="J292" s="21" t="s">
        <v>461</v>
      </c>
      <c r="K292" s="21" t="s">
        <v>1201</v>
      </c>
      <c r="L292" s="21" t="s">
        <v>120</v>
      </c>
      <c r="M292" s="21" t="s">
        <v>1201</v>
      </c>
      <c r="N292" s="21" t="s">
        <v>151</v>
      </c>
      <c r="O292" s="20" t="s">
        <v>1202</v>
      </c>
      <c r="P292" s="45">
        <v>45727</v>
      </c>
      <c r="Q292" s="39" t="s">
        <v>1203</v>
      </c>
      <c r="R292" s="19">
        <v>17257.13</v>
      </c>
      <c r="S292" s="21">
        <v>0.2</v>
      </c>
      <c r="T292" s="21">
        <v>20708.556</v>
      </c>
      <c r="U292" s="44" t="s">
        <v>1204</v>
      </c>
      <c r="V292" s="22">
        <v>45733</v>
      </c>
      <c r="W292" s="54" t="s">
        <v>91</v>
      </c>
      <c r="X292" s="23"/>
      <c r="Y292" s="23" t="s">
        <v>92</v>
      </c>
      <c r="Z292" s="56"/>
      <c r="AA292" s="24">
        <v>268</v>
      </c>
      <c r="AB292" s="19"/>
      <c r="AC292" s="46" t="s">
        <v>94</v>
      </c>
      <c r="AD292" s="15" t="str">
        <f ca="1">IF(AND($D292&lt;&gt;"",COUNTIF(OFFSET(UFS!$E$2,MATCH($D292&amp;"",UFS!$A$2:$A$175,0)-1,0,COUNTIF(UFS!$A$2:$A$175,$D292&amp;""),1),M292)&gt;0),"Valide","Invalide")</f>
        <v>Valide</v>
      </c>
      <c r="AH292" s="15" t="str">
        <f t="shared" si="4"/>
        <v>En attente</v>
      </c>
    </row>
    <row r="293" spans="1:34" s="15" customFormat="1" ht="45" hidden="1" customHeight="1" x14ac:dyDescent="0.3">
      <c r="A293" s="42">
        <v>292</v>
      </c>
      <c r="B293" s="19" t="s">
        <v>16</v>
      </c>
      <c r="C293" s="19" t="s">
        <v>1</v>
      </c>
      <c r="D293" s="20" t="s">
        <v>251</v>
      </c>
      <c r="E293" s="20" t="s">
        <v>79</v>
      </c>
      <c r="F293" s="21" t="s">
        <v>80</v>
      </c>
      <c r="G293" s="38" t="s">
        <v>81</v>
      </c>
      <c r="H293" s="39" t="s">
        <v>82</v>
      </c>
      <c r="I293" s="39" t="s">
        <v>83</v>
      </c>
      <c r="J293" s="21" t="s">
        <v>144</v>
      </c>
      <c r="K293" s="21" t="s">
        <v>145</v>
      </c>
      <c r="L293" s="21" t="s">
        <v>254</v>
      </c>
      <c r="M293" s="21" t="s">
        <v>255</v>
      </c>
      <c r="N293" s="21" t="s">
        <v>256</v>
      </c>
      <c r="O293" s="20" t="s">
        <v>1205</v>
      </c>
      <c r="P293" s="45">
        <v>45733</v>
      </c>
      <c r="Q293" s="39" t="s">
        <v>1206</v>
      </c>
      <c r="R293" s="19">
        <v>930.05</v>
      </c>
      <c r="S293" s="21">
        <v>0.2</v>
      </c>
      <c r="T293" s="21">
        <v>1116.06</v>
      </c>
      <c r="U293" s="44" t="s">
        <v>1207</v>
      </c>
      <c r="V293" s="22">
        <v>45733</v>
      </c>
      <c r="W293" s="54" t="s">
        <v>91</v>
      </c>
      <c r="X293" s="23"/>
      <c r="Y293" s="23" t="s">
        <v>92</v>
      </c>
      <c r="Z293" s="56"/>
      <c r="AA293" s="24">
        <v>269</v>
      </c>
      <c r="AB293" s="19"/>
      <c r="AC293" s="46" t="s">
        <v>94</v>
      </c>
      <c r="AD293" s="15" t="str">
        <f ca="1">IF(AND($D293&lt;&gt;"",COUNTIF(OFFSET(UFS!$E$2,MATCH($D293&amp;"",UFS!$A$2:$A$175,0)-1,0,COUNTIF(UFS!$A$2:$A$175,$D293&amp;""),1),M293)&gt;0),"Valide","Invalide")</f>
        <v>Valide</v>
      </c>
      <c r="AH293" s="15" t="str">
        <f t="shared" si="4"/>
        <v>En attente</v>
      </c>
    </row>
    <row r="294" spans="1:34" s="15" customFormat="1" ht="45" hidden="1" customHeight="1" x14ac:dyDescent="0.3">
      <c r="A294" s="42">
        <v>293</v>
      </c>
      <c r="B294" s="19" t="s">
        <v>24</v>
      </c>
      <c r="C294" s="19" t="s">
        <v>15</v>
      </c>
      <c r="D294" s="20" t="s">
        <v>174</v>
      </c>
      <c r="E294" s="20" t="s">
        <v>96</v>
      </c>
      <c r="F294" s="21" t="s">
        <v>80</v>
      </c>
      <c r="G294" s="38" t="s">
        <v>97</v>
      </c>
      <c r="H294" s="39"/>
      <c r="I294" s="39" t="s">
        <v>1208</v>
      </c>
      <c r="J294" s="21" t="s">
        <v>124</v>
      </c>
      <c r="K294" s="21" t="s">
        <v>125</v>
      </c>
      <c r="L294" s="21" t="s">
        <v>177</v>
      </c>
      <c r="M294" s="21" t="s">
        <v>136</v>
      </c>
      <c r="N294" s="21" t="s">
        <v>102</v>
      </c>
      <c r="O294" s="20" t="s">
        <v>1209</v>
      </c>
      <c r="P294" s="45">
        <v>45730</v>
      </c>
      <c r="Q294" s="39" t="s">
        <v>1210</v>
      </c>
      <c r="R294" s="19">
        <v>2248.46</v>
      </c>
      <c r="S294" s="21">
        <v>0.1</v>
      </c>
      <c r="T294" s="21">
        <v>2473.306</v>
      </c>
      <c r="U294" s="44" t="s">
        <v>180</v>
      </c>
      <c r="V294" s="22">
        <v>45733</v>
      </c>
      <c r="W294" s="54" t="s">
        <v>91</v>
      </c>
      <c r="X294" s="23"/>
      <c r="Y294" s="23" t="s">
        <v>92</v>
      </c>
      <c r="Z294" s="56"/>
      <c r="AA294" s="24">
        <v>270</v>
      </c>
      <c r="AB294" s="47">
        <v>45796</v>
      </c>
      <c r="AC294" s="46" t="s">
        <v>94</v>
      </c>
      <c r="AD294" s="15" t="str">
        <f ca="1">IF(AND($D294&lt;&gt;"",COUNTIF(OFFSET(UFS!$E$2,MATCH($D294&amp;"",UFS!$A$2:$A$175,0)-1,0,COUNTIF(UFS!$A$2:$A$175,$D294&amp;""),1),M294)&gt;0),"Valide","Invalide")</f>
        <v>Valide</v>
      </c>
      <c r="AH294" s="15" t="str">
        <f t="shared" si="4"/>
        <v>En attente</v>
      </c>
    </row>
    <row r="295" spans="1:34" s="15" customFormat="1" ht="45" hidden="1" customHeight="1" x14ac:dyDescent="0.3">
      <c r="A295" s="42">
        <v>294</v>
      </c>
      <c r="B295" s="19" t="s">
        <v>16</v>
      </c>
      <c r="C295" s="19" t="s">
        <v>30</v>
      </c>
      <c r="D295" s="20" t="s">
        <v>911</v>
      </c>
      <c r="E295" s="20" t="s">
        <v>79</v>
      </c>
      <c r="F295" s="21" t="s">
        <v>80</v>
      </c>
      <c r="G295" s="38" t="s">
        <v>182</v>
      </c>
      <c r="H295" s="39" t="s">
        <v>82</v>
      </c>
      <c r="I295" s="39" t="s">
        <v>83</v>
      </c>
      <c r="J295" s="21" t="s">
        <v>144</v>
      </c>
      <c r="K295" s="21" t="s">
        <v>145</v>
      </c>
      <c r="L295" s="21" t="s">
        <v>270</v>
      </c>
      <c r="M295" s="21" t="s">
        <v>912</v>
      </c>
      <c r="N295" s="21" t="s">
        <v>102</v>
      </c>
      <c r="O295" s="20" t="s">
        <v>1211</v>
      </c>
      <c r="P295" s="45">
        <v>45733</v>
      </c>
      <c r="Q295" s="39" t="s">
        <v>1212</v>
      </c>
      <c r="R295" s="19">
        <v>2200.4699999999998</v>
      </c>
      <c r="S295" s="21">
        <v>0.1</v>
      </c>
      <c r="T295" s="21">
        <v>2420.5169999999998</v>
      </c>
      <c r="U295" s="60" t="s">
        <v>1213</v>
      </c>
      <c r="V295" s="22">
        <v>45735</v>
      </c>
      <c r="W295" s="54" t="s">
        <v>91</v>
      </c>
      <c r="X295" s="23"/>
      <c r="Y295" s="23" t="s">
        <v>92</v>
      </c>
      <c r="Z295" s="56"/>
      <c r="AA295" s="24">
        <v>271</v>
      </c>
      <c r="AB295" s="19"/>
      <c r="AC295" s="46" t="s">
        <v>94</v>
      </c>
      <c r="AD295" s="15" t="str">
        <f ca="1">IF(AND($D295&lt;&gt;"",COUNTIF(OFFSET(UFS!$E$2,MATCH($D295&amp;"",UFS!$A$2:$A$175,0)-1,0,COUNTIF(UFS!$A$2:$A$175,$D295&amp;""),1),M295)&gt;0),"Valide","Invalide")</f>
        <v>Valide</v>
      </c>
      <c r="AH295" s="15" t="str">
        <f t="shared" si="4"/>
        <v>En attente</v>
      </c>
    </row>
    <row r="296" spans="1:34" s="15" customFormat="1" ht="45" hidden="1" customHeight="1" x14ac:dyDescent="0.3">
      <c r="A296" s="42">
        <v>295</v>
      </c>
      <c r="B296" s="19" t="s">
        <v>24</v>
      </c>
      <c r="C296" s="19" t="s">
        <v>15</v>
      </c>
      <c r="D296" s="20" t="s">
        <v>78</v>
      </c>
      <c r="E296" s="21" t="s">
        <v>96</v>
      </c>
      <c r="G296" s="38" t="s">
        <v>97</v>
      </c>
      <c r="H296" s="39"/>
      <c r="I296" s="39" t="s">
        <v>1174</v>
      </c>
      <c r="J296" s="21" t="s">
        <v>84</v>
      </c>
      <c r="K296" s="21" t="s">
        <v>85</v>
      </c>
      <c r="L296" s="21" t="s">
        <v>86</v>
      </c>
      <c r="M296" s="21" t="s">
        <v>85</v>
      </c>
      <c r="N296" s="21" t="s">
        <v>87</v>
      </c>
      <c r="O296" s="20" t="s">
        <v>1214</v>
      </c>
      <c r="P296" s="45">
        <v>45713</v>
      </c>
      <c r="Q296" s="39" t="s">
        <v>1215</v>
      </c>
      <c r="R296" s="19">
        <v>4421.87</v>
      </c>
      <c r="S296" s="21">
        <v>0.2</v>
      </c>
      <c r="T296" s="21">
        <v>5306.2439999999997</v>
      </c>
      <c r="U296" s="44" t="s">
        <v>1216</v>
      </c>
      <c r="V296" s="22">
        <v>45735</v>
      </c>
      <c r="W296" s="54" t="s">
        <v>91</v>
      </c>
      <c r="X296" s="23"/>
      <c r="Y296" s="23" t="s">
        <v>92</v>
      </c>
      <c r="Z296" s="56"/>
      <c r="AA296" s="24">
        <v>272</v>
      </c>
      <c r="AB296" s="19"/>
      <c r="AC296" s="46" t="s">
        <v>94</v>
      </c>
      <c r="AD296" s="15" t="str">
        <f ca="1">IF(AND($D296&lt;&gt;"",COUNTIF(OFFSET(UFS!$E$2,MATCH($D296&amp;"",UFS!$A$2:$A$175,0)-1,0,COUNTIF(UFS!$A$2:$A$175,$D296&amp;""),1),M296)&gt;0),"Valide","Invalide")</f>
        <v>Valide</v>
      </c>
      <c r="AH296" s="15" t="str">
        <f t="shared" si="4"/>
        <v>En attente</v>
      </c>
    </row>
    <row r="297" spans="1:34" s="15" customFormat="1" ht="45" hidden="1" customHeight="1" x14ac:dyDescent="0.3">
      <c r="A297" s="42">
        <v>296</v>
      </c>
      <c r="B297" s="19" t="s">
        <v>24</v>
      </c>
      <c r="C297" s="19" t="s">
        <v>11</v>
      </c>
      <c r="D297" s="20" t="s">
        <v>260</v>
      </c>
      <c r="E297" s="20" t="s">
        <v>79</v>
      </c>
      <c r="F297" s="21" t="s">
        <v>80</v>
      </c>
      <c r="G297" s="38" t="s">
        <v>81</v>
      </c>
      <c r="H297" s="39" t="s">
        <v>211</v>
      </c>
      <c r="I297" s="39" t="s">
        <v>83</v>
      </c>
      <c r="J297" s="21" t="s">
        <v>84</v>
      </c>
      <c r="K297" s="21" t="s">
        <v>113</v>
      </c>
      <c r="L297" s="21" t="s">
        <v>86</v>
      </c>
      <c r="M297" s="21" t="s">
        <v>109</v>
      </c>
      <c r="N297" s="21" t="s">
        <v>109</v>
      </c>
      <c r="O297" s="20" t="s">
        <v>1217</v>
      </c>
      <c r="P297" s="45">
        <v>45733</v>
      </c>
      <c r="Q297" s="39" t="s">
        <v>1218</v>
      </c>
      <c r="R297" s="19">
        <v>420.24</v>
      </c>
      <c r="S297" s="21">
        <v>0.1</v>
      </c>
      <c r="T297" s="21">
        <v>462.26400000000001</v>
      </c>
      <c r="U297" s="44" t="s">
        <v>1219</v>
      </c>
      <c r="V297" s="22">
        <v>45735</v>
      </c>
      <c r="W297" s="54" t="s">
        <v>91</v>
      </c>
      <c r="X297" s="23"/>
      <c r="Y297" s="23" t="s">
        <v>92</v>
      </c>
      <c r="Z297" s="56"/>
      <c r="AA297" s="24">
        <v>273</v>
      </c>
      <c r="AB297" s="19"/>
      <c r="AC297" s="46" t="s">
        <v>94</v>
      </c>
      <c r="AD297" s="15" t="str">
        <f ca="1">IF(AND($D297&lt;&gt;"",COUNTIF(OFFSET(UFS!$E$2,MATCH($D297&amp;"",UFS!$A$2:$A$175,0)-1,0,COUNTIF(UFS!$A$2:$A$175,$D297&amp;""),1),M297)&gt;0),"Valide","Invalide")</f>
        <v>Valide</v>
      </c>
      <c r="AH297" s="15" t="str">
        <f t="shared" si="4"/>
        <v>En attente</v>
      </c>
    </row>
    <row r="298" spans="1:34" s="15" customFormat="1" ht="45" hidden="1" customHeight="1" x14ac:dyDescent="0.3">
      <c r="A298" s="42">
        <v>297</v>
      </c>
      <c r="B298" s="19" t="s">
        <v>24</v>
      </c>
      <c r="C298" s="19" t="s">
        <v>11</v>
      </c>
      <c r="D298" s="20" t="s">
        <v>123</v>
      </c>
      <c r="E298" s="20" t="s">
        <v>79</v>
      </c>
      <c r="F298" s="21" t="s">
        <v>80</v>
      </c>
      <c r="G298" s="38" t="s">
        <v>81</v>
      </c>
      <c r="H298" s="39" t="s">
        <v>211</v>
      </c>
      <c r="I298" s="39" t="s">
        <v>83</v>
      </c>
      <c r="J298" s="21" t="s">
        <v>124</v>
      </c>
      <c r="K298" s="21" t="s">
        <v>125</v>
      </c>
      <c r="L298" s="21" t="s">
        <v>126</v>
      </c>
      <c r="M298" s="21" t="s">
        <v>109</v>
      </c>
      <c r="N298" s="21" t="s">
        <v>109</v>
      </c>
      <c r="O298" s="20" t="s">
        <v>1220</v>
      </c>
      <c r="P298" s="45">
        <v>45733</v>
      </c>
      <c r="Q298" s="39" t="s">
        <v>1221</v>
      </c>
      <c r="R298" s="19">
        <v>99.63</v>
      </c>
      <c r="S298" s="21">
        <v>0.1</v>
      </c>
      <c r="T298" s="21">
        <v>109.59299999999999</v>
      </c>
      <c r="U298" s="44" t="s">
        <v>1222</v>
      </c>
      <c r="V298" s="22">
        <v>45735</v>
      </c>
      <c r="W298" s="54" t="s">
        <v>91</v>
      </c>
      <c r="X298" s="23"/>
      <c r="Y298" s="23" t="s">
        <v>92</v>
      </c>
      <c r="Z298" s="56" t="s">
        <v>446</v>
      </c>
      <c r="AA298" s="24">
        <v>849108</v>
      </c>
      <c r="AB298" s="19"/>
      <c r="AC298" s="46" t="s">
        <v>94</v>
      </c>
      <c r="AD298" s="15" t="str">
        <f ca="1">IF(AND($D298&lt;&gt;"",COUNTIF(OFFSET(UFS!$E$2,MATCH($D298&amp;"",UFS!$A$2:$A$175,0)-1,0,COUNTIF(UFS!$A$2:$A$175,$D298&amp;""),1),M298)&gt;0),"Valide","Invalide")</f>
        <v>Valide</v>
      </c>
      <c r="AH298" s="15" t="str">
        <f t="shared" si="4"/>
        <v>En attente</v>
      </c>
    </row>
    <row r="299" spans="1:34" s="15" customFormat="1" ht="45" hidden="1" customHeight="1" x14ac:dyDescent="0.3">
      <c r="A299" s="42">
        <v>298</v>
      </c>
      <c r="B299" s="19" t="s">
        <v>18</v>
      </c>
      <c r="C299" s="19" t="s">
        <v>11</v>
      </c>
      <c r="D299" s="20" t="s">
        <v>200</v>
      </c>
      <c r="E299" s="20" t="s">
        <v>96</v>
      </c>
      <c r="F299" s="21" t="s">
        <v>80</v>
      </c>
      <c r="G299" s="38" t="s">
        <v>169</v>
      </c>
      <c r="H299" s="39"/>
      <c r="I299" s="39" t="s">
        <v>1039</v>
      </c>
      <c r="J299" s="21" t="s">
        <v>144</v>
      </c>
      <c r="K299" s="21" t="s">
        <v>145</v>
      </c>
      <c r="L299" s="21" t="s">
        <v>203</v>
      </c>
      <c r="M299" s="21" t="s">
        <v>109</v>
      </c>
      <c r="N299" s="21" t="s">
        <v>109</v>
      </c>
      <c r="O299" s="20" t="s">
        <v>1223</v>
      </c>
      <c r="P299" s="45">
        <v>45734</v>
      </c>
      <c r="Q299" s="39" t="s">
        <v>1224</v>
      </c>
      <c r="R299" s="19">
        <v>8590.19</v>
      </c>
      <c r="S299" s="21">
        <v>0.2</v>
      </c>
      <c r="T299" s="21">
        <v>10308.228000000001</v>
      </c>
      <c r="U299" s="44" t="s">
        <v>1225</v>
      </c>
      <c r="V299" s="22">
        <v>45742</v>
      </c>
      <c r="W299" s="54" t="s">
        <v>91</v>
      </c>
      <c r="X299" s="23"/>
      <c r="Y299" s="23" t="s">
        <v>92</v>
      </c>
      <c r="Z299" s="56" t="s">
        <v>1226</v>
      </c>
      <c r="AA299" s="69">
        <v>849062</v>
      </c>
      <c r="AB299" s="45">
        <v>45747</v>
      </c>
      <c r="AC299" s="46" t="s">
        <v>94</v>
      </c>
      <c r="AD299" s="15" t="e">
        <f ca="1">IF(AND($D299&lt;&gt;"",COUNTIF(OFFSET(UFS!$E$2,MATCH($D299&amp;"",UFS!$A$2:$A$175,0)-1,0,COUNTIF(UFS!$A$2:$A$175,$D299&amp;""),1),M299)&gt;0),"Valide","Invalide")</f>
        <v>#N/A</v>
      </c>
      <c r="AH299" s="15" t="str">
        <f t="shared" si="4"/>
        <v>En attente</v>
      </c>
    </row>
    <row r="300" spans="1:34" s="15" customFormat="1" ht="45" hidden="1" customHeight="1" x14ac:dyDescent="0.3">
      <c r="A300" s="42">
        <v>299</v>
      </c>
      <c r="B300" s="19" t="s">
        <v>18</v>
      </c>
      <c r="C300" s="19" t="s">
        <v>11</v>
      </c>
      <c r="D300" s="20" t="s">
        <v>200</v>
      </c>
      <c r="E300" s="20" t="s">
        <v>96</v>
      </c>
      <c r="F300" s="21" t="s">
        <v>80</v>
      </c>
      <c r="G300" s="38" t="s">
        <v>169</v>
      </c>
      <c r="H300" s="39"/>
      <c r="I300" s="39" t="s">
        <v>1039</v>
      </c>
      <c r="J300" s="21" t="s">
        <v>144</v>
      </c>
      <c r="K300" s="21" t="s">
        <v>145</v>
      </c>
      <c r="L300" s="21" t="s">
        <v>203</v>
      </c>
      <c r="M300" s="21" t="s">
        <v>109</v>
      </c>
      <c r="N300" s="21" t="s">
        <v>109</v>
      </c>
      <c r="O300" s="20" t="s">
        <v>1227</v>
      </c>
      <c r="P300" s="45">
        <v>45734</v>
      </c>
      <c r="Q300" s="39" t="s">
        <v>1228</v>
      </c>
      <c r="R300" s="19">
        <v>8511.0300000000007</v>
      </c>
      <c r="S300" s="21">
        <v>0.2</v>
      </c>
      <c r="T300" s="21">
        <v>10213.236000000001</v>
      </c>
      <c r="U300" s="44" t="s">
        <v>1229</v>
      </c>
      <c r="V300" s="22">
        <v>45742</v>
      </c>
      <c r="W300" s="54" t="s">
        <v>91</v>
      </c>
      <c r="X300" s="23"/>
      <c r="Y300" s="23" t="s">
        <v>92</v>
      </c>
      <c r="Z300" s="56" t="s">
        <v>1226</v>
      </c>
      <c r="AA300" s="69">
        <v>849064</v>
      </c>
      <c r="AB300" s="45">
        <v>45747</v>
      </c>
      <c r="AC300" s="46" t="s">
        <v>94</v>
      </c>
      <c r="AD300" s="15" t="e">
        <f ca="1">IF(AND($D300&lt;&gt;"",COUNTIF(OFFSET(UFS!$E$2,MATCH($D300&amp;"",UFS!$A$2:$A$175,0)-1,0,COUNTIF(UFS!$A$2:$A$175,$D300&amp;""),1),M300)&gt;0),"Valide","Invalide")</f>
        <v>#N/A</v>
      </c>
      <c r="AH300" s="15" t="str">
        <f t="shared" si="4"/>
        <v>En attente</v>
      </c>
    </row>
    <row r="301" spans="1:34" s="15" customFormat="1" ht="45" hidden="1" customHeight="1" x14ac:dyDescent="0.3">
      <c r="A301" s="42">
        <v>300</v>
      </c>
      <c r="B301" s="19" t="s">
        <v>18</v>
      </c>
      <c r="C301" s="19" t="s">
        <v>11</v>
      </c>
      <c r="D301" s="20" t="s">
        <v>200</v>
      </c>
      <c r="E301" s="20" t="s">
        <v>96</v>
      </c>
      <c r="F301" s="21" t="s">
        <v>80</v>
      </c>
      <c r="G301" s="38" t="s">
        <v>169</v>
      </c>
      <c r="H301" s="39"/>
      <c r="I301" s="39" t="s">
        <v>1039</v>
      </c>
      <c r="J301" s="21" t="s">
        <v>144</v>
      </c>
      <c r="K301" s="21" t="s">
        <v>145</v>
      </c>
      <c r="L301" s="21" t="s">
        <v>203</v>
      </c>
      <c r="M301" s="21" t="s">
        <v>109</v>
      </c>
      <c r="N301" s="21" t="s">
        <v>109</v>
      </c>
      <c r="O301" s="20" t="s">
        <v>1230</v>
      </c>
      <c r="P301" s="45">
        <v>45734</v>
      </c>
      <c r="Q301" s="39" t="s">
        <v>1231</v>
      </c>
      <c r="R301" s="19">
        <v>9539.1</v>
      </c>
      <c r="S301" s="21">
        <v>0.2</v>
      </c>
      <c r="T301" s="21">
        <v>11446.92</v>
      </c>
      <c r="U301" s="44" t="s">
        <v>1232</v>
      </c>
      <c r="V301" s="22">
        <v>45742</v>
      </c>
      <c r="W301" s="54" t="s">
        <v>91</v>
      </c>
      <c r="X301" s="23"/>
      <c r="Y301" s="23" t="s">
        <v>92</v>
      </c>
      <c r="Z301" s="56" t="s">
        <v>1226</v>
      </c>
      <c r="AA301" s="69">
        <v>849065</v>
      </c>
      <c r="AB301" s="45">
        <v>45747</v>
      </c>
      <c r="AC301" s="46" t="s">
        <v>94</v>
      </c>
      <c r="AD301" s="15" t="e">
        <f ca="1">IF(AND($D301&lt;&gt;"",COUNTIF(OFFSET(UFS!$E$2,MATCH($D301&amp;"",UFS!$A$2:$A$175,0)-1,0,COUNTIF(UFS!$A$2:$A$175,$D301&amp;""),1),M301)&gt;0),"Valide","Invalide")</f>
        <v>#N/A</v>
      </c>
      <c r="AH301" s="15" t="str">
        <f t="shared" si="4"/>
        <v>En attente</v>
      </c>
    </row>
    <row r="302" spans="1:34" s="15" customFormat="1" ht="45" hidden="1" customHeight="1" x14ac:dyDescent="0.3">
      <c r="A302" s="42">
        <v>301</v>
      </c>
      <c r="B302" s="19" t="s">
        <v>24</v>
      </c>
      <c r="C302" s="19" t="s">
        <v>15</v>
      </c>
      <c r="D302" s="20" t="s">
        <v>260</v>
      </c>
      <c r="E302" s="20" t="s">
        <v>79</v>
      </c>
      <c r="F302" s="21" t="s">
        <v>80</v>
      </c>
      <c r="G302" s="38" t="s">
        <v>81</v>
      </c>
      <c r="H302" s="39" t="s">
        <v>139</v>
      </c>
      <c r="I302" s="39" t="s">
        <v>83</v>
      </c>
      <c r="J302" s="21" t="s">
        <v>84</v>
      </c>
      <c r="K302" s="21" t="s">
        <v>113</v>
      </c>
      <c r="L302" s="21" t="s">
        <v>86</v>
      </c>
      <c r="M302" s="21" t="s">
        <v>109</v>
      </c>
      <c r="N302" s="21" t="s">
        <v>109</v>
      </c>
      <c r="O302" s="20" t="s">
        <v>1233</v>
      </c>
      <c r="P302" s="45">
        <v>45734</v>
      </c>
      <c r="Q302" s="39" t="s">
        <v>1234</v>
      </c>
      <c r="R302" s="19">
        <v>1210.94</v>
      </c>
      <c r="S302" s="21">
        <v>0.1</v>
      </c>
      <c r="T302" s="21">
        <v>1332.0340000000001</v>
      </c>
      <c r="U302" s="60" t="s">
        <v>1235</v>
      </c>
      <c r="V302" s="22">
        <v>45735</v>
      </c>
      <c r="W302" s="54"/>
      <c r="X302" s="23"/>
      <c r="Y302" s="23" t="s">
        <v>92</v>
      </c>
      <c r="Z302" s="56"/>
      <c r="AA302" s="24">
        <v>274</v>
      </c>
      <c r="AB302" s="47"/>
      <c r="AC302" s="46" t="s">
        <v>94</v>
      </c>
      <c r="AD302" s="15" t="str">
        <f ca="1">IF(AND($D302&lt;&gt;"",COUNTIF(OFFSET(UFS!$E$2,MATCH($D302&amp;"",UFS!$A$2:$A$175,0)-1,0,COUNTIF(UFS!$A$2:$A$175,$D302&amp;""),1),M302)&gt;0),"Valide","Invalide")</f>
        <v>Valide</v>
      </c>
      <c r="AH302" s="15" t="str">
        <f t="shared" si="4"/>
        <v>En attente</v>
      </c>
    </row>
    <row r="303" spans="1:34" s="15" customFormat="1" ht="45" hidden="1" customHeight="1" x14ac:dyDescent="0.3">
      <c r="A303" s="42">
        <v>302</v>
      </c>
      <c r="B303" s="19" t="s">
        <v>26</v>
      </c>
      <c r="C303" s="19" t="s">
        <v>30</v>
      </c>
      <c r="D303" s="20" t="s">
        <v>413</v>
      </c>
      <c r="E303" s="20" t="s">
        <v>79</v>
      </c>
      <c r="F303" s="21" t="s">
        <v>80</v>
      </c>
      <c r="G303" s="38" t="s">
        <v>81</v>
      </c>
      <c r="H303" s="39" t="s">
        <v>211</v>
      </c>
      <c r="I303" s="39" t="s">
        <v>83</v>
      </c>
      <c r="J303" s="21" t="s">
        <v>183</v>
      </c>
      <c r="K303" s="21" t="s">
        <v>184</v>
      </c>
      <c r="L303" s="21" t="s">
        <v>185</v>
      </c>
      <c r="M303" s="21" t="s">
        <v>109</v>
      </c>
      <c r="N303" s="21" t="s">
        <v>109</v>
      </c>
      <c r="O303" s="20" t="s">
        <v>1236</v>
      </c>
      <c r="P303" s="45">
        <v>45729</v>
      </c>
      <c r="Q303" s="39" t="s">
        <v>1237</v>
      </c>
      <c r="R303" s="19">
        <v>5591.04</v>
      </c>
      <c r="S303" s="21">
        <v>0.1</v>
      </c>
      <c r="T303" s="21">
        <v>6150.1440000000002</v>
      </c>
      <c r="U303" s="44" t="s">
        <v>1238</v>
      </c>
      <c r="V303" s="22">
        <v>45735</v>
      </c>
      <c r="W303" s="54" t="s">
        <v>91</v>
      </c>
      <c r="X303" s="23"/>
      <c r="Y303" s="23" t="s">
        <v>92</v>
      </c>
      <c r="Z303" s="56"/>
      <c r="AA303" s="24">
        <v>275</v>
      </c>
      <c r="AB303" s="19"/>
      <c r="AC303" s="46" t="s">
        <v>94</v>
      </c>
      <c r="AD303" s="15" t="str">
        <f ca="1">IF(AND($D303&lt;&gt;"",COUNTIF(OFFSET(UFS!$E$2,MATCH($D303&amp;"",UFS!$A$2:$A$175,0)-1,0,COUNTIF(UFS!$A$2:$A$175,$D303&amp;""),1),M303)&gt;0),"Valide","Invalide")</f>
        <v>Valide</v>
      </c>
      <c r="AH303" s="15" t="str">
        <f t="shared" si="4"/>
        <v>En attente</v>
      </c>
    </row>
    <row r="304" spans="1:34" s="15" customFormat="1" ht="45" hidden="1" customHeight="1" x14ac:dyDescent="0.3">
      <c r="A304" s="42">
        <v>303</v>
      </c>
      <c r="B304" s="19" t="s">
        <v>16</v>
      </c>
      <c r="C304" s="19" t="s">
        <v>30</v>
      </c>
      <c r="D304" s="20" t="s">
        <v>143</v>
      </c>
      <c r="E304" s="20" t="s">
        <v>79</v>
      </c>
      <c r="F304" s="21" t="s">
        <v>80</v>
      </c>
      <c r="G304" s="38" t="s">
        <v>81</v>
      </c>
      <c r="H304" s="39" t="s">
        <v>82</v>
      </c>
      <c r="I304" s="39" t="s">
        <v>83</v>
      </c>
      <c r="J304" s="21" t="s">
        <v>144</v>
      </c>
      <c r="K304" s="21" t="s">
        <v>145</v>
      </c>
      <c r="L304" s="21" t="s">
        <v>146</v>
      </c>
      <c r="M304" s="21" t="s">
        <v>146</v>
      </c>
      <c r="N304" s="21" t="s">
        <v>147</v>
      </c>
      <c r="O304" s="20" t="s">
        <v>1239</v>
      </c>
      <c r="P304" s="45">
        <v>45735</v>
      </c>
      <c r="Q304" s="39" t="s">
        <v>1240</v>
      </c>
      <c r="R304" s="19">
        <v>7876.49</v>
      </c>
      <c r="S304" s="21">
        <v>0.2</v>
      </c>
      <c r="T304" s="21">
        <v>9451.7880000000005</v>
      </c>
      <c r="U304" s="60" t="s">
        <v>1241</v>
      </c>
      <c r="V304" s="22">
        <v>45736</v>
      </c>
      <c r="W304" s="54" t="s">
        <v>91</v>
      </c>
      <c r="X304" s="23"/>
      <c r="Y304" s="23" t="s">
        <v>376</v>
      </c>
      <c r="Z304" s="56"/>
      <c r="AA304" s="24" t="s">
        <v>1242</v>
      </c>
      <c r="AB304" s="19"/>
      <c r="AC304" s="19"/>
      <c r="AD304" s="15" t="str">
        <f ca="1">IF(AND($D304&lt;&gt;"",COUNTIF(OFFSET(UFS!$E$2,MATCH($D304&amp;"",UFS!$A$2:$A$175,0)-1,0,COUNTIF(UFS!$A$2:$A$175,$D304&amp;""),1),M304)&gt;0),"Valide","Invalide")</f>
        <v>Valide</v>
      </c>
      <c r="AH304" s="15" t="str">
        <f t="shared" si="4"/>
        <v>En attente</v>
      </c>
    </row>
    <row r="305" spans="1:34" s="15" customFormat="1" ht="45" hidden="1" customHeight="1" x14ac:dyDescent="0.3">
      <c r="A305" s="42">
        <v>304</v>
      </c>
      <c r="B305" s="19" t="s">
        <v>16</v>
      </c>
      <c r="C305" s="19" t="s">
        <v>11</v>
      </c>
      <c r="D305" s="20" t="s">
        <v>143</v>
      </c>
      <c r="E305" s="20" t="s">
        <v>79</v>
      </c>
      <c r="F305" s="21" t="s">
        <v>80</v>
      </c>
      <c r="G305" s="38" t="s">
        <v>81</v>
      </c>
      <c r="H305" s="39" t="s">
        <v>82</v>
      </c>
      <c r="I305" s="39" t="s">
        <v>83</v>
      </c>
      <c r="J305" s="21" t="s">
        <v>144</v>
      </c>
      <c r="K305" s="21" t="s">
        <v>145</v>
      </c>
      <c r="L305" s="21" t="s">
        <v>146</v>
      </c>
      <c r="M305" s="21" t="s">
        <v>146</v>
      </c>
      <c r="N305" s="21" t="s">
        <v>147</v>
      </c>
      <c r="O305" s="20" t="s">
        <v>1243</v>
      </c>
      <c r="P305" s="45">
        <v>45735</v>
      </c>
      <c r="Q305" s="39" t="s">
        <v>1244</v>
      </c>
      <c r="R305" s="19">
        <v>3596.43</v>
      </c>
      <c r="S305" s="21">
        <v>0.2</v>
      </c>
      <c r="T305" s="21">
        <v>4315.7159999999994</v>
      </c>
      <c r="U305" s="44" t="s">
        <v>1245</v>
      </c>
      <c r="V305" s="22">
        <v>45736</v>
      </c>
      <c r="W305" s="54" t="s">
        <v>91</v>
      </c>
      <c r="X305" s="23"/>
      <c r="Y305" s="23" t="s">
        <v>92</v>
      </c>
      <c r="Z305" s="56"/>
      <c r="AA305" s="24">
        <v>277</v>
      </c>
      <c r="AB305" s="19"/>
      <c r="AC305" s="46" t="s">
        <v>94</v>
      </c>
      <c r="AD305" s="15" t="str">
        <f ca="1">IF(AND($D305&lt;&gt;"",COUNTIF(OFFSET(UFS!$E$2,MATCH($D305&amp;"",UFS!$A$2:$A$175,0)-1,0,COUNTIF(UFS!$A$2:$A$175,$D305&amp;""),1),M305)&gt;0),"Valide","Invalide")</f>
        <v>Valide</v>
      </c>
      <c r="AH305" s="15" t="str">
        <f t="shared" si="4"/>
        <v>En attente</v>
      </c>
    </row>
    <row r="306" spans="1:34" s="15" customFormat="1" ht="45" hidden="1" customHeight="1" x14ac:dyDescent="0.3">
      <c r="A306" s="42">
        <v>305</v>
      </c>
      <c r="B306" s="19" t="s">
        <v>6</v>
      </c>
      <c r="C306" s="19" t="s">
        <v>15</v>
      </c>
      <c r="D306" s="20" t="s">
        <v>1246</v>
      </c>
      <c r="E306" s="20" t="s">
        <v>79</v>
      </c>
      <c r="F306" s="21" t="s">
        <v>80</v>
      </c>
      <c r="G306" s="38" t="s">
        <v>81</v>
      </c>
      <c r="H306" s="39" t="s">
        <v>139</v>
      </c>
      <c r="I306" s="39" t="s">
        <v>83</v>
      </c>
      <c r="J306" s="21" t="s">
        <v>144</v>
      </c>
      <c r="K306" s="21" t="s">
        <v>145</v>
      </c>
      <c r="L306" s="21" t="s">
        <v>203</v>
      </c>
      <c r="M306" s="21" t="s">
        <v>1247</v>
      </c>
      <c r="N306" s="21" t="s">
        <v>1247</v>
      </c>
      <c r="O306" s="20" t="s">
        <v>1248</v>
      </c>
      <c r="P306" s="45">
        <v>45702</v>
      </c>
      <c r="Q306" s="39" t="s">
        <v>1249</v>
      </c>
      <c r="R306" s="19">
        <v>440.35</v>
      </c>
      <c r="S306" s="21">
        <v>0.2</v>
      </c>
      <c r="T306" s="21">
        <v>528.42000000000007</v>
      </c>
      <c r="U306" s="44" t="s">
        <v>1250</v>
      </c>
      <c r="V306" s="22">
        <v>45740</v>
      </c>
      <c r="W306" s="54" t="s">
        <v>91</v>
      </c>
      <c r="X306" s="23"/>
      <c r="Y306" s="23" t="s">
        <v>92</v>
      </c>
      <c r="Z306" s="56"/>
      <c r="AA306" s="69">
        <v>848623</v>
      </c>
      <c r="AB306" s="19"/>
      <c r="AC306" s="46" t="s">
        <v>94</v>
      </c>
      <c r="AD306" s="15" t="str">
        <f ca="1">IF(AND($D306&lt;&gt;"",COUNTIF(OFFSET(UFS!$E$2,MATCH($D306&amp;"",UFS!$A$2:$A$175,0)-1,0,COUNTIF(UFS!$A$2:$A$175,$D306&amp;""),1),M306)&gt;0),"Valide","Invalide")</f>
        <v>Valide</v>
      </c>
      <c r="AH306" s="15" t="str">
        <f t="shared" si="4"/>
        <v>En attente</v>
      </c>
    </row>
    <row r="307" spans="1:34" s="15" customFormat="1" ht="45" hidden="1" customHeight="1" x14ac:dyDescent="0.3">
      <c r="A307" s="42">
        <v>306</v>
      </c>
      <c r="B307" s="19" t="s">
        <v>6</v>
      </c>
      <c r="C307" s="19" t="s">
        <v>21</v>
      </c>
      <c r="D307" s="20" t="s">
        <v>200</v>
      </c>
      <c r="E307" s="20" t="s">
        <v>853</v>
      </c>
      <c r="F307" s="21" t="s">
        <v>80</v>
      </c>
      <c r="G307" s="38" t="s">
        <v>854</v>
      </c>
      <c r="H307" s="39" t="s">
        <v>534</v>
      </c>
      <c r="I307" s="39"/>
      <c r="J307" s="21" t="s">
        <v>144</v>
      </c>
      <c r="K307" s="21" t="s">
        <v>145</v>
      </c>
      <c r="L307" s="21" t="s">
        <v>203</v>
      </c>
      <c r="M307" s="21" t="s">
        <v>109</v>
      </c>
      <c r="N307" s="21" t="s">
        <v>109</v>
      </c>
      <c r="O307" s="20" t="s">
        <v>1251</v>
      </c>
      <c r="P307" s="45">
        <v>45740</v>
      </c>
      <c r="Q307" s="133" t="s">
        <v>1252</v>
      </c>
      <c r="R307" s="19">
        <v>3162.5</v>
      </c>
      <c r="S307" s="21">
        <v>0.2</v>
      </c>
      <c r="T307" s="21">
        <v>3795</v>
      </c>
      <c r="U307" s="44" t="s">
        <v>1253</v>
      </c>
      <c r="V307" s="22">
        <v>45740</v>
      </c>
      <c r="W307" s="54" t="s">
        <v>91</v>
      </c>
      <c r="X307" s="23"/>
      <c r="Y307" s="23" t="s">
        <v>92</v>
      </c>
      <c r="Z307" s="56" t="s">
        <v>1196</v>
      </c>
      <c r="AA307" s="24">
        <v>3006</v>
      </c>
      <c r="AB307" s="19"/>
      <c r="AC307" s="46" t="s">
        <v>94</v>
      </c>
      <c r="AD307" s="15" t="e">
        <f ca="1">IF(AND($D307&lt;&gt;"",COUNTIF(OFFSET(UFS!$E$2,MATCH($D307&amp;"",UFS!$A$2:$A$175,0)-1,0,COUNTIF(UFS!$A$2:$A$175,$D307&amp;""),1),M307)&gt;0),"Valide","Invalide")</f>
        <v>#N/A</v>
      </c>
      <c r="AH307" s="15" t="str">
        <f t="shared" si="4"/>
        <v>En attente</v>
      </c>
    </row>
    <row r="308" spans="1:34" s="15" customFormat="1" ht="45" hidden="1" customHeight="1" x14ac:dyDescent="0.3">
      <c r="A308" s="42">
        <v>307</v>
      </c>
      <c r="B308" s="19" t="s">
        <v>6</v>
      </c>
      <c r="C308" s="19" t="s">
        <v>21</v>
      </c>
      <c r="D308" s="20" t="s">
        <v>200</v>
      </c>
      <c r="E308" s="20" t="s">
        <v>79</v>
      </c>
      <c r="F308" s="21" t="s">
        <v>80</v>
      </c>
      <c r="G308" s="38" t="s">
        <v>533</v>
      </c>
      <c r="H308" s="39" t="s">
        <v>534</v>
      </c>
      <c r="I308" s="39" t="s">
        <v>535</v>
      </c>
      <c r="J308" s="21" t="s">
        <v>144</v>
      </c>
      <c r="K308" s="21" t="s">
        <v>145</v>
      </c>
      <c r="L308" s="21" t="s">
        <v>203</v>
      </c>
      <c r="M308" s="21" t="s">
        <v>109</v>
      </c>
      <c r="N308" s="21" t="s">
        <v>109</v>
      </c>
      <c r="O308" s="20" t="s">
        <v>1254</v>
      </c>
      <c r="P308" s="45">
        <v>45733</v>
      </c>
      <c r="Q308" s="39" t="s">
        <v>1255</v>
      </c>
      <c r="R308" s="19">
        <v>5185</v>
      </c>
      <c r="S308" s="21">
        <v>0.2</v>
      </c>
      <c r="T308" s="21">
        <v>6222</v>
      </c>
      <c r="U308" s="44" t="s">
        <v>1256</v>
      </c>
      <c r="V308" s="22">
        <v>45740</v>
      </c>
      <c r="W308" s="54" t="s">
        <v>91</v>
      </c>
      <c r="X308" s="23"/>
      <c r="Y308" s="23" t="s">
        <v>92</v>
      </c>
      <c r="Z308" s="56"/>
      <c r="AA308" s="69">
        <v>848639</v>
      </c>
      <c r="AB308" s="19"/>
      <c r="AC308" s="46" t="s">
        <v>94</v>
      </c>
      <c r="AD308" s="15" t="e">
        <f ca="1">IF(AND($D308&lt;&gt;"",COUNTIF(OFFSET(UFS!$E$2,MATCH($D308&amp;"",UFS!$A$2:$A$175,0)-1,0,COUNTIF(UFS!$A$2:$A$175,$D308&amp;""),1),M308)&gt;0),"Valide","Invalide")</f>
        <v>#N/A</v>
      </c>
      <c r="AH308" s="15" t="str">
        <f t="shared" si="4"/>
        <v>En attente</v>
      </c>
    </row>
    <row r="309" spans="1:34" s="15" customFormat="1" ht="45" hidden="1" customHeight="1" x14ac:dyDescent="0.3">
      <c r="A309" s="42">
        <v>308</v>
      </c>
      <c r="B309" s="19" t="s">
        <v>20</v>
      </c>
      <c r="C309" s="19" t="s">
        <v>37</v>
      </c>
      <c r="D309" s="20" t="s">
        <v>123</v>
      </c>
      <c r="E309" s="20" t="s">
        <v>79</v>
      </c>
      <c r="F309" s="21" t="s">
        <v>80</v>
      </c>
      <c r="G309" s="38" t="s">
        <v>241</v>
      </c>
      <c r="H309" s="39" t="s">
        <v>367</v>
      </c>
      <c r="I309" s="39" t="s">
        <v>368</v>
      </c>
      <c r="J309" s="21" t="s">
        <v>124</v>
      </c>
      <c r="K309" s="21" t="s">
        <v>125</v>
      </c>
      <c r="L309" s="21" t="s">
        <v>126</v>
      </c>
      <c r="M309" s="21" t="s">
        <v>109</v>
      </c>
      <c r="N309" s="21" t="s">
        <v>109</v>
      </c>
      <c r="O309" s="20" t="s">
        <v>1257</v>
      </c>
      <c r="P309" s="45">
        <v>45740</v>
      </c>
      <c r="Q309" s="39" t="s">
        <v>1258</v>
      </c>
      <c r="R309" s="19">
        <v>10358.31</v>
      </c>
      <c r="S309" s="21">
        <v>0.1</v>
      </c>
      <c r="T309" s="21">
        <v>11394.141</v>
      </c>
      <c r="U309" s="44" t="s">
        <v>1259</v>
      </c>
      <c r="V309" s="22">
        <v>45740</v>
      </c>
      <c r="W309" s="54" t="s">
        <v>91</v>
      </c>
      <c r="X309" s="23"/>
      <c r="Y309" s="23" t="s">
        <v>92</v>
      </c>
      <c r="Z309" s="56"/>
      <c r="AA309" s="69">
        <v>848653</v>
      </c>
      <c r="AB309" s="19"/>
      <c r="AC309" s="46" t="s">
        <v>94</v>
      </c>
      <c r="AD309" s="15" t="str">
        <f ca="1">IF(AND($D309&lt;&gt;"",COUNTIF(OFFSET(UFS!$E$2,MATCH($D309&amp;"",UFS!$A$2:$A$175,0)-1,0,COUNTIF(UFS!$A$2:$A$175,$D309&amp;""),1),M309)&gt;0),"Valide","Invalide")</f>
        <v>Valide</v>
      </c>
      <c r="AH309" s="15" t="str">
        <f t="shared" si="4"/>
        <v>En attente</v>
      </c>
    </row>
    <row r="310" spans="1:34" s="15" customFormat="1" ht="45" hidden="1" customHeight="1" x14ac:dyDescent="0.3">
      <c r="A310" s="42">
        <v>309</v>
      </c>
      <c r="B310" s="19" t="s">
        <v>24</v>
      </c>
      <c r="C310" s="19" t="s">
        <v>35</v>
      </c>
      <c r="D310" s="20" t="s">
        <v>123</v>
      </c>
      <c r="E310" s="20" t="s">
        <v>79</v>
      </c>
      <c r="F310" s="21" t="s">
        <v>80</v>
      </c>
      <c r="G310" s="38" t="s">
        <v>426</v>
      </c>
      <c r="H310" s="39" t="s">
        <v>426</v>
      </c>
      <c r="I310" s="39" t="s">
        <v>83</v>
      </c>
      <c r="J310" s="21" t="s">
        <v>124</v>
      </c>
      <c r="K310" s="21" t="s">
        <v>125</v>
      </c>
      <c r="L310" s="21" t="s">
        <v>126</v>
      </c>
      <c r="M310" s="21" t="s">
        <v>109</v>
      </c>
      <c r="N310" s="21" t="s">
        <v>109</v>
      </c>
      <c r="O310" s="20" t="s">
        <v>1260</v>
      </c>
      <c r="P310" s="45">
        <v>45741</v>
      </c>
      <c r="Q310" s="39" t="s">
        <v>1261</v>
      </c>
      <c r="R310" s="19">
        <v>1938.21</v>
      </c>
      <c r="S310" s="21">
        <v>0.1</v>
      </c>
      <c r="T310" s="21">
        <v>2132.0309999999999</v>
      </c>
      <c r="U310" s="60" t="s">
        <v>1262</v>
      </c>
      <c r="V310" s="22">
        <v>45741</v>
      </c>
      <c r="W310" s="54" t="s">
        <v>91</v>
      </c>
      <c r="X310" s="23"/>
      <c r="Y310" s="23" t="s">
        <v>92</v>
      </c>
      <c r="Z310" s="56"/>
      <c r="AA310" s="69">
        <v>848656</v>
      </c>
      <c r="AB310" s="47">
        <v>45754</v>
      </c>
      <c r="AC310" s="46" t="s">
        <v>94</v>
      </c>
      <c r="AD310" s="15" t="str">
        <f ca="1">IF(AND($D310&lt;&gt;"",COUNTIF(OFFSET(UFS!$E$2,MATCH($D310&amp;"",UFS!$A$2:$A$175,0)-1,0,COUNTIF(UFS!$A$2:$A$175,$D310&amp;""),1),M310)&gt;0),"Valide","Invalide")</f>
        <v>Valide</v>
      </c>
      <c r="AH310" s="15" t="str">
        <f t="shared" si="4"/>
        <v>En attente</v>
      </c>
    </row>
    <row r="311" spans="1:34" s="15" customFormat="1" ht="45" hidden="1" customHeight="1" x14ac:dyDescent="0.3">
      <c r="A311" s="42">
        <v>310</v>
      </c>
      <c r="B311" s="19" t="s">
        <v>24</v>
      </c>
      <c r="C311" s="19" t="s">
        <v>35</v>
      </c>
      <c r="D311" s="20" t="s">
        <v>260</v>
      </c>
      <c r="E311" s="20" t="s">
        <v>79</v>
      </c>
      <c r="F311" s="21" t="s">
        <v>80</v>
      </c>
      <c r="G311" s="38" t="s">
        <v>426</v>
      </c>
      <c r="H311" s="39"/>
      <c r="I311" s="39"/>
      <c r="J311" s="21" t="s">
        <v>84</v>
      </c>
      <c r="K311" s="21" t="s">
        <v>113</v>
      </c>
      <c r="L311" s="21" t="s">
        <v>86</v>
      </c>
      <c r="M311" s="21" t="s">
        <v>109</v>
      </c>
      <c r="N311" s="21" t="s">
        <v>109</v>
      </c>
      <c r="O311" s="20" t="s">
        <v>1263</v>
      </c>
      <c r="P311" s="45">
        <v>45741</v>
      </c>
      <c r="Q311" s="39" t="s">
        <v>1261</v>
      </c>
      <c r="R311" s="19">
        <v>946.94</v>
      </c>
      <c r="S311" s="21">
        <v>0.1</v>
      </c>
      <c r="T311" s="21">
        <v>1041.634</v>
      </c>
      <c r="U311" s="60" t="s">
        <v>1264</v>
      </c>
      <c r="V311" s="22">
        <v>45741</v>
      </c>
      <c r="W311" s="54" t="s">
        <v>91</v>
      </c>
      <c r="X311" s="23"/>
      <c r="Y311" s="23" t="s">
        <v>92</v>
      </c>
      <c r="Z311" s="56"/>
      <c r="AA311" s="69">
        <v>848664</v>
      </c>
      <c r="AB311" s="47">
        <v>45757</v>
      </c>
      <c r="AC311" s="46" t="s">
        <v>94</v>
      </c>
      <c r="AD311" s="15" t="str">
        <f ca="1">IF(AND($D311&lt;&gt;"",COUNTIF(OFFSET(UFS!$E$2,MATCH($D311&amp;"",UFS!$A$2:$A$175,0)-1,0,COUNTIF(UFS!$A$2:$A$175,$D311&amp;""),1),M311)&gt;0),"Valide","Invalide")</f>
        <v>Valide</v>
      </c>
      <c r="AH311" s="15" t="str">
        <f t="shared" si="4"/>
        <v>En attente</v>
      </c>
    </row>
    <row r="312" spans="1:34" s="15" customFormat="1" ht="45" hidden="1" customHeight="1" x14ac:dyDescent="0.3">
      <c r="A312" s="42">
        <v>311</v>
      </c>
      <c r="B312" s="19" t="s">
        <v>24</v>
      </c>
      <c r="C312" s="19" t="s">
        <v>35</v>
      </c>
      <c r="D312" s="20" t="s">
        <v>260</v>
      </c>
      <c r="E312" s="20" t="s">
        <v>79</v>
      </c>
      <c r="F312" s="21" t="s">
        <v>80</v>
      </c>
      <c r="G312" s="38" t="s">
        <v>81</v>
      </c>
      <c r="H312" s="39" t="s">
        <v>426</v>
      </c>
      <c r="I312" s="39" t="s">
        <v>83</v>
      </c>
      <c r="J312" s="21" t="s">
        <v>84</v>
      </c>
      <c r="K312" s="21" t="s">
        <v>113</v>
      </c>
      <c r="L312" s="21" t="s">
        <v>86</v>
      </c>
      <c r="M312" s="21" t="s">
        <v>109</v>
      </c>
      <c r="N312" s="21" t="s">
        <v>109</v>
      </c>
      <c r="O312" s="20" t="s">
        <v>1265</v>
      </c>
      <c r="P312" s="45">
        <v>45741</v>
      </c>
      <c r="Q312" s="39" t="s">
        <v>1266</v>
      </c>
      <c r="R312" s="19">
        <v>9970.7999999999993</v>
      </c>
      <c r="S312" s="21">
        <v>0.1</v>
      </c>
      <c r="T312" s="21">
        <v>10967.88</v>
      </c>
      <c r="U312" s="60" t="s">
        <v>1267</v>
      </c>
      <c r="V312" s="22">
        <v>45741</v>
      </c>
      <c r="W312" s="54" t="s">
        <v>91</v>
      </c>
      <c r="X312" s="23"/>
      <c r="Y312" s="23" t="s">
        <v>92</v>
      </c>
      <c r="Z312" s="56" t="s">
        <v>446</v>
      </c>
      <c r="AA312" s="24">
        <v>849113</v>
      </c>
      <c r="AB312" s="47">
        <v>45796</v>
      </c>
      <c r="AC312" s="46" t="s">
        <v>94</v>
      </c>
      <c r="AD312" s="15" t="str">
        <f ca="1">IF(AND($D312&lt;&gt;"",COUNTIF(OFFSET(UFS!$E$2,MATCH($D312&amp;"",UFS!$A$2:$A$175,0)-1,0,COUNTIF(UFS!$A$2:$A$175,$D312&amp;""),1),M312)&gt;0),"Valide","Invalide")</f>
        <v>Valide</v>
      </c>
      <c r="AH312" s="15" t="str">
        <f t="shared" si="4"/>
        <v>En attente</v>
      </c>
    </row>
    <row r="313" spans="1:34" s="15" customFormat="1" ht="45" customHeight="1" x14ac:dyDescent="0.3">
      <c r="A313" s="42">
        <v>312</v>
      </c>
      <c r="B313" s="19" t="s">
        <v>24</v>
      </c>
      <c r="C313" s="19" t="s">
        <v>5</v>
      </c>
      <c r="D313" s="20" t="s">
        <v>460</v>
      </c>
      <c r="E313" s="20" t="s">
        <v>79</v>
      </c>
      <c r="F313" s="21" t="s">
        <v>80</v>
      </c>
      <c r="G313" s="38" t="s">
        <v>182</v>
      </c>
      <c r="H313" s="39" t="s">
        <v>82</v>
      </c>
      <c r="I313" s="39" t="s">
        <v>83</v>
      </c>
      <c r="J313" s="21" t="s">
        <v>461</v>
      </c>
      <c r="K313" s="21" t="s">
        <v>145</v>
      </c>
      <c r="L313" s="21" t="s">
        <v>120</v>
      </c>
      <c r="M313" s="21" t="s">
        <v>343</v>
      </c>
      <c r="N313" s="21" t="s">
        <v>87</v>
      </c>
      <c r="O313" s="20" t="s">
        <v>1268</v>
      </c>
      <c r="P313" s="45">
        <v>45736</v>
      </c>
      <c r="Q313" s="39" t="s">
        <v>1269</v>
      </c>
      <c r="R313" s="19">
        <v>1633.95</v>
      </c>
      <c r="S313" s="21">
        <v>0.2</v>
      </c>
      <c r="T313" s="21">
        <v>1960.74</v>
      </c>
      <c r="U313" s="60" t="s">
        <v>1270</v>
      </c>
      <c r="V313" s="22">
        <v>45741</v>
      </c>
      <c r="W313" s="54" t="s">
        <v>91</v>
      </c>
      <c r="X313" s="23"/>
      <c r="Y313" s="23" t="s">
        <v>92</v>
      </c>
      <c r="Z313" s="56" t="s">
        <v>446</v>
      </c>
      <c r="AA313" s="24">
        <v>849124</v>
      </c>
      <c r="AB313" s="47">
        <v>45769</v>
      </c>
      <c r="AC313" s="49" t="s">
        <v>161</v>
      </c>
      <c r="AD313" s="15" t="str">
        <f ca="1">IF(AND($D313&lt;&gt;"",COUNTIF(OFFSET(UFS!$E$2,MATCH($D313&amp;"",UFS!$A$2:$A$175,0)-1,0,COUNTIF(UFS!$A$2:$A$175,$D313&amp;""),1),M313)&gt;0),"Valide","Invalide")</f>
        <v>Valide</v>
      </c>
      <c r="AH313" s="15" t="str">
        <f t="shared" si="4"/>
        <v>En attente</v>
      </c>
    </row>
    <row r="314" spans="1:34" s="15" customFormat="1" ht="45" hidden="1" customHeight="1" x14ac:dyDescent="0.3">
      <c r="A314" s="42">
        <v>313</v>
      </c>
      <c r="B314" s="19" t="s">
        <v>24</v>
      </c>
      <c r="C314" s="19" t="s">
        <v>5</v>
      </c>
      <c r="D314" s="20" t="s">
        <v>123</v>
      </c>
      <c r="E314" s="20" t="s">
        <v>79</v>
      </c>
      <c r="F314" s="21" t="s">
        <v>80</v>
      </c>
      <c r="G314" s="38" t="s">
        <v>182</v>
      </c>
      <c r="H314" s="39" t="s">
        <v>82</v>
      </c>
      <c r="I314" s="39" t="s">
        <v>83</v>
      </c>
      <c r="J314" s="21" t="s">
        <v>124</v>
      </c>
      <c r="K314" s="21" t="s">
        <v>125</v>
      </c>
      <c r="L314" s="21" t="s">
        <v>126</v>
      </c>
      <c r="M314" s="21" t="s">
        <v>109</v>
      </c>
      <c r="N314" s="21" t="s">
        <v>109</v>
      </c>
      <c r="O314" s="20" t="s">
        <v>1271</v>
      </c>
      <c r="P314" s="45">
        <v>45736</v>
      </c>
      <c r="Q314" s="39" t="s">
        <v>1272</v>
      </c>
      <c r="R314" s="19">
        <v>344.04</v>
      </c>
      <c r="S314" s="21">
        <v>0.1</v>
      </c>
      <c r="T314" s="21">
        <v>378.44400000000002</v>
      </c>
      <c r="U314" s="60" t="s">
        <v>1273</v>
      </c>
      <c r="V314" s="22">
        <v>45741</v>
      </c>
      <c r="W314" s="54" t="s">
        <v>91</v>
      </c>
      <c r="X314" s="23"/>
      <c r="Y314" s="23" t="s">
        <v>92</v>
      </c>
      <c r="Z314" s="56" t="s">
        <v>446</v>
      </c>
      <c r="AA314" s="24">
        <v>849142</v>
      </c>
      <c r="AB314" s="47">
        <v>45768</v>
      </c>
      <c r="AC314" s="46" t="s">
        <v>94</v>
      </c>
      <c r="AD314" s="15" t="str">
        <f ca="1">IF(AND($D314&lt;&gt;"",COUNTIF(OFFSET(UFS!$E$2,MATCH($D314&amp;"",UFS!$A$2:$A$175,0)-1,0,COUNTIF(UFS!$A$2:$A$175,$D314&amp;""),1),M314)&gt;0),"Valide","Invalide")</f>
        <v>Valide</v>
      </c>
      <c r="AH314" s="15" t="str">
        <f t="shared" si="4"/>
        <v>En attente</v>
      </c>
    </row>
    <row r="315" spans="1:34" s="15" customFormat="1" ht="45" hidden="1" customHeight="1" x14ac:dyDescent="0.3">
      <c r="A315" s="42">
        <v>314</v>
      </c>
      <c r="B315" s="19" t="s">
        <v>0</v>
      </c>
      <c r="C315" s="19" t="s">
        <v>34</v>
      </c>
      <c r="D315" s="20" t="s">
        <v>587</v>
      </c>
      <c r="E315" s="20" t="s">
        <v>79</v>
      </c>
      <c r="F315" s="21" t="s">
        <v>80</v>
      </c>
      <c r="G315" s="38" t="s">
        <v>81</v>
      </c>
      <c r="H315" s="39" t="s">
        <v>267</v>
      </c>
      <c r="I315" s="39" t="s">
        <v>83</v>
      </c>
      <c r="J315" s="21" t="s">
        <v>144</v>
      </c>
      <c r="K315" s="21" t="s">
        <v>145</v>
      </c>
      <c r="L315" s="21" t="s">
        <v>203</v>
      </c>
      <c r="M315" s="21" t="s">
        <v>589</v>
      </c>
      <c r="N315" s="21" t="s">
        <v>589</v>
      </c>
      <c r="O315" s="20" t="s">
        <v>1274</v>
      </c>
      <c r="P315" s="45">
        <v>45688</v>
      </c>
      <c r="Q315" s="39" t="s">
        <v>1275</v>
      </c>
      <c r="R315" s="19">
        <v>2934</v>
      </c>
      <c r="S315" s="21">
        <v>0.2</v>
      </c>
      <c r="T315" s="21">
        <v>3520.8</v>
      </c>
      <c r="U315" s="60" t="s">
        <v>1276</v>
      </c>
      <c r="V315" s="22">
        <v>45741</v>
      </c>
      <c r="W315" s="54" t="s">
        <v>91</v>
      </c>
      <c r="X315" s="23"/>
      <c r="Y315" s="23" t="s">
        <v>92</v>
      </c>
      <c r="Z315" s="56" t="s">
        <v>1277</v>
      </c>
      <c r="AA315" s="24">
        <v>849167</v>
      </c>
      <c r="AB315" s="19"/>
      <c r="AC315" s="19"/>
      <c r="AD315" s="15" t="str">
        <f ca="1">IF(AND($D315&lt;&gt;"",COUNTIF(OFFSET(UFS!$E$2,MATCH($D315&amp;"",UFS!$A$2:$A$175,0)-1,0,COUNTIF(UFS!$A$2:$A$175,$D315&amp;""),1),M315)&gt;0),"Valide","Invalide")</f>
        <v>Valide</v>
      </c>
      <c r="AH315" s="15" t="str">
        <f t="shared" si="4"/>
        <v>En attente</v>
      </c>
    </row>
    <row r="316" spans="1:34" s="15" customFormat="1" ht="45" hidden="1" customHeight="1" x14ac:dyDescent="0.3">
      <c r="A316" s="42">
        <v>315</v>
      </c>
      <c r="B316" s="19" t="s">
        <v>26</v>
      </c>
      <c r="C316" s="19" t="s">
        <v>30</v>
      </c>
      <c r="D316" s="20" t="s">
        <v>156</v>
      </c>
      <c r="E316" s="20" t="s">
        <v>96</v>
      </c>
      <c r="F316" s="21" t="s">
        <v>80</v>
      </c>
      <c r="G316" s="38" t="s">
        <v>169</v>
      </c>
      <c r="H316" s="39"/>
      <c r="I316" s="39" t="s">
        <v>43</v>
      </c>
      <c r="J316" s="21" t="s">
        <v>144</v>
      </c>
      <c r="K316" s="21" t="s">
        <v>145</v>
      </c>
      <c r="L316" s="21" t="s">
        <v>146</v>
      </c>
      <c r="M316" s="21" t="s">
        <v>146</v>
      </c>
      <c r="N316" s="21" t="s">
        <v>157</v>
      </c>
      <c r="O316" s="20" t="s">
        <v>1278</v>
      </c>
      <c r="P316" s="45">
        <v>45734</v>
      </c>
      <c r="Q316" s="39" t="s">
        <v>1279</v>
      </c>
      <c r="R316" s="19">
        <v>23983.99</v>
      </c>
      <c r="S316" s="21">
        <v>0.2</v>
      </c>
      <c r="T316" s="21">
        <v>28780.788</v>
      </c>
      <c r="U316" s="44" t="s">
        <v>1280</v>
      </c>
      <c r="V316" s="22">
        <v>45741</v>
      </c>
      <c r="W316" s="54" t="s">
        <v>91</v>
      </c>
      <c r="X316" s="23"/>
      <c r="Y316" s="23" t="s">
        <v>92</v>
      </c>
      <c r="Z316" s="56" t="s">
        <v>446</v>
      </c>
      <c r="AA316" s="24">
        <v>849170</v>
      </c>
      <c r="AB316" s="19"/>
      <c r="AC316" s="46" t="s">
        <v>94</v>
      </c>
      <c r="AD316" s="15" t="str">
        <f ca="1">IF(AND($D316&lt;&gt;"",COUNTIF(OFFSET(UFS!$E$2,MATCH($D316&amp;"",UFS!$A$2:$A$175,0)-1,0,COUNTIF(UFS!$A$2:$A$175,$D316&amp;""),1),M316)&gt;0),"Valide","Invalide")</f>
        <v>Valide</v>
      </c>
      <c r="AH316" s="15" t="str">
        <f t="shared" si="4"/>
        <v>En attente</v>
      </c>
    </row>
    <row r="317" spans="1:34" s="15" customFormat="1" ht="45" hidden="1" customHeight="1" x14ac:dyDescent="0.3">
      <c r="A317" s="42">
        <v>316</v>
      </c>
      <c r="B317" s="19" t="s">
        <v>26</v>
      </c>
      <c r="C317" s="19" t="s">
        <v>11</v>
      </c>
      <c r="D317" s="20" t="s">
        <v>156</v>
      </c>
      <c r="E317" s="20" t="s">
        <v>96</v>
      </c>
      <c r="F317" s="21" t="s">
        <v>80</v>
      </c>
      <c r="G317" s="38" t="s">
        <v>169</v>
      </c>
      <c r="H317" s="39"/>
      <c r="I317" s="39" t="s">
        <v>43</v>
      </c>
      <c r="J317" s="21" t="s">
        <v>144</v>
      </c>
      <c r="K317" s="21" t="s">
        <v>145</v>
      </c>
      <c r="L317" s="21" t="s">
        <v>146</v>
      </c>
      <c r="M317" s="21" t="s">
        <v>146</v>
      </c>
      <c r="N317" s="21" t="s">
        <v>157</v>
      </c>
      <c r="O317" s="20" t="s">
        <v>1281</v>
      </c>
      <c r="P317" s="45">
        <v>45735</v>
      </c>
      <c r="Q317" s="39" t="s">
        <v>1279</v>
      </c>
      <c r="R317" s="19">
        <v>3958.35</v>
      </c>
      <c r="S317" s="21">
        <v>0.2</v>
      </c>
      <c r="T317" s="21">
        <v>4750.0199999999995</v>
      </c>
      <c r="U317" s="44" t="s">
        <v>1282</v>
      </c>
      <c r="V317" s="22">
        <v>45741</v>
      </c>
      <c r="W317" s="54" t="s">
        <v>91</v>
      </c>
      <c r="X317" s="23"/>
      <c r="Y317" s="23" t="s">
        <v>92</v>
      </c>
      <c r="Z317" s="56" t="s">
        <v>446</v>
      </c>
      <c r="AA317" s="24">
        <v>849174</v>
      </c>
      <c r="AB317" s="19"/>
      <c r="AC317" s="46" t="s">
        <v>94</v>
      </c>
      <c r="AD317" s="15" t="str">
        <f ca="1">IF(AND($D318&lt;&gt;"",COUNTIF(OFFSET(UFS!$E$2,MATCH($D318&amp;"",UFS!$A$2:$A$175,0)-1,0,COUNTIF(UFS!$A$2:$A$175,$D318&amp;""),1),M317)&gt;0),"Valide","Invalide")</f>
        <v>Valide</v>
      </c>
      <c r="AH317" s="15" t="str">
        <f t="shared" si="4"/>
        <v>En attente</v>
      </c>
    </row>
    <row r="318" spans="1:34" s="15" customFormat="1" ht="45" hidden="1" customHeight="1" x14ac:dyDescent="0.3">
      <c r="A318" s="42">
        <v>317</v>
      </c>
      <c r="B318" s="19" t="s">
        <v>26</v>
      </c>
      <c r="C318" s="19" t="s">
        <v>35</v>
      </c>
      <c r="D318" s="20" t="s">
        <v>156</v>
      </c>
      <c r="E318" s="20" t="s">
        <v>96</v>
      </c>
      <c r="F318" s="21" t="s">
        <v>80</v>
      </c>
      <c r="G318" s="38" t="s">
        <v>175</v>
      </c>
      <c r="H318" s="39"/>
      <c r="I318" s="39" t="s">
        <v>43</v>
      </c>
      <c r="J318" s="21" t="s">
        <v>144</v>
      </c>
      <c r="K318" s="21" t="s">
        <v>145</v>
      </c>
      <c r="L318" s="21" t="s">
        <v>146</v>
      </c>
      <c r="M318" s="21" t="s">
        <v>146</v>
      </c>
      <c r="N318" s="21" t="s">
        <v>157</v>
      </c>
      <c r="O318" s="20" t="s">
        <v>1283</v>
      </c>
      <c r="P318" s="45">
        <v>45470</v>
      </c>
      <c r="Q318" s="39" t="s">
        <v>1279</v>
      </c>
      <c r="R318" s="19">
        <v>9329.09</v>
      </c>
      <c r="S318" s="21">
        <v>0.2</v>
      </c>
      <c r="T318" s="21">
        <v>11194.907999999999</v>
      </c>
      <c r="U318" s="44" t="s">
        <v>1284</v>
      </c>
      <c r="V318" s="22">
        <v>45741</v>
      </c>
      <c r="W318" s="54" t="s">
        <v>91</v>
      </c>
      <c r="X318" s="23"/>
      <c r="Y318" s="23" t="s">
        <v>92</v>
      </c>
      <c r="Z318" s="56" t="s">
        <v>446</v>
      </c>
      <c r="AA318" s="24">
        <v>849176</v>
      </c>
      <c r="AB318" s="19"/>
      <c r="AC318" s="46" t="s">
        <v>94</v>
      </c>
      <c r="AD318" s="15" t="e">
        <f ca="1">IF(AND(#REF!&lt;&gt;"",COUNTIF(OFFSET(UFS!$E$2,MATCH(#REF!&amp;"",UFS!$A$2:$A$175,0)-1,0,COUNTIF(UFS!$A$2:$A$175,#REF!&amp;""),1),M318)&gt;0),"Valide","Invalide")</f>
        <v>#REF!</v>
      </c>
      <c r="AH318" s="15" t="str">
        <f t="shared" si="4"/>
        <v>En attente</v>
      </c>
    </row>
    <row r="319" spans="1:34" s="15" customFormat="1" ht="45" hidden="1" customHeight="1" x14ac:dyDescent="0.3">
      <c r="A319" s="42">
        <v>318</v>
      </c>
      <c r="B319" s="19" t="s">
        <v>26</v>
      </c>
      <c r="C319" s="39" t="s">
        <v>28</v>
      </c>
      <c r="D319" s="20" t="s">
        <v>156</v>
      </c>
      <c r="E319" s="20" t="s">
        <v>96</v>
      </c>
      <c r="F319" s="21" t="s">
        <v>80</v>
      </c>
      <c r="G319" s="38" t="s">
        <v>294</v>
      </c>
      <c r="H319" s="39"/>
      <c r="I319" s="39" t="s">
        <v>43</v>
      </c>
      <c r="J319" s="21" t="s">
        <v>144</v>
      </c>
      <c r="K319" s="21" t="s">
        <v>145</v>
      </c>
      <c r="L319" s="21" t="s">
        <v>146</v>
      </c>
      <c r="M319" s="21" t="s">
        <v>146</v>
      </c>
      <c r="N319" s="21" t="s">
        <v>157</v>
      </c>
      <c r="O319" s="122" t="s">
        <v>1285</v>
      </c>
      <c r="P319" s="45" t="s">
        <v>1286</v>
      </c>
      <c r="Q319" s="39" t="s">
        <v>1279</v>
      </c>
      <c r="R319" s="19">
        <v>6525.74</v>
      </c>
      <c r="S319" s="21">
        <v>0.2</v>
      </c>
      <c r="T319" s="21">
        <v>7830.8879999999999</v>
      </c>
      <c r="U319" s="44" t="s">
        <v>1287</v>
      </c>
      <c r="V319" s="22">
        <v>45741</v>
      </c>
      <c r="W319" s="54" t="s">
        <v>91</v>
      </c>
      <c r="X319" s="23"/>
      <c r="Y319" s="23" t="s">
        <v>92</v>
      </c>
      <c r="Z319" s="56" t="s">
        <v>446</v>
      </c>
      <c r="AA319" s="24">
        <v>849184</v>
      </c>
      <c r="AB319" s="19"/>
      <c r="AC319" s="46" t="s">
        <v>94</v>
      </c>
      <c r="AD319" s="15" t="str">
        <f ca="1">IF(AND($D319&lt;&gt;"",COUNTIF(OFFSET(UFS!$E$2,MATCH($D319&amp;"",UFS!$A$2:$A$175,0)-1,0,COUNTIF(UFS!$A$2:$A$175,$D319&amp;""),1),M319)&gt;0),"Valide","Invalide")</f>
        <v>Valide</v>
      </c>
      <c r="AH319" s="15" t="str">
        <f t="shared" si="4"/>
        <v>En attente</v>
      </c>
    </row>
    <row r="320" spans="1:34" s="15" customFormat="1" ht="45" hidden="1" customHeight="1" x14ac:dyDescent="0.3">
      <c r="A320" s="42">
        <v>319</v>
      </c>
      <c r="B320" s="19" t="s">
        <v>20</v>
      </c>
      <c r="C320" s="19" t="s">
        <v>1</v>
      </c>
      <c r="D320" s="20" t="s">
        <v>1288</v>
      </c>
      <c r="E320" s="20" t="s">
        <v>79</v>
      </c>
      <c r="F320" s="21" t="s">
        <v>80</v>
      </c>
      <c r="G320" s="38" t="s">
        <v>81</v>
      </c>
      <c r="H320" s="39" t="s">
        <v>82</v>
      </c>
      <c r="I320" s="39" t="s">
        <v>83</v>
      </c>
      <c r="J320" s="21" t="s">
        <v>183</v>
      </c>
      <c r="K320" s="21" t="s">
        <v>544</v>
      </c>
      <c r="L320" s="21" t="s">
        <v>492</v>
      </c>
      <c r="M320" s="21" t="s">
        <v>544</v>
      </c>
      <c r="N320" s="21" t="s">
        <v>151</v>
      </c>
      <c r="O320" s="20" t="s">
        <v>1289</v>
      </c>
      <c r="P320" s="45">
        <v>45741</v>
      </c>
      <c r="Q320" s="39" t="s">
        <v>1290</v>
      </c>
      <c r="R320" s="19">
        <v>369.66</v>
      </c>
      <c r="S320" s="21">
        <v>0.2</v>
      </c>
      <c r="T320" s="21">
        <v>443.59200000000004</v>
      </c>
      <c r="U320" s="44" t="s">
        <v>439</v>
      </c>
      <c r="V320" s="22">
        <v>45742</v>
      </c>
      <c r="W320" s="54" t="s">
        <v>91</v>
      </c>
      <c r="X320" s="23"/>
      <c r="Y320" s="23" t="s">
        <v>92</v>
      </c>
      <c r="Z320" s="56" t="s">
        <v>446</v>
      </c>
      <c r="AA320" s="24">
        <v>849189</v>
      </c>
      <c r="AB320" s="19"/>
      <c r="AC320" s="46" t="s">
        <v>94</v>
      </c>
      <c r="AD320" s="15" t="str">
        <f ca="1">IF(AND($D320&lt;&gt;"",COUNTIF(OFFSET(UFS!$E$2,MATCH($D320&amp;"",UFS!$A$2:$A$175,0)-1,0,COUNTIF(UFS!$A$2:$A$175,$D320&amp;""),1),M320)&gt;0),"Valide","Invalide")</f>
        <v>Valide</v>
      </c>
      <c r="AH320" s="15" t="str">
        <f t="shared" si="4"/>
        <v>En attente</v>
      </c>
    </row>
    <row r="321" spans="1:34" s="15" customFormat="1" ht="45" hidden="1" customHeight="1" x14ac:dyDescent="0.3">
      <c r="A321" s="42">
        <v>320</v>
      </c>
      <c r="B321" s="19" t="s">
        <v>24</v>
      </c>
      <c r="C321" s="19" t="s">
        <v>28</v>
      </c>
      <c r="D321" s="20" t="s">
        <v>699</v>
      </c>
      <c r="E321" s="20" t="s">
        <v>79</v>
      </c>
      <c r="F321" s="21" t="s">
        <v>80</v>
      </c>
      <c r="G321" s="38" t="s">
        <v>81</v>
      </c>
      <c r="H321" s="39" t="s">
        <v>82</v>
      </c>
      <c r="I321" s="39" t="s">
        <v>83</v>
      </c>
      <c r="J321" s="21" t="s">
        <v>700</v>
      </c>
      <c r="K321" s="21" t="s">
        <v>701</v>
      </c>
      <c r="L321" s="21" t="s">
        <v>114</v>
      </c>
      <c r="M321" s="21" t="s">
        <v>702</v>
      </c>
      <c r="N321" s="21" t="s">
        <v>151</v>
      </c>
      <c r="O321" s="20" t="s">
        <v>1291</v>
      </c>
      <c r="P321" s="45">
        <v>45741</v>
      </c>
      <c r="Q321" s="39" t="s">
        <v>1292</v>
      </c>
      <c r="R321" s="19">
        <v>1912.79</v>
      </c>
      <c r="S321" s="21">
        <v>0.2</v>
      </c>
      <c r="T321" s="21">
        <v>2295.348</v>
      </c>
      <c r="U321" s="44" t="s">
        <v>1293</v>
      </c>
      <c r="V321" s="22">
        <v>45742</v>
      </c>
      <c r="W321" s="54" t="s">
        <v>91</v>
      </c>
      <c r="X321" s="23"/>
      <c r="Y321" s="23" t="s">
        <v>92</v>
      </c>
      <c r="Z321" s="56" t="s">
        <v>446</v>
      </c>
      <c r="AA321" s="24">
        <v>849191</v>
      </c>
      <c r="AB321" s="47">
        <v>45782</v>
      </c>
      <c r="AC321" s="46" t="s">
        <v>94</v>
      </c>
      <c r="AD321" s="15" t="str">
        <f ca="1">IF(AND($D321&lt;&gt;"",COUNTIF(OFFSET(UFS!$E$2,MATCH($D321&amp;"",UFS!$A$2:$A$175,0)-1,0,COUNTIF(UFS!$A$2:$A$175,$D321&amp;""),1),M321)&gt;0),"Valide","Invalide")</f>
        <v>Valide</v>
      </c>
      <c r="AH321" s="15" t="str">
        <f t="shared" si="4"/>
        <v>En attente</v>
      </c>
    </row>
    <row r="322" spans="1:34" s="15" customFormat="1" ht="45" hidden="1" customHeight="1" x14ac:dyDescent="0.3">
      <c r="A322" s="42">
        <v>321</v>
      </c>
      <c r="B322" s="19" t="s">
        <v>26</v>
      </c>
      <c r="C322" s="19" t="s">
        <v>15</v>
      </c>
      <c r="D322" s="20" t="s">
        <v>95</v>
      </c>
      <c r="E322" s="20" t="s">
        <v>96</v>
      </c>
      <c r="F322" s="21" t="s">
        <v>80</v>
      </c>
      <c r="G322" s="38" t="s">
        <v>288</v>
      </c>
      <c r="H322" s="39"/>
      <c r="I322" s="39" t="s">
        <v>47</v>
      </c>
      <c r="J322" s="21" t="s">
        <v>98</v>
      </c>
      <c r="K322" s="21" t="s">
        <v>99</v>
      </c>
      <c r="L322" s="21" t="s">
        <v>100</v>
      </c>
      <c r="M322" s="21" t="s">
        <v>101</v>
      </c>
      <c r="N322" s="21" t="s">
        <v>102</v>
      </c>
      <c r="O322" s="20" t="s">
        <v>1294</v>
      </c>
      <c r="P322" s="45">
        <v>45684</v>
      </c>
      <c r="Q322" s="39" t="s">
        <v>1295</v>
      </c>
      <c r="R322" s="19">
        <v>1957.12</v>
      </c>
      <c r="S322" s="21">
        <v>0.1</v>
      </c>
      <c r="T322" s="21">
        <v>2152.8319999999999</v>
      </c>
      <c r="U322" s="44" t="s">
        <v>1296</v>
      </c>
      <c r="V322" s="22">
        <v>45742</v>
      </c>
      <c r="W322" s="54" t="s">
        <v>91</v>
      </c>
      <c r="X322" s="23"/>
      <c r="Y322" s="23" t="s">
        <v>92</v>
      </c>
      <c r="Z322" s="56" t="s">
        <v>1297</v>
      </c>
      <c r="AA322" s="24">
        <v>860826</v>
      </c>
      <c r="AB322" s="19"/>
      <c r="AC322" s="46" t="s">
        <v>94</v>
      </c>
      <c r="AD322" s="15" t="str">
        <f ca="1">IF(AND($D322&lt;&gt;"",COUNTIF(OFFSET(UFS!$E$2,MATCH($D322&amp;"",UFS!$A$2:$A$175,0)-1,0,COUNTIF(UFS!$A$2:$A$175,$D322&amp;""),1),M322)&gt;0),"Valide","Invalide")</f>
        <v>Valide</v>
      </c>
      <c r="AH322" s="15" t="str">
        <f t="shared" si="4"/>
        <v>En attente</v>
      </c>
    </row>
    <row r="323" spans="1:34" s="15" customFormat="1" ht="45" hidden="1" customHeight="1" x14ac:dyDescent="0.3">
      <c r="A323" s="42">
        <v>322</v>
      </c>
      <c r="B323" s="19" t="s">
        <v>709</v>
      </c>
      <c r="C323" s="19" t="s">
        <v>23</v>
      </c>
      <c r="D323" s="20" t="s">
        <v>582</v>
      </c>
      <c r="E323" s="20" t="s">
        <v>79</v>
      </c>
      <c r="F323" s="21" t="s">
        <v>80</v>
      </c>
      <c r="G323" s="127" t="s">
        <v>241</v>
      </c>
      <c r="H323" s="127" t="s">
        <v>643</v>
      </c>
      <c r="I323" s="39"/>
      <c r="J323" s="21" t="s">
        <v>144</v>
      </c>
      <c r="K323" s="21" t="s">
        <v>1298</v>
      </c>
      <c r="L323" s="21" t="s">
        <v>328</v>
      </c>
      <c r="M323" s="21" t="s">
        <v>327</v>
      </c>
      <c r="N323" s="21" t="s">
        <v>102</v>
      </c>
      <c r="O323" s="20" t="s">
        <v>1299</v>
      </c>
      <c r="P323" s="45">
        <v>45741</v>
      </c>
      <c r="Q323" s="39" t="s">
        <v>1300</v>
      </c>
      <c r="R323" s="19">
        <v>443.1</v>
      </c>
      <c r="S323" s="21">
        <v>0.1</v>
      </c>
      <c r="T323" s="21">
        <v>487.41</v>
      </c>
      <c r="U323" s="60" t="s">
        <v>714</v>
      </c>
      <c r="V323" s="22">
        <v>45742</v>
      </c>
      <c r="W323" s="54" t="s">
        <v>91</v>
      </c>
      <c r="X323" s="23"/>
      <c r="Y323" s="23" t="s">
        <v>92</v>
      </c>
      <c r="Z323" s="56" t="s">
        <v>1301</v>
      </c>
      <c r="AA323" s="24">
        <v>849193</v>
      </c>
      <c r="AB323" s="19"/>
      <c r="AC323" s="19" t="s">
        <v>94</v>
      </c>
      <c r="AD323" s="15" t="str">
        <f ca="1">IF(AND($D323&lt;&gt;"",COUNTIF(OFFSET(UFS!$E$2,MATCH($D323&amp;"",UFS!$A$2:$A$175,0)-1,0,COUNTIF(UFS!$A$2:$A$175,$D323&amp;""),1),M323)&gt;0),"Valide","Invalide")</f>
        <v>Invalide</v>
      </c>
      <c r="AH323" s="15" t="str">
        <f t="shared" ref="AH323:AH386" si="5">IF(T323&lt;&gt;"","En attente","")</f>
        <v>En attente</v>
      </c>
    </row>
    <row r="324" spans="1:34" s="15" customFormat="1" ht="45" hidden="1" customHeight="1" x14ac:dyDescent="0.3">
      <c r="A324" s="42">
        <v>323</v>
      </c>
      <c r="B324" s="19" t="s">
        <v>709</v>
      </c>
      <c r="C324" s="19" t="s">
        <v>23</v>
      </c>
      <c r="D324" s="20" t="s">
        <v>106</v>
      </c>
      <c r="E324" s="20" t="s">
        <v>79</v>
      </c>
      <c r="F324" s="21" t="s">
        <v>80</v>
      </c>
      <c r="G324" s="127" t="s">
        <v>241</v>
      </c>
      <c r="H324" s="127" t="s">
        <v>643</v>
      </c>
      <c r="I324" s="39"/>
      <c r="J324" s="21" t="s">
        <v>98</v>
      </c>
      <c r="K324" s="21" t="s">
        <v>108</v>
      </c>
      <c r="L324" s="21" t="s">
        <v>100</v>
      </c>
      <c r="M324" s="21" t="s">
        <v>109</v>
      </c>
      <c r="N324" s="21" t="s">
        <v>109</v>
      </c>
      <c r="O324" s="20" t="s">
        <v>1302</v>
      </c>
      <c r="P324" s="45">
        <v>45741</v>
      </c>
      <c r="Q324" s="39" t="s">
        <v>1303</v>
      </c>
      <c r="R324" s="19">
        <v>253.2</v>
      </c>
      <c r="S324" s="21">
        <v>0.1</v>
      </c>
      <c r="T324" s="21">
        <v>278.52</v>
      </c>
      <c r="U324" s="60" t="s">
        <v>714</v>
      </c>
      <c r="V324" s="22">
        <v>45742</v>
      </c>
      <c r="W324" s="54" t="s">
        <v>91</v>
      </c>
      <c r="X324" s="23"/>
      <c r="Y324" s="23" t="s">
        <v>92</v>
      </c>
      <c r="Z324" s="56" t="s">
        <v>1301</v>
      </c>
      <c r="AA324" s="24">
        <v>849195</v>
      </c>
      <c r="AB324" s="19"/>
      <c r="AC324" s="19" t="s">
        <v>94</v>
      </c>
      <c r="AD324" s="15" t="str">
        <f ca="1">IF(AND($D324&lt;&gt;"",COUNTIF(OFFSET(UFS!$E$2,MATCH($D324&amp;"",UFS!$A$2:$A$175,0)-1,0,COUNTIF(UFS!$A$2:$A$175,$D324&amp;""),1),M324)&gt;0),"Valide","Invalide")</f>
        <v>Valide</v>
      </c>
      <c r="AH324" s="15" t="str">
        <f t="shared" si="5"/>
        <v>En attente</v>
      </c>
    </row>
    <row r="325" spans="1:34" s="15" customFormat="1" ht="45" hidden="1" customHeight="1" x14ac:dyDescent="0.3">
      <c r="A325" s="42">
        <v>324</v>
      </c>
      <c r="B325" s="19" t="s">
        <v>10</v>
      </c>
      <c r="C325" s="19" t="s">
        <v>1304</v>
      </c>
      <c r="D325" s="20" t="s">
        <v>200</v>
      </c>
      <c r="E325" s="20" t="s">
        <v>96</v>
      </c>
      <c r="F325" s="21" t="s">
        <v>80</v>
      </c>
      <c r="G325" s="38" t="s">
        <v>681</v>
      </c>
      <c r="H325" s="39"/>
      <c r="I325" s="39" t="s">
        <v>682</v>
      </c>
      <c r="J325" s="21" t="s">
        <v>144</v>
      </c>
      <c r="K325" s="21" t="s">
        <v>145</v>
      </c>
      <c r="L325" s="21" t="s">
        <v>203</v>
      </c>
      <c r="M325" s="21" t="s">
        <v>109</v>
      </c>
      <c r="N325" s="21" t="s">
        <v>109</v>
      </c>
      <c r="O325" s="20" t="s">
        <v>1305</v>
      </c>
      <c r="P325" s="45">
        <v>45735</v>
      </c>
      <c r="Q325" s="39" t="s">
        <v>1306</v>
      </c>
      <c r="R325" s="19">
        <v>10445.25</v>
      </c>
      <c r="S325" s="21">
        <v>0.2</v>
      </c>
      <c r="T325" s="21">
        <v>12534.3</v>
      </c>
      <c r="U325" s="44" t="s">
        <v>1307</v>
      </c>
      <c r="V325" s="22">
        <v>45742</v>
      </c>
      <c r="W325" s="54" t="s">
        <v>91</v>
      </c>
      <c r="X325" s="23"/>
      <c r="Y325" s="23" t="s">
        <v>92</v>
      </c>
      <c r="Z325" s="56"/>
      <c r="AA325" s="69">
        <v>849515</v>
      </c>
      <c r="AB325" s="19"/>
      <c r="AC325" s="19"/>
      <c r="AD325" s="15" t="e">
        <f ca="1">IF(AND($D325&lt;&gt;"",COUNTIF(OFFSET(UFS!$E$2,MATCH($D325&amp;"",UFS!$A$2:$A$175,0)-1,0,COUNTIF(UFS!$A$2:$A$175,$D325&amp;""),1),M325)&gt;0),"Valide","Invalide")</f>
        <v>#N/A</v>
      </c>
      <c r="AH325" s="15" t="str">
        <f t="shared" si="5"/>
        <v>En attente</v>
      </c>
    </row>
    <row r="326" spans="1:34" s="15" customFormat="1" ht="45" hidden="1" customHeight="1" x14ac:dyDescent="0.3">
      <c r="A326" s="42">
        <v>325</v>
      </c>
      <c r="B326" s="19" t="s">
        <v>24</v>
      </c>
      <c r="C326" s="19" t="s">
        <v>23</v>
      </c>
      <c r="D326" s="20" t="s">
        <v>260</v>
      </c>
      <c r="E326" s="20" t="s">
        <v>96</v>
      </c>
      <c r="F326" s="21" t="s">
        <v>80</v>
      </c>
      <c r="G326" s="38" t="s">
        <v>1308</v>
      </c>
      <c r="H326" s="39" t="s">
        <v>643</v>
      </c>
      <c r="I326" s="39" t="s">
        <v>1309</v>
      </c>
      <c r="J326" s="21" t="s">
        <v>84</v>
      </c>
      <c r="K326" s="21" t="s">
        <v>113</v>
      </c>
      <c r="L326" s="21" t="s">
        <v>86</v>
      </c>
      <c r="M326" s="21" t="s">
        <v>109</v>
      </c>
      <c r="N326" s="21" t="s">
        <v>109</v>
      </c>
      <c r="O326" s="20" t="s">
        <v>1310</v>
      </c>
      <c r="P326" s="45">
        <v>45267</v>
      </c>
      <c r="Q326" s="39" t="s">
        <v>1311</v>
      </c>
      <c r="R326" s="19">
        <v>24247.68</v>
      </c>
      <c r="S326" s="21">
        <v>0.1</v>
      </c>
      <c r="T326" s="21">
        <v>26672.448</v>
      </c>
      <c r="U326" s="44" t="s">
        <v>1312</v>
      </c>
      <c r="V326" s="22">
        <v>45743</v>
      </c>
      <c r="W326" s="54" t="s">
        <v>91</v>
      </c>
      <c r="X326" s="23"/>
      <c r="Y326" s="23" t="s">
        <v>92</v>
      </c>
      <c r="Z326" s="56" t="s">
        <v>1301</v>
      </c>
      <c r="AA326" s="24">
        <v>849936</v>
      </c>
      <c r="AB326" s="19"/>
      <c r="AC326" s="46" t="s">
        <v>94</v>
      </c>
      <c r="AD326" s="15" t="str">
        <f ca="1">IF(AND($D326&lt;&gt;"",COUNTIF(OFFSET(UFS!$E$2,MATCH($D326&amp;"",UFS!$A$2:$A$175,0)-1,0,COUNTIF(UFS!$A$2:$A$175,$D326&amp;""),1),M326)&gt;0),"Valide","Invalide")</f>
        <v>Valide</v>
      </c>
      <c r="AH326" s="15" t="str">
        <f t="shared" si="5"/>
        <v>En attente</v>
      </c>
    </row>
    <row r="327" spans="1:34" s="15" customFormat="1" ht="45" hidden="1" customHeight="1" x14ac:dyDescent="0.3">
      <c r="A327" s="42">
        <v>326</v>
      </c>
      <c r="B327" s="19" t="s">
        <v>24</v>
      </c>
      <c r="C327" s="19" t="s">
        <v>35</v>
      </c>
      <c r="D327" s="20" t="s">
        <v>174</v>
      </c>
      <c r="E327" s="20" t="s">
        <v>96</v>
      </c>
      <c r="F327" s="21" t="s">
        <v>80</v>
      </c>
      <c r="G327" s="38" t="s">
        <v>175</v>
      </c>
      <c r="H327" s="39"/>
      <c r="I327" s="39" t="s">
        <v>176</v>
      </c>
      <c r="J327" s="21" t="s">
        <v>124</v>
      </c>
      <c r="K327" s="21" t="s">
        <v>125</v>
      </c>
      <c r="L327" s="21" t="s">
        <v>177</v>
      </c>
      <c r="M327" s="21" t="s">
        <v>136</v>
      </c>
      <c r="N327" s="21" t="s">
        <v>102</v>
      </c>
      <c r="O327" s="20" t="s">
        <v>1313</v>
      </c>
      <c r="P327" s="45">
        <v>45742</v>
      </c>
      <c r="Q327" s="39" t="s">
        <v>1314</v>
      </c>
      <c r="R327" s="19">
        <v>933.26</v>
      </c>
      <c r="S327" s="21">
        <v>0.1</v>
      </c>
      <c r="T327" s="21">
        <v>1026.586</v>
      </c>
      <c r="U327" s="44" t="s">
        <v>180</v>
      </c>
      <c r="V327" s="22">
        <v>45743</v>
      </c>
      <c r="W327" s="54" t="s">
        <v>91</v>
      </c>
      <c r="X327" s="23"/>
      <c r="Y327" s="23" t="s">
        <v>92</v>
      </c>
      <c r="Z327" s="56" t="s">
        <v>1301</v>
      </c>
      <c r="AA327" s="24">
        <v>849335</v>
      </c>
      <c r="AB327" s="47">
        <v>45754</v>
      </c>
      <c r="AC327" s="46" t="s">
        <v>94</v>
      </c>
      <c r="AD327" s="15" t="str">
        <f ca="1">IF(AND($D327&lt;&gt;"",COUNTIF(OFFSET(UFS!$E$2,MATCH($D327&amp;"",UFS!$A$2:$A$175,0)-1,0,COUNTIF(UFS!$A$2:$A$175,$D327&amp;""),1),M327)&gt;0),"Valide","Invalide")</f>
        <v>Valide</v>
      </c>
      <c r="AH327" s="15" t="str">
        <f t="shared" si="5"/>
        <v>En attente</v>
      </c>
    </row>
    <row r="328" spans="1:34" s="15" customFormat="1" ht="45" hidden="1" customHeight="1" x14ac:dyDescent="0.3">
      <c r="A328" s="42">
        <v>327</v>
      </c>
      <c r="B328" s="19" t="s">
        <v>16</v>
      </c>
      <c r="C328" s="19" t="s">
        <v>35</v>
      </c>
      <c r="D328" s="20" t="s">
        <v>143</v>
      </c>
      <c r="E328" s="20" t="s">
        <v>79</v>
      </c>
      <c r="F328" s="21" t="s">
        <v>80</v>
      </c>
      <c r="G328" s="38" t="s">
        <v>81</v>
      </c>
      <c r="H328" s="39" t="s">
        <v>215</v>
      </c>
      <c r="I328" s="39" t="s">
        <v>83</v>
      </c>
      <c r="J328" s="21" t="s">
        <v>144</v>
      </c>
      <c r="K328" s="21" t="s">
        <v>145</v>
      </c>
      <c r="L328" s="21" t="s">
        <v>146</v>
      </c>
      <c r="M328" s="21" t="s">
        <v>146</v>
      </c>
      <c r="N328" s="21" t="s">
        <v>147</v>
      </c>
      <c r="O328" s="20" t="s">
        <v>1315</v>
      </c>
      <c r="P328" s="45">
        <v>45743</v>
      </c>
      <c r="Q328" s="39" t="s">
        <v>1316</v>
      </c>
      <c r="R328" s="19">
        <v>2727.15</v>
      </c>
      <c r="S328" s="21">
        <v>0.2</v>
      </c>
      <c r="T328" s="21">
        <v>3272.58</v>
      </c>
      <c r="U328" s="60" t="s">
        <v>1317</v>
      </c>
      <c r="V328" s="22">
        <v>45743</v>
      </c>
      <c r="W328" s="54" t="s">
        <v>91</v>
      </c>
      <c r="X328" s="23"/>
      <c r="Y328" s="23" t="s">
        <v>92</v>
      </c>
      <c r="Z328" s="56" t="s">
        <v>1301</v>
      </c>
      <c r="AA328" s="24">
        <v>849336</v>
      </c>
      <c r="AB328" s="19"/>
      <c r="AC328" s="46" t="s">
        <v>94</v>
      </c>
      <c r="AD328" s="15" t="str">
        <f ca="1">IF(AND($D328&lt;&gt;"",COUNTIF(OFFSET(UFS!$E$2,MATCH($D328&amp;"",UFS!$A$2:$A$175,0)-1,0,COUNTIF(UFS!$A$2:$A$175,$D328&amp;""),1),M328)&gt;0),"Valide","Invalide")</f>
        <v>Valide</v>
      </c>
      <c r="AH328" s="15" t="str">
        <f t="shared" si="5"/>
        <v>En attente</v>
      </c>
    </row>
    <row r="329" spans="1:34" s="15" customFormat="1" ht="45" hidden="1" customHeight="1" x14ac:dyDescent="0.3">
      <c r="A329" s="42">
        <v>328</v>
      </c>
      <c r="B329" s="19" t="s">
        <v>24</v>
      </c>
      <c r="C329" s="19" t="s">
        <v>35</v>
      </c>
      <c r="D329" s="20" t="s">
        <v>174</v>
      </c>
      <c r="E329" s="20" t="s">
        <v>96</v>
      </c>
      <c r="F329" s="21" t="s">
        <v>80</v>
      </c>
      <c r="G329" s="38" t="s">
        <v>175</v>
      </c>
      <c r="H329" s="39"/>
      <c r="I329" s="39" t="s">
        <v>176</v>
      </c>
      <c r="J329" s="21" t="s">
        <v>124</v>
      </c>
      <c r="K329" s="21" t="s">
        <v>125</v>
      </c>
      <c r="L329" s="21" t="s">
        <v>177</v>
      </c>
      <c r="M329" s="21" t="s">
        <v>136</v>
      </c>
      <c r="N329" s="21" t="s">
        <v>102</v>
      </c>
      <c r="O329" s="20" t="s">
        <v>1318</v>
      </c>
      <c r="P329" s="45">
        <v>45743</v>
      </c>
      <c r="Q329" s="39" t="s">
        <v>1319</v>
      </c>
      <c r="R329" s="19">
        <v>371.51</v>
      </c>
      <c r="S329" s="21">
        <v>0.1</v>
      </c>
      <c r="T329" s="21">
        <v>408.661</v>
      </c>
      <c r="U329" s="60" t="s">
        <v>180</v>
      </c>
      <c r="V329" s="22">
        <v>45743</v>
      </c>
      <c r="W329" s="54" t="s">
        <v>91</v>
      </c>
      <c r="X329" s="23"/>
      <c r="Y329" s="23" t="s">
        <v>92</v>
      </c>
      <c r="Z329" s="56" t="s">
        <v>1301</v>
      </c>
      <c r="AA329" s="24">
        <v>849337</v>
      </c>
      <c r="AB329" s="47">
        <v>45754</v>
      </c>
      <c r="AC329" s="46" t="s">
        <v>94</v>
      </c>
      <c r="AD329" s="15" t="str">
        <f ca="1">IF(AND($D329&lt;&gt;"",COUNTIF(OFFSET(UFS!$E$2,MATCH($D329&amp;"",UFS!$A$2:$A$175,0)-1,0,COUNTIF(UFS!$A$2:$A$175,$D329&amp;""),1),M329)&gt;0),"Valide","Invalide")</f>
        <v>Valide</v>
      </c>
      <c r="AH329" s="15" t="str">
        <f t="shared" si="5"/>
        <v>En attente</v>
      </c>
    </row>
    <row r="330" spans="1:34" s="15" customFormat="1" ht="45" hidden="1" customHeight="1" x14ac:dyDescent="0.3">
      <c r="A330" s="42">
        <v>329</v>
      </c>
      <c r="B330" s="19" t="s">
        <v>26</v>
      </c>
      <c r="C330" s="19" t="s">
        <v>35</v>
      </c>
      <c r="D330" s="20" t="s">
        <v>1076</v>
      </c>
      <c r="E330" s="20" t="s">
        <v>96</v>
      </c>
      <c r="F330" s="21" t="s">
        <v>80</v>
      </c>
      <c r="G330" s="38" t="s">
        <v>175</v>
      </c>
      <c r="H330" s="39"/>
      <c r="I330" s="39" t="s">
        <v>1320</v>
      </c>
      <c r="J330" s="21" t="s">
        <v>144</v>
      </c>
      <c r="K330" s="21" t="s">
        <v>145</v>
      </c>
      <c r="L330" s="21" t="s">
        <v>120</v>
      </c>
      <c r="M330" s="21" t="s">
        <v>1077</v>
      </c>
      <c r="N330" s="21" t="s">
        <v>165</v>
      </c>
      <c r="O330" s="20" t="s">
        <v>1321</v>
      </c>
      <c r="P330" s="45">
        <v>45741</v>
      </c>
      <c r="Q330" s="39" t="s">
        <v>1322</v>
      </c>
      <c r="R330" s="19">
        <v>3750.61</v>
      </c>
      <c r="S330" s="21">
        <v>0.2</v>
      </c>
      <c r="T330" s="21">
        <v>4500.732</v>
      </c>
      <c r="U330" s="60" t="s">
        <v>1323</v>
      </c>
      <c r="V330" s="22">
        <v>45743</v>
      </c>
      <c r="W330" s="54" t="s">
        <v>91</v>
      </c>
      <c r="X330" s="23"/>
      <c r="Y330" s="23" t="s">
        <v>92</v>
      </c>
      <c r="Z330" s="56" t="s">
        <v>1301</v>
      </c>
      <c r="AA330" s="24">
        <v>849340</v>
      </c>
      <c r="AB330" s="19"/>
      <c r="AC330" s="46" t="s">
        <v>94</v>
      </c>
      <c r="AD330" s="15" t="str">
        <f ca="1">IF(AND($D330&lt;&gt;"",COUNTIF(OFFSET(UFS!$E$2,MATCH($D330&amp;"",UFS!$A$2:$A$175,0)-1,0,COUNTIF(UFS!$A$2:$A$175,$D330&amp;""),1),M330)&gt;0),"Valide","Invalide")</f>
        <v>Valide</v>
      </c>
      <c r="AH330" s="15" t="str">
        <f t="shared" si="5"/>
        <v>En attente</v>
      </c>
    </row>
    <row r="331" spans="1:34" s="15" customFormat="1" ht="45" hidden="1" customHeight="1" x14ac:dyDescent="0.3">
      <c r="A331" s="42">
        <v>330</v>
      </c>
      <c r="B331" s="19" t="s">
        <v>26</v>
      </c>
      <c r="C331" s="19" t="s">
        <v>11</v>
      </c>
      <c r="D331" s="20" t="s">
        <v>1076</v>
      </c>
      <c r="E331" s="20" t="s">
        <v>96</v>
      </c>
      <c r="F331" s="21" t="s">
        <v>80</v>
      </c>
      <c r="G331" s="38" t="s">
        <v>169</v>
      </c>
      <c r="H331" s="39"/>
      <c r="I331" s="70" t="s">
        <v>503</v>
      </c>
      <c r="J331" s="21" t="s">
        <v>144</v>
      </c>
      <c r="K331" s="21" t="s">
        <v>145</v>
      </c>
      <c r="L331" s="21" t="s">
        <v>120</v>
      </c>
      <c r="M331" s="21" t="s">
        <v>1077</v>
      </c>
      <c r="N331" s="21" t="s">
        <v>165</v>
      </c>
      <c r="O331" s="20" t="s">
        <v>1324</v>
      </c>
      <c r="P331" s="45">
        <v>45729</v>
      </c>
      <c r="Q331" s="39" t="s">
        <v>1325</v>
      </c>
      <c r="R331" s="19">
        <v>3809.64</v>
      </c>
      <c r="S331" s="21">
        <v>0.2</v>
      </c>
      <c r="T331" s="21">
        <v>4571.5680000000002</v>
      </c>
      <c r="U331" s="60" t="s">
        <v>1326</v>
      </c>
      <c r="V331" s="22">
        <v>45743</v>
      </c>
      <c r="W331" s="54" t="s">
        <v>91</v>
      </c>
      <c r="X331" s="23"/>
      <c r="Y331" s="23" t="s">
        <v>92</v>
      </c>
      <c r="Z331" s="56" t="s">
        <v>1301</v>
      </c>
      <c r="AA331" s="24">
        <v>849480</v>
      </c>
      <c r="AB331" s="19"/>
      <c r="AC331" s="46" t="s">
        <v>94</v>
      </c>
      <c r="AD331" s="15" t="str">
        <f ca="1">IF(AND($D331&lt;&gt;"",COUNTIF(OFFSET(UFS!$E$2,MATCH($D331&amp;"",UFS!$A$2:$A$175,0)-1,0,COUNTIF(UFS!$A$2:$A$175,$D331&amp;""),1),M331)&gt;0),"Valide","Invalide")</f>
        <v>Valide</v>
      </c>
      <c r="AH331" s="15" t="str">
        <f t="shared" si="5"/>
        <v>En attente</v>
      </c>
    </row>
    <row r="332" spans="1:34" s="15" customFormat="1" ht="45" hidden="1" customHeight="1" x14ac:dyDescent="0.3">
      <c r="A332" s="42">
        <v>331</v>
      </c>
      <c r="B332" s="19" t="s">
        <v>26</v>
      </c>
      <c r="C332" s="19" t="s">
        <v>15</v>
      </c>
      <c r="D332" s="20" t="s">
        <v>1076</v>
      </c>
      <c r="E332" s="20" t="s">
        <v>96</v>
      </c>
      <c r="F332" s="21" t="s">
        <v>80</v>
      </c>
      <c r="G332" s="38" t="s">
        <v>97</v>
      </c>
      <c r="H332" s="39"/>
      <c r="I332" s="39" t="s">
        <v>1320</v>
      </c>
      <c r="J332" s="71" t="s">
        <v>144</v>
      </c>
      <c r="K332" s="21" t="s">
        <v>145</v>
      </c>
      <c r="L332" s="21" t="s">
        <v>120</v>
      </c>
      <c r="M332" s="21" t="s">
        <v>1077</v>
      </c>
      <c r="N332" s="21" t="s">
        <v>165</v>
      </c>
      <c r="O332" s="20" t="s">
        <v>1327</v>
      </c>
      <c r="P332" s="45">
        <v>45736</v>
      </c>
      <c r="Q332" s="39" t="s">
        <v>1322</v>
      </c>
      <c r="R332" s="19">
        <v>12150.46</v>
      </c>
      <c r="S332" s="21">
        <v>0.2</v>
      </c>
      <c r="T332" s="21">
        <v>14580.552</v>
      </c>
      <c r="U332" s="60" t="s">
        <v>1328</v>
      </c>
      <c r="V332" s="22">
        <v>45743</v>
      </c>
      <c r="W332" s="54" t="s">
        <v>91</v>
      </c>
      <c r="X332" s="23"/>
      <c r="Y332" s="23" t="s">
        <v>92</v>
      </c>
      <c r="Z332" s="56" t="s">
        <v>1301</v>
      </c>
      <c r="AA332" s="24">
        <v>849373</v>
      </c>
      <c r="AB332" s="19"/>
      <c r="AC332" s="46" t="s">
        <v>94</v>
      </c>
      <c r="AD332" s="15" t="str">
        <f ca="1">IF(AND($D332&lt;&gt;"",COUNTIF(OFFSET(UFS!$E$2,MATCH($D332&amp;"",UFS!$A$2:$A$175,0)-1,0,COUNTIF(UFS!$A$2:$A$175,$D332&amp;""),1),M332)&gt;0),"Valide","Invalide")</f>
        <v>Valide</v>
      </c>
      <c r="AH332" s="15" t="str">
        <f t="shared" si="5"/>
        <v>En attente</v>
      </c>
    </row>
    <row r="333" spans="1:34" s="15" customFormat="1" ht="45" hidden="1" customHeight="1" x14ac:dyDescent="0.3">
      <c r="A333" s="42">
        <v>332</v>
      </c>
      <c r="B333" s="19" t="s">
        <v>26</v>
      </c>
      <c r="C333" s="19" t="s">
        <v>30</v>
      </c>
      <c r="D333" s="20" t="s">
        <v>1076</v>
      </c>
      <c r="E333" s="20" t="s">
        <v>96</v>
      </c>
      <c r="F333" s="21" t="s">
        <v>80</v>
      </c>
      <c r="G333" s="38" t="s">
        <v>169</v>
      </c>
      <c r="H333" s="70"/>
      <c r="I333" s="70" t="s">
        <v>503</v>
      </c>
      <c r="J333" s="33" t="s">
        <v>144</v>
      </c>
      <c r="K333" s="130" t="s">
        <v>145</v>
      </c>
      <c r="L333" s="130" t="s">
        <v>120</v>
      </c>
      <c r="M333" s="130" t="s">
        <v>1077</v>
      </c>
      <c r="N333" s="130" t="s">
        <v>165</v>
      </c>
      <c r="O333" s="20" t="s">
        <v>1329</v>
      </c>
      <c r="P333" s="45">
        <v>45723</v>
      </c>
      <c r="Q333" s="39" t="s">
        <v>1322</v>
      </c>
      <c r="R333" s="19">
        <v>24258.68</v>
      </c>
      <c r="S333" s="21">
        <v>0.2</v>
      </c>
      <c r="T333" s="21">
        <v>29110.416000000001</v>
      </c>
      <c r="U333" s="60" t="s">
        <v>1330</v>
      </c>
      <c r="V333" s="22">
        <v>45743</v>
      </c>
      <c r="W333" s="54" t="s">
        <v>91</v>
      </c>
      <c r="X333" s="23"/>
      <c r="Y333" s="23" t="s">
        <v>92</v>
      </c>
      <c r="Z333" s="56" t="s">
        <v>1301</v>
      </c>
      <c r="AA333" s="24">
        <v>849508</v>
      </c>
      <c r="AB333" s="19"/>
      <c r="AC333" s="46" t="s">
        <v>94</v>
      </c>
      <c r="AD333" s="15" t="str">
        <f ca="1">IF(AND($D333&lt;&gt;"",COUNTIF(OFFSET(UFS!$E$2,MATCH($D333&amp;"",UFS!$A$2:$A$175,0)-1,0,COUNTIF(UFS!$A$2:$A$175,$D333&amp;""),1),M334)&gt;0),"Valide","Invalide")</f>
        <v>Valide</v>
      </c>
      <c r="AH333" s="15" t="str">
        <f t="shared" si="5"/>
        <v>En attente</v>
      </c>
    </row>
    <row r="334" spans="1:34" s="15" customFormat="1" ht="45" hidden="1" customHeight="1" x14ac:dyDescent="0.3">
      <c r="A334" s="42">
        <v>333</v>
      </c>
      <c r="B334" s="19" t="s">
        <v>26</v>
      </c>
      <c r="C334" s="19" t="s">
        <v>28</v>
      </c>
      <c r="D334" s="20" t="s">
        <v>1076</v>
      </c>
      <c r="E334" s="20" t="s">
        <v>96</v>
      </c>
      <c r="F334" s="21" t="s">
        <v>80</v>
      </c>
      <c r="G334" s="38" t="s">
        <v>169</v>
      </c>
      <c r="H334" s="39"/>
      <c r="I334" s="39" t="s">
        <v>1320</v>
      </c>
      <c r="J334" s="72" t="s">
        <v>144</v>
      </c>
      <c r="K334" s="21" t="s">
        <v>145</v>
      </c>
      <c r="L334" s="21" t="s">
        <v>120</v>
      </c>
      <c r="M334" s="21" t="s">
        <v>1077</v>
      </c>
      <c r="N334" s="21" t="s">
        <v>165</v>
      </c>
      <c r="O334" s="20" t="s">
        <v>1331</v>
      </c>
      <c r="P334" s="45">
        <v>45804</v>
      </c>
      <c r="Q334" s="39" t="s">
        <v>1322</v>
      </c>
      <c r="R334" s="19">
        <v>15445.33</v>
      </c>
      <c r="S334" s="122">
        <v>0.2</v>
      </c>
      <c r="T334" s="21">
        <v>18534.396000000001</v>
      </c>
      <c r="U334" s="60" t="s">
        <v>1332</v>
      </c>
      <c r="V334" s="22">
        <v>45743</v>
      </c>
      <c r="W334" s="54" t="s">
        <v>91</v>
      </c>
      <c r="X334" s="23"/>
      <c r="Y334" s="23" t="s">
        <v>92</v>
      </c>
      <c r="Z334" s="56" t="s">
        <v>1333</v>
      </c>
      <c r="AA334" s="24">
        <v>853994</v>
      </c>
      <c r="AB334" s="19"/>
      <c r="AC334" s="46" t="s">
        <v>94</v>
      </c>
      <c r="AD334" s="15" t="str">
        <f ca="1">IF(AND($D334&lt;&gt;"",COUNTIF(OFFSET(UFS!$E$2,MATCH($D334&amp;"",UFS!$A$2:$A$175,0)-1,0,COUNTIF(UFS!$A$2:$A$175,$D334&amp;""),1),#REF!)&gt;0),"Valide","Invalide")</f>
        <v>Invalide</v>
      </c>
      <c r="AH334" s="15" t="str">
        <f>IF(T334&lt;&gt;"","En attente","")</f>
        <v>En attente</v>
      </c>
    </row>
    <row r="335" spans="1:34" s="15" customFormat="1" ht="45" hidden="1" customHeight="1" x14ac:dyDescent="0.3">
      <c r="A335" s="86">
        <v>335</v>
      </c>
      <c r="B335" s="87" t="s">
        <v>10</v>
      </c>
      <c r="C335" s="87" t="s">
        <v>1334</v>
      </c>
      <c r="D335" s="87">
        <v>1210</v>
      </c>
      <c r="E335" s="87" t="s">
        <v>96</v>
      </c>
      <c r="F335" s="21" t="s">
        <v>80</v>
      </c>
      <c r="G335" s="87" t="s">
        <v>681</v>
      </c>
      <c r="H335" s="87"/>
      <c r="I335" s="87"/>
      <c r="J335" s="21" t="s">
        <v>144</v>
      </c>
      <c r="K335" s="21" t="s">
        <v>145</v>
      </c>
      <c r="L335" s="21" t="s">
        <v>203</v>
      </c>
      <c r="M335" s="21" t="s">
        <v>109</v>
      </c>
      <c r="N335" s="21" t="s">
        <v>109</v>
      </c>
      <c r="O335" s="87" t="s">
        <v>1335</v>
      </c>
      <c r="P335" s="101">
        <v>45824</v>
      </c>
      <c r="Q335" s="87" t="s">
        <v>1336</v>
      </c>
      <c r="R335" s="87">
        <v>89297.5</v>
      </c>
      <c r="S335" s="21">
        <v>0.2</v>
      </c>
      <c r="T335" s="21">
        <v>107157</v>
      </c>
      <c r="U335" s="98" t="s">
        <v>1337</v>
      </c>
      <c r="V335" s="22">
        <v>45833</v>
      </c>
      <c r="W335" s="87" t="s">
        <v>91</v>
      </c>
      <c r="X335" s="23"/>
      <c r="Y335" s="23" t="s">
        <v>92</v>
      </c>
      <c r="Z335" s="56" t="s">
        <v>1338</v>
      </c>
      <c r="AA335" s="24">
        <v>855399</v>
      </c>
      <c r="AB335" s="19"/>
      <c r="AC335" s="46" t="s">
        <v>94</v>
      </c>
      <c r="AD335" s="15" t="e">
        <f ca="1">IF(AND(#REF!&lt;&gt;"",COUNTIF(OFFSET(UFS!$E$2,MATCH(#REF!&amp;"",UFS!$A$2:$A$175,0)-1,0,COUNTIF(UFS!$A$2:$A$175,#REF!&amp;""),1),#REF!)&gt;0),"Valide","Invalide")</f>
        <v>#REF!</v>
      </c>
      <c r="AH335" s="15" t="e">
        <f>IF(#REF!&lt;&gt;"","En attente","")</f>
        <v>#REF!</v>
      </c>
    </row>
    <row r="336" spans="1:34" s="15" customFormat="1" ht="45" hidden="1" customHeight="1" x14ac:dyDescent="0.3">
      <c r="A336" s="42">
        <v>336</v>
      </c>
      <c r="B336" s="88" t="s">
        <v>709</v>
      </c>
      <c r="C336" s="88" t="s">
        <v>23</v>
      </c>
      <c r="D336" s="90" t="s">
        <v>527</v>
      </c>
      <c r="E336" s="90" t="s">
        <v>79</v>
      </c>
      <c r="F336" s="21" t="s">
        <v>80</v>
      </c>
      <c r="G336" s="91" t="s">
        <v>241</v>
      </c>
      <c r="H336" s="95" t="s">
        <v>643</v>
      </c>
      <c r="I336" s="95" t="s">
        <v>644</v>
      </c>
      <c r="J336" s="21" t="s">
        <v>144</v>
      </c>
      <c r="K336" s="21" t="s">
        <v>145</v>
      </c>
      <c r="L336" s="21" t="s">
        <v>86</v>
      </c>
      <c r="M336" s="21" t="s">
        <v>528</v>
      </c>
      <c r="N336" s="21" t="s">
        <v>529</v>
      </c>
      <c r="O336" s="90" t="s">
        <v>1339</v>
      </c>
      <c r="P336" s="96">
        <v>45744</v>
      </c>
      <c r="Q336" s="95" t="s">
        <v>1340</v>
      </c>
      <c r="R336" s="88">
        <v>304.89999999999998</v>
      </c>
      <c r="S336" s="21">
        <v>0.1</v>
      </c>
      <c r="T336" s="21">
        <v>335.39</v>
      </c>
      <c r="U336" s="135" t="s">
        <v>1341</v>
      </c>
      <c r="V336" s="22">
        <v>45744</v>
      </c>
      <c r="W336" s="100" t="s">
        <v>91</v>
      </c>
      <c r="X336" s="23"/>
      <c r="Y336" s="23" t="s">
        <v>92</v>
      </c>
      <c r="Z336" s="56" t="s">
        <v>1301</v>
      </c>
      <c r="AA336" s="24">
        <v>849513</v>
      </c>
      <c r="AB336" s="19"/>
      <c r="AC336" s="19" t="s">
        <v>94</v>
      </c>
      <c r="AD336" s="15" t="str">
        <f ca="1">IF(AND($D336&lt;&gt;"",COUNTIF(OFFSET(UFS!$E$2,MATCH($D336&amp;"",UFS!$A$2:$A$175,0)-1,0,COUNTIF(UFS!$A$2:$A$175,$D336&amp;""),1),M336)&gt;0),"Valide","Invalide")</f>
        <v>Valide</v>
      </c>
      <c r="AH336" s="15" t="str">
        <f>IF(T335&lt;&gt;"","En attente","")</f>
        <v>En attente</v>
      </c>
    </row>
    <row r="337" spans="1:34" s="15" customFormat="1" ht="56.25" hidden="1" customHeight="1" x14ac:dyDescent="0.3">
      <c r="A337" s="42">
        <v>337</v>
      </c>
      <c r="B337" s="19" t="s">
        <v>709</v>
      </c>
      <c r="C337" s="19" t="s">
        <v>23</v>
      </c>
      <c r="D337" s="20" t="s">
        <v>911</v>
      </c>
      <c r="E337" s="20" t="s">
        <v>79</v>
      </c>
      <c r="F337" s="21" t="s">
        <v>80</v>
      </c>
      <c r="G337" s="92" t="s">
        <v>241</v>
      </c>
      <c r="H337" s="39" t="s">
        <v>643</v>
      </c>
      <c r="I337" s="39"/>
      <c r="J337" s="21" t="s">
        <v>144</v>
      </c>
      <c r="K337" s="21" t="s">
        <v>1298</v>
      </c>
      <c r="L337" s="21" t="s">
        <v>270</v>
      </c>
      <c r="M337" s="21" t="s">
        <v>1342</v>
      </c>
      <c r="N337" s="21" t="s">
        <v>102</v>
      </c>
      <c r="O337" s="20" t="s">
        <v>1343</v>
      </c>
      <c r="P337" s="45">
        <v>45734</v>
      </c>
      <c r="Q337" s="39" t="s">
        <v>1344</v>
      </c>
      <c r="R337" s="19">
        <v>300.60000000000002</v>
      </c>
      <c r="S337" s="21">
        <v>0.1</v>
      </c>
      <c r="T337" s="21">
        <v>330.66</v>
      </c>
      <c r="U337" s="60" t="s">
        <v>714</v>
      </c>
      <c r="V337" s="22">
        <v>45744</v>
      </c>
      <c r="W337" s="54" t="s">
        <v>91</v>
      </c>
      <c r="X337" s="23"/>
      <c r="Y337" s="23" t="s">
        <v>92</v>
      </c>
      <c r="Z337" s="56" t="s">
        <v>1301</v>
      </c>
      <c r="AA337" s="24">
        <v>849517</v>
      </c>
      <c r="AB337" s="19"/>
      <c r="AC337" s="19" t="s">
        <v>94</v>
      </c>
      <c r="AD337" s="15" t="str">
        <f ca="1">IF(AND($D337&lt;&gt;"",COUNTIF(OFFSET(UFS!$E$2,MATCH($D337&amp;"",UFS!$A$2:$A$175,0)-1,0,COUNTIF(UFS!$A$2:$A$175,$D337&amp;""),1),M337)&gt;0),"Valide","Invalide")</f>
        <v>Invalide</v>
      </c>
      <c r="AH337" s="15" t="str">
        <f t="shared" si="5"/>
        <v>En attente</v>
      </c>
    </row>
    <row r="338" spans="1:34" s="15" customFormat="1" ht="45" hidden="1" customHeight="1" x14ac:dyDescent="0.3">
      <c r="A338" s="42">
        <v>338</v>
      </c>
      <c r="B338" s="19" t="s">
        <v>709</v>
      </c>
      <c r="C338" s="19" t="s">
        <v>23</v>
      </c>
      <c r="D338" s="20" t="s">
        <v>233</v>
      </c>
      <c r="E338" s="20" t="s">
        <v>79</v>
      </c>
      <c r="F338" s="21" t="s">
        <v>80</v>
      </c>
      <c r="G338" s="128" t="s">
        <v>241</v>
      </c>
      <c r="H338" s="39" t="s">
        <v>643</v>
      </c>
      <c r="I338" s="39"/>
      <c r="J338" s="21" t="s">
        <v>124</v>
      </c>
      <c r="K338" s="21" t="s">
        <v>235</v>
      </c>
      <c r="L338" s="21" t="s">
        <v>246</v>
      </c>
      <c r="M338" s="21" t="s">
        <v>1345</v>
      </c>
      <c r="N338" s="21" t="s">
        <v>711</v>
      </c>
      <c r="O338" s="20" t="s">
        <v>1346</v>
      </c>
      <c r="P338" s="45">
        <v>45734</v>
      </c>
      <c r="Q338" s="39" t="s">
        <v>1347</v>
      </c>
      <c r="R338" s="19">
        <v>253.23</v>
      </c>
      <c r="S338" s="21">
        <v>0.1</v>
      </c>
      <c r="T338" s="21">
        <v>278.52</v>
      </c>
      <c r="U338" s="60" t="s">
        <v>714</v>
      </c>
      <c r="V338" s="22">
        <v>45744</v>
      </c>
      <c r="W338" s="54" t="s">
        <v>91</v>
      </c>
      <c r="X338" s="23"/>
      <c r="Y338" s="23" t="s">
        <v>92</v>
      </c>
      <c r="Z338" s="56" t="s">
        <v>1301</v>
      </c>
      <c r="AA338" s="24">
        <v>849518</v>
      </c>
      <c r="AB338" s="19"/>
      <c r="AC338" s="19" t="s">
        <v>94</v>
      </c>
      <c r="AD338" s="15" t="str">
        <f ca="1">IF(AND($D338&lt;&gt;"",COUNTIF(OFFSET(UFS!$E$2,MATCH($D338&amp;"",UFS!$A$2:$A$175,0)-1,0,COUNTIF(UFS!$A$2:$A$175,$D338&amp;""),1),M338)&gt;0),"Valide","Invalide")</f>
        <v>Invalide</v>
      </c>
      <c r="AH338" s="15" t="str">
        <f t="shared" si="5"/>
        <v>En attente</v>
      </c>
    </row>
    <row r="339" spans="1:34" s="15" customFormat="1" ht="45" hidden="1" customHeight="1" x14ac:dyDescent="0.3">
      <c r="A339" s="42">
        <v>339</v>
      </c>
      <c r="B339" s="19" t="s">
        <v>16</v>
      </c>
      <c r="C339" s="19" t="s">
        <v>1</v>
      </c>
      <c r="D339" s="20" t="s">
        <v>935</v>
      </c>
      <c r="E339" s="20" t="s">
        <v>79</v>
      </c>
      <c r="F339" s="21" t="s">
        <v>80</v>
      </c>
      <c r="G339" s="38" t="s">
        <v>81</v>
      </c>
      <c r="H339" s="39" t="s">
        <v>82</v>
      </c>
      <c r="I339" s="39" t="s">
        <v>83</v>
      </c>
      <c r="J339" s="21" t="s">
        <v>144</v>
      </c>
      <c r="K339" s="21" t="s">
        <v>145</v>
      </c>
      <c r="L339" s="21" t="s">
        <v>936</v>
      </c>
      <c r="M339" s="21" t="s">
        <v>937</v>
      </c>
      <c r="N339" s="21" t="s">
        <v>937</v>
      </c>
      <c r="O339" s="20" t="s">
        <v>1348</v>
      </c>
      <c r="P339" s="45">
        <v>45747</v>
      </c>
      <c r="Q339" s="39" t="s">
        <v>1349</v>
      </c>
      <c r="R339" s="19">
        <v>2663.55</v>
      </c>
      <c r="S339" s="21">
        <v>0.2</v>
      </c>
      <c r="T339" s="21">
        <v>3196.26</v>
      </c>
      <c r="U339" s="60" t="s">
        <v>1350</v>
      </c>
      <c r="V339" s="22">
        <v>45747</v>
      </c>
      <c r="W339" s="54" t="s">
        <v>91</v>
      </c>
      <c r="X339" s="23"/>
      <c r="Y339" s="23" t="s">
        <v>92</v>
      </c>
      <c r="Z339" s="56" t="s">
        <v>1301</v>
      </c>
      <c r="AA339" s="24">
        <v>849519</v>
      </c>
      <c r="AB339" s="19"/>
      <c r="AC339" s="46" t="s">
        <v>94</v>
      </c>
      <c r="AD339" s="15" t="e">
        <f ca="1">IF(AND($D339&lt;&gt;"",COUNTIF(OFFSET(UFS!$E$2,MATCH($D339&amp;"",UFS!$A$2:$A$175,0)-1,0,COUNTIF(UFS!$A$2:$A$175,$D339&amp;""),1),M339)&gt;0),"Valide","Invalide")</f>
        <v>#N/A</v>
      </c>
      <c r="AH339" s="15" t="str">
        <f t="shared" si="5"/>
        <v>En attente</v>
      </c>
    </row>
    <row r="340" spans="1:34" s="15" customFormat="1" ht="45" hidden="1" customHeight="1" x14ac:dyDescent="0.3">
      <c r="A340" s="42">
        <v>340</v>
      </c>
      <c r="B340" s="19" t="s">
        <v>10</v>
      </c>
      <c r="C340" s="19" t="s">
        <v>975</v>
      </c>
      <c r="D340" s="20" t="s">
        <v>123</v>
      </c>
      <c r="E340" s="20" t="s">
        <v>96</v>
      </c>
      <c r="F340" s="21" t="s">
        <v>80</v>
      </c>
      <c r="G340" s="38" t="s">
        <v>288</v>
      </c>
      <c r="H340" s="39"/>
      <c r="I340" s="39" t="s">
        <v>1351</v>
      </c>
      <c r="J340" s="21" t="s">
        <v>124</v>
      </c>
      <c r="K340" s="21" t="s">
        <v>125</v>
      </c>
      <c r="L340" s="21" t="s">
        <v>126</v>
      </c>
      <c r="M340" s="21" t="s">
        <v>109</v>
      </c>
      <c r="N340" s="21" t="s">
        <v>109</v>
      </c>
      <c r="O340" s="20" t="s">
        <v>1352</v>
      </c>
      <c r="P340" s="45">
        <v>45747</v>
      </c>
      <c r="Q340" s="39" t="s">
        <v>1352</v>
      </c>
      <c r="R340" s="19">
        <v>25707</v>
      </c>
      <c r="S340" s="21">
        <v>0.1</v>
      </c>
      <c r="T340" s="21">
        <v>28277.7</v>
      </c>
      <c r="U340" s="60" t="s">
        <v>1353</v>
      </c>
      <c r="V340" s="22">
        <v>45747</v>
      </c>
      <c r="W340" s="54" t="s">
        <v>91</v>
      </c>
      <c r="X340" s="23"/>
      <c r="Y340" s="23" t="s">
        <v>92</v>
      </c>
      <c r="Z340" s="56" t="s">
        <v>1301</v>
      </c>
      <c r="AA340" s="24">
        <v>849391</v>
      </c>
      <c r="AB340" s="19"/>
      <c r="AC340" s="19"/>
      <c r="AD340" s="15" t="str">
        <f ca="1">IF(AND($D340&lt;&gt;"",COUNTIF(OFFSET(UFS!$E$2,MATCH($D340&amp;"",UFS!$A$2:$A$175,0)-1,0,COUNTIF(UFS!$A$2:$A$175,$D340&amp;""),1),M340)&gt;0),"Valide","Invalide")</f>
        <v>Valide</v>
      </c>
      <c r="AH340" s="15" t="str">
        <f t="shared" si="5"/>
        <v>En attente</v>
      </c>
    </row>
    <row r="341" spans="1:34" s="15" customFormat="1" ht="45" hidden="1" customHeight="1" x14ac:dyDescent="0.3">
      <c r="A341" s="42">
        <v>341</v>
      </c>
      <c r="B341" s="19" t="s">
        <v>24</v>
      </c>
      <c r="C341" s="19" t="s">
        <v>25</v>
      </c>
      <c r="D341" s="20" t="s">
        <v>123</v>
      </c>
      <c r="E341" s="20" t="s">
        <v>79</v>
      </c>
      <c r="F341" s="21" t="s">
        <v>80</v>
      </c>
      <c r="G341" s="38" t="s">
        <v>81</v>
      </c>
      <c r="H341" s="39" t="s">
        <v>82</v>
      </c>
      <c r="I341" s="39" t="s">
        <v>83</v>
      </c>
      <c r="J341" s="21" t="s">
        <v>124</v>
      </c>
      <c r="K341" s="21" t="s">
        <v>125</v>
      </c>
      <c r="L341" s="21" t="s">
        <v>126</v>
      </c>
      <c r="M341" s="21" t="s">
        <v>109</v>
      </c>
      <c r="N341" s="21" t="s">
        <v>109</v>
      </c>
      <c r="O341" s="20" t="s">
        <v>1354</v>
      </c>
      <c r="P341" s="45">
        <v>45744</v>
      </c>
      <c r="Q341" s="39" t="s">
        <v>1355</v>
      </c>
      <c r="R341" s="19">
        <v>1713.04</v>
      </c>
      <c r="S341" s="21">
        <v>0.1</v>
      </c>
      <c r="T341" s="21">
        <v>1884.3440000000001</v>
      </c>
      <c r="U341" s="60" t="s">
        <v>1356</v>
      </c>
      <c r="V341" s="22">
        <v>45747</v>
      </c>
      <c r="W341" s="54" t="s">
        <v>91</v>
      </c>
      <c r="X341" s="23"/>
      <c r="Y341" s="23" t="s">
        <v>92</v>
      </c>
      <c r="Z341" s="56" t="s">
        <v>1301</v>
      </c>
      <c r="AA341" s="69">
        <v>849520</v>
      </c>
      <c r="AB341" s="47">
        <v>45754</v>
      </c>
      <c r="AC341" s="46" t="s">
        <v>94</v>
      </c>
      <c r="AD341" s="15" t="str">
        <f ca="1">IF(AND($D341&lt;&gt;"",COUNTIF(OFFSET(UFS!$E$2,MATCH($D341&amp;"",UFS!$A$2:$A$175,0)-1,0,COUNTIF(UFS!$A$2:$A$175,$D341&amp;""),1),M341)&gt;0),"Valide","Invalide")</f>
        <v>Valide</v>
      </c>
      <c r="AH341" s="15" t="str">
        <f t="shared" si="5"/>
        <v>En attente</v>
      </c>
    </row>
    <row r="342" spans="1:34" s="15" customFormat="1" ht="45" hidden="1" customHeight="1" x14ac:dyDescent="0.3">
      <c r="A342" s="42">
        <v>342</v>
      </c>
      <c r="B342" s="19" t="s">
        <v>4</v>
      </c>
      <c r="C342" s="19" t="s">
        <v>1357</v>
      </c>
      <c r="D342" s="20" t="s">
        <v>1358</v>
      </c>
      <c r="E342" s="20" t="s">
        <v>79</v>
      </c>
      <c r="F342" s="21" t="s">
        <v>80</v>
      </c>
      <c r="G342" s="38" t="s">
        <v>241</v>
      </c>
      <c r="H342" s="39" t="s">
        <v>381</v>
      </c>
      <c r="I342" s="39" t="s">
        <v>382</v>
      </c>
      <c r="J342" s="21" t="s">
        <v>98</v>
      </c>
      <c r="K342" s="21" t="s">
        <v>859</v>
      </c>
      <c r="L342" s="21" t="s">
        <v>100</v>
      </c>
      <c r="M342" s="21" t="s">
        <v>109</v>
      </c>
      <c r="N342" s="21" t="s">
        <v>109</v>
      </c>
      <c r="O342" s="20" t="s">
        <v>1359</v>
      </c>
      <c r="P342" s="45">
        <v>45741</v>
      </c>
      <c r="Q342" s="39" t="s">
        <v>1360</v>
      </c>
      <c r="R342" s="19">
        <v>227.34</v>
      </c>
      <c r="S342" s="21">
        <v>0.2</v>
      </c>
      <c r="T342" s="21">
        <v>272.80799999999999</v>
      </c>
      <c r="U342" s="60" t="s">
        <v>1361</v>
      </c>
      <c r="V342" s="22">
        <v>45747</v>
      </c>
      <c r="W342" s="54" t="s">
        <v>91</v>
      </c>
      <c r="X342" s="23"/>
      <c r="Y342" s="23" t="s">
        <v>92</v>
      </c>
      <c r="Z342" s="56" t="s">
        <v>1301</v>
      </c>
      <c r="AA342" s="24">
        <v>849522</v>
      </c>
      <c r="AB342" s="19"/>
      <c r="AC342" s="19"/>
      <c r="AD342" s="15" t="str">
        <f ca="1">IF(AND($D342&lt;&gt;"",COUNTIF(OFFSET(UFS!$E$2,MATCH($D342&amp;"",UFS!$A$2:$A$175,0)-1,0,COUNTIF(UFS!$A$2:$A$175,$D342&amp;""),1),M342)&gt;0),"Valide","Invalide")</f>
        <v>Valide</v>
      </c>
      <c r="AH342" s="15" t="str">
        <f t="shared" si="5"/>
        <v>En attente</v>
      </c>
    </row>
    <row r="343" spans="1:34" s="15" customFormat="1" ht="45" hidden="1" customHeight="1" x14ac:dyDescent="0.3">
      <c r="A343" s="42">
        <v>343</v>
      </c>
      <c r="B343" s="19" t="s">
        <v>4</v>
      </c>
      <c r="C343" s="19" t="s">
        <v>36</v>
      </c>
      <c r="D343" s="20" t="s">
        <v>819</v>
      </c>
      <c r="E343" s="20" t="s">
        <v>79</v>
      </c>
      <c r="F343" s="21" t="s">
        <v>80</v>
      </c>
      <c r="G343" s="38" t="s">
        <v>241</v>
      </c>
      <c r="H343" s="39" t="s">
        <v>252</v>
      </c>
      <c r="I343" s="39" t="s">
        <v>253</v>
      </c>
      <c r="J343" s="21" t="s">
        <v>361</v>
      </c>
      <c r="K343" s="21" t="s">
        <v>820</v>
      </c>
      <c r="L343" s="21" t="s">
        <v>246</v>
      </c>
      <c r="M343" s="21" t="s">
        <v>821</v>
      </c>
      <c r="N343" s="21" t="s">
        <v>151</v>
      </c>
      <c r="O343" s="20" t="s">
        <v>1362</v>
      </c>
      <c r="P343" s="45">
        <v>45741</v>
      </c>
      <c r="Q343" s="39" t="s">
        <v>1363</v>
      </c>
      <c r="R343" s="19">
        <v>5244</v>
      </c>
      <c r="S343" s="21">
        <v>0.2</v>
      </c>
      <c r="T343" s="21">
        <v>6292.8</v>
      </c>
      <c r="U343" s="60" t="s">
        <v>399</v>
      </c>
      <c r="V343" s="22">
        <v>45748</v>
      </c>
      <c r="W343" s="54" t="s">
        <v>91</v>
      </c>
      <c r="X343" s="23" t="s">
        <v>1364</v>
      </c>
      <c r="Y343" s="23" t="s">
        <v>92</v>
      </c>
      <c r="Z343" s="56" t="s">
        <v>1301</v>
      </c>
      <c r="AA343" s="24">
        <v>849525</v>
      </c>
      <c r="AB343" s="19"/>
      <c r="AC343" s="19"/>
      <c r="AD343" s="15" t="str">
        <f ca="1">IF(AND($D343&lt;&gt;"",COUNTIF(OFFSET(UFS!$E$2,MATCH($D343&amp;"",UFS!$A$2:$A$175,0)-1,0,COUNTIF(UFS!$A$2:$A$175,$D343&amp;""),1),M343)&gt;0),"Valide","Invalide")</f>
        <v>Valide</v>
      </c>
      <c r="AH343" s="15" t="str">
        <f t="shared" si="5"/>
        <v>En attente</v>
      </c>
    </row>
    <row r="344" spans="1:34" s="15" customFormat="1" ht="45" hidden="1" customHeight="1" x14ac:dyDescent="0.3">
      <c r="A344" s="42">
        <v>344</v>
      </c>
      <c r="B344" s="19" t="s">
        <v>4</v>
      </c>
      <c r="C344" s="19" t="s">
        <v>36</v>
      </c>
      <c r="D344" s="20" t="s">
        <v>106</v>
      </c>
      <c r="E344" s="20" t="s">
        <v>79</v>
      </c>
      <c r="F344" s="21" t="s">
        <v>80</v>
      </c>
      <c r="G344" s="38" t="s">
        <v>241</v>
      </c>
      <c r="H344" s="39" t="s">
        <v>252</v>
      </c>
      <c r="I344" s="39" t="s">
        <v>253</v>
      </c>
      <c r="J344" s="21" t="s">
        <v>98</v>
      </c>
      <c r="K344" s="21" t="s">
        <v>108</v>
      </c>
      <c r="L344" s="21" t="s">
        <v>100</v>
      </c>
      <c r="M344" s="21" t="s">
        <v>109</v>
      </c>
      <c r="N344" s="21" t="s">
        <v>109</v>
      </c>
      <c r="O344" s="20" t="s">
        <v>1365</v>
      </c>
      <c r="P344" s="45">
        <v>45748</v>
      </c>
      <c r="Q344" s="39" t="s">
        <v>1366</v>
      </c>
      <c r="R344" s="19">
        <v>668.79</v>
      </c>
      <c r="S344" s="21">
        <v>0.1</v>
      </c>
      <c r="T344" s="21">
        <v>735.66899999999998</v>
      </c>
      <c r="U344" s="44" t="s">
        <v>399</v>
      </c>
      <c r="V344" s="22">
        <v>45748</v>
      </c>
      <c r="W344" s="54" t="s">
        <v>91</v>
      </c>
      <c r="X344" s="23"/>
      <c r="Y344" s="23" t="s">
        <v>92</v>
      </c>
      <c r="Z344" s="56" t="s">
        <v>1301</v>
      </c>
      <c r="AA344" s="24">
        <v>849532</v>
      </c>
      <c r="AB344" s="19"/>
      <c r="AC344" s="19"/>
      <c r="AD344" s="15" t="str">
        <f ca="1">IF(AND($D344&lt;&gt;"",COUNTIF(OFFSET(UFS!$E$2,MATCH($D344&amp;"",UFS!$A$2:$A$175,0)-1,0,COUNTIF(UFS!$A$2:$A$175,$D344&amp;""),1),M344)&gt;0),"Valide","Invalide")</f>
        <v>Valide</v>
      </c>
      <c r="AH344" s="15" t="str">
        <f t="shared" si="5"/>
        <v>En attente</v>
      </c>
    </row>
    <row r="345" spans="1:34" s="15" customFormat="1" ht="45" hidden="1" customHeight="1" x14ac:dyDescent="0.3">
      <c r="A345" s="42">
        <v>345</v>
      </c>
      <c r="B345" s="19" t="s">
        <v>24</v>
      </c>
      <c r="C345" s="19" t="s">
        <v>25</v>
      </c>
      <c r="D345" s="20" t="s">
        <v>819</v>
      </c>
      <c r="E345" s="20" t="s">
        <v>79</v>
      </c>
      <c r="F345" s="21" t="s">
        <v>80</v>
      </c>
      <c r="G345" s="38" t="s">
        <v>81</v>
      </c>
      <c r="H345" s="39" t="s">
        <v>82</v>
      </c>
      <c r="I345" s="39" t="s">
        <v>83</v>
      </c>
      <c r="J345" s="21" t="s">
        <v>361</v>
      </c>
      <c r="K345" s="21" t="s">
        <v>820</v>
      </c>
      <c r="L345" s="21" t="s">
        <v>246</v>
      </c>
      <c r="M345" s="21" t="s">
        <v>821</v>
      </c>
      <c r="N345" s="21" t="s">
        <v>151</v>
      </c>
      <c r="O345" s="20" t="s">
        <v>1367</v>
      </c>
      <c r="P345" s="45">
        <v>45749</v>
      </c>
      <c r="Q345" s="39" t="s">
        <v>1368</v>
      </c>
      <c r="R345" s="19">
        <v>1309.5899999999999</v>
      </c>
      <c r="S345" s="21">
        <v>0.2</v>
      </c>
      <c r="T345" s="21">
        <v>1571.5079999999998</v>
      </c>
      <c r="U345" s="44" t="s">
        <v>1369</v>
      </c>
      <c r="V345" s="22">
        <v>45749</v>
      </c>
      <c r="W345" s="54" t="s">
        <v>91</v>
      </c>
      <c r="X345" s="23"/>
      <c r="Y345" s="23" t="s">
        <v>92</v>
      </c>
      <c r="Z345" s="56" t="s">
        <v>1301</v>
      </c>
      <c r="AA345" s="24">
        <v>849721</v>
      </c>
      <c r="AB345" s="47">
        <v>45769</v>
      </c>
      <c r="AC345" s="46" t="s">
        <v>94</v>
      </c>
      <c r="AD345" s="15" t="str">
        <f ca="1">IF(AND($D345&lt;&gt;"",COUNTIF(OFFSET(UFS!$E$2,MATCH($D345&amp;"",UFS!$A$2:$A$175,0)-1,0,COUNTIF(UFS!$A$2:$A$175,$D345&amp;""),1),M345)&gt;0),"Valide","Invalide")</f>
        <v>Valide</v>
      </c>
      <c r="AH345" s="15" t="str">
        <f t="shared" si="5"/>
        <v>En attente</v>
      </c>
    </row>
    <row r="346" spans="1:34" s="15" customFormat="1" ht="45" hidden="1" customHeight="1" x14ac:dyDescent="0.3">
      <c r="A346" s="42">
        <v>346</v>
      </c>
      <c r="B346" s="19" t="s">
        <v>24</v>
      </c>
      <c r="C346" s="19" t="s">
        <v>35</v>
      </c>
      <c r="D346" s="20" t="s">
        <v>699</v>
      </c>
      <c r="E346" s="20" t="s">
        <v>79</v>
      </c>
      <c r="F346" s="21" t="s">
        <v>80</v>
      </c>
      <c r="G346" s="38" t="s">
        <v>81</v>
      </c>
      <c r="H346" s="39" t="s">
        <v>215</v>
      </c>
      <c r="I346" s="39" t="s">
        <v>83</v>
      </c>
      <c r="J346" s="21" t="s">
        <v>700</v>
      </c>
      <c r="K346" s="21" t="s">
        <v>701</v>
      </c>
      <c r="L346" s="21" t="s">
        <v>114</v>
      </c>
      <c r="M346" s="21" t="s">
        <v>702</v>
      </c>
      <c r="N346" s="21" t="s">
        <v>151</v>
      </c>
      <c r="O346" s="20" t="s">
        <v>1370</v>
      </c>
      <c r="P346" s="45">
        <v>45741</v>
      </c>
      <c r="Q346" s="39" t="s">
        <v>1371</v>
      </c>
      <c r="R346" s="19">
        <v>1930.97</v>
      </c>
      <c r="S346" s="21">
        <v>0.2</v>
      </c>
      <c r="T346" s="21">
        <v>2317.1640000000002</v>
      </c>
      <c r="U346" s="44" t="s">
        <v>1372</v>
      </c>
      <c r="V346" s="22">
        <v>45749</v>
      </c>
      <c r="W346" s="54" t="s">
        <v>91</v>
      </c>
      <c r="X346" s="23"/>
      <c r="Y346" s="23" t="s">
        <v>92</v>
      </c>
      <c r="Z346" s="56" t="s">
        <v>1301</v>
      </c>
      <c r="AA346" s="69">
        <v>849697</v>
      </c>
      <c r="AB346" s="47">
        <v>45754</v>
      </c>
      <c r="AC346" s="46" t="s">
        <v>94</v>
      </c>
      <c r="AD346" s="15" t="str">
        <f ca="1">IF(AND($D346&lt;&gt;"",COUNTIF(OFFSET(UFS!$E$2,MATCH($D346&amp;"",UFS!$A$2:$A$175,0)-1,0,COUNTIF(UFS!$A$2:$A$175,$D346&amp;""),1),M346)&gt;0),"Valide","Invalide")</f>
        <v>Valide</v>
      </c>
      <c r="AH346" s="15" t="str">
        <f t="shared" si="5"/>
        <v>En attente</v>
      </c>
    </row>
    <row r="347" spans="1:34" s="15" customFormat="1" ht="45" hidden="1" customHeight="1" x14ac:dyDescent="0.3">
      <c r="A347" s="42">
        <v>347</v>
      </c>
      <c r="B347" s="19" t="s">
        <v>24</v>
      </c>
      <c r="C347" s="19" t="s">
        <v>28</v>
      </c>
      <c r="D347" s="20" t="s">
        <v>699</v>
      </c>
      <c r="E347" s="20" t="s">
        <v>79</v>
      </c>
      <c r="F347" s="21" t="s">
        <v>80</v>
      </c>
      <c r="G347" s="38" t="s">
        <v>182</v>
      </c>
      <c r="H347" s="39" t="s">
        <v>82</v>
      </c>
      <c r="I347" s="39" t="s">
        <v>83</v>
      </c>
      <c r="J347" s="21" t="s">
        <v>700</v>
      </c>
      <c r="K347" s="21" t="s">
        <v>701</v>
      </c>
      <c r="L347" s="21" t="s">
        <v>114</v>
      </c>
      <c r="M347" s="21" t="s">
        <v>702</v>
      </c>
      <c r="N347" s="21" t="s">
        <v>151</v>
      </c>
      <c r="O347" s="20" t="s">
        <v>1373</v>
      </c>
      <c r="P347" s="45">
        <v>45708</v>
      </c>
      <c r="Q347" s="39" t="s">
        <v>1374</v>
      </c>
      <c r="R347" s="19">
        <v>1743.96</v>
      </c>
      <c r="S347" s="21">
        <v>0.2</v>
      </c>
      <c r="T347" s="21">
        <v>2092.752</v>
      </c>
      <c r="U347" s="44" t="s">
        <v>1375</v>
      </c>
      <c r="V347" s="22">
        <v>45749</v>
      </c>
      <c r="W347" s="54" t="s">
        <v>91</v>
      </c>
      <c r="X347" s="23"/>
      <c r="Y347" s="23" t="s">
        <v>92</v>
      </c>
      <c r="Z347" s="56" t="s">
        <v>1301</v>
      </c>
      <c r="AA347" s="24">
        <v>849723</v>
      </c>
      <c r="AB347" s="47">
        <v>45761</v>
      </c>
      <c r="AC347" s="46" t="s">
        <v>94</v>
      </c>
      <c r="AD347" s="15" t="str">
        <f ca="1">IF(AND($D347&lt;&gt;"",COUNTIF(OFFSET(UFS!$E$2,MATCH($D347&amp;"",UFS!$A$2:$A$175,0)-1,0,COUNTIF(UFS!$A$2:$A$175,$D347&amp;""),1),M347)&gt;0),"Valide","Invalide")</f>
        <v>Valide</v>
      </c>
      <c r="AH347" s="15" t="str">
        <f t="shared" si="5"/>
        <v>En attente</v>
      </c>
    </row>
    <row r="348" spans="1:34" s="15" customFormat="1" ht="45" hidden="1" customHeight="1" x14ac:dyDescent="0.3">
      <c r="A348" s="42">
        <v>348</v>
      </c>
      <c r="B348" s="19" t="s">
        <v>24</v>
      </c>
      <c r="C348" s="19" t="s">
        <v>28</v>
      </c>
      <c r="D348" s="20" t="s">
        <v>260</v>
      </c>
      <c r="E348" s="20" t="s">
        <v>79</v>
      </c>
      <c r="F348" s="21" t="s">
        <v>80</v>
      </c>
      <c r="G348" s="38" t="s">
        <v>81</v>
      </c>
      <c r="H348" s="39" t="s">
        <v>82</v>
      </c>
      <c r="I348" s="39" t="s">
        <v>83</v>
      </c>
      <c r="J348" s="21" t="s">
        <v>84</v>
      </c>
      <c r="K348" s="21" t="s">
        <v>113</v>
      </c>
      <c r="L348" s="21" t="s">
        <v>86</v>
      </c>
      <c r="M348" s="21" t="s">
        <v>109</v>
      </c>
      <c r="N348" s="21" t="s">
        <v>109</v>
      </c>
      <c r="O348" s="20" t="s">
        <v>1376</v>
      </c>
      <c r="P348" s="45">
        <v>45708</v>
      </c>
      <c r="Q348" s="39" t="s">
        <v>1377</v>
      </c>
      <c r="R348" s="19">
        <v>10222.040000000001</v>
      </c>
      <c r="S348" s="21">
        <v>0.1</v>
      </c>
      <c r="T348" s="21">
        <v>11244.244000000001</v>
      </c>
      <c r="U348" s="44" t="s">
        <v>1378</v>
      </c>
      <c r="V348" s="22">
        <v>45749</v>
      </c>
      <c r="W348" s="54" t="s">
        <v>91</v>
      </c>
      <c r="X348" s="23"/>
      <c r="Y348" s="23" t="s">
        <v>92</v>
      </c>
      <c r="Z348" s="56" t="s">
        <v>1301</v>
      </c>
      <c r="AA348" s="24">
        <v>849728</v>
      </c>
      <c r="AB348" s="47">
        <v>45791</v>
      </c>
      <c r="AC348" s="46" t="s">
        <v>94</v>
      </c>
      <c r="AD348" s="15" t="str">
        <f ca="1">IF(AND($D348&lt;&gt;"",COUNTIF(OFFSET(UFS!$E$2,MATCH($D348&amp;"",UFS!$A$2:$A$175,0)-1,0,COUNTIF(UFS!$A$2:$A$175,$D348&amp;""),1),M348)&gt;0),"Valide","Invalide")</f>
        <v>Valide</v>
      </c>
      <c r="AH348" s="15" t="str">
        <f t="shared" si="5"/>
        <v>En attente</v>
      </c>
    </row>
    <row r="349" spans="1:34" s="15" customFormat="1" ht="45" hidden="1" customHeight="1" x14ac:dyDescent="0.3">
      <c r="A349" s="42">
        <v>349</v>
      </c>
      <c r="B349" s="19" t="s">
        <v>4</v>
      </c>
      <c r="C349" s="19" t="s">
        <v>36</v>
      </c>
      <c r="D349" s="20" t="s">
        <v>106</v>
      </c>
      <c r="E349" s="20" t="s">
        <v>79</v>
      </c>
      <c r="F349" s="21" t="s">
        <v>80</v>
      </c>
      <c r="G349" s="38" t="s">
        <v>241</v>
      </c>
      <c r="H349" s="39" t="s">
        <v>252</v>
      </c>
      <c r="I349" s="39" t="s">
        <v>253</v>
      </c>
      <c r="J349" s="21" t="s">
        <v>98</v>
      </c>
      <c r="K349" s="21" t="s">
        <v>108</v>
      </c>
      <c r="L349" s="21" t="s">
        <v>100</v>
      </c>
      <c r="M349" s="21" t="s">
        <v>109</v>
      </c>
      <c r="N349" s="21" t="s">
        <v>109</v>
      </c>
      <c r="O349" s="20" t="s">
        <v>1379</v>
      </c>
      <c r="P349" s="45">
        <v>45749</v>
      </c>
      <c r="Q349" s="39" t="s">
        <v>1380</v>
      </c>
      <c r="R349" s="19">
        <v>1011.25</v>
      </c>
      <c r="S349" s="21">
        <v>0.1</v>
      </c>
      <c r="T349" s="21">
        <v>1112.375</v>
      </c>
      <c r="U349" s="60" t="s">
        <v>399</v>
      </c>
      <c r="V349" s="22">
        <v>45749</v>
      </c>
      <c r="W349" s="54" t="s">
        <v>91</v>
      </c>
      <c r="X349" s="23"/>
      <c r="Y349" s="23" t="s">
        <v>92</v>
      </c>
      <c r="Z349" s="56" t="s">
        <v>1301</v>
      </c>
      <c r="AA349" s="24">
        <v>849740</v>
      </c>
      <c r="AB349" s="19"/>
      <c r="AC349" s="19"/>
      <c r="AD349" s="15" t="str">
        <f ca="1">IF(AND($D349&lt;&gt;"",COUNTIF(OFFSET(UFS!$E$2,MATCH($D349&amp;"",UFS!$A$2:$A$175,0)-1,0,COUNTIF(UFS!$A$2:$A$175,$D349&amp;""),1),M349)&gt;0),"Valide","Invalide")</f>
        <v>Valide</v>
      </c>
      <c r="AH349" s="15" t="str">
        <f t="shared" si="5"/>
        <v>En attente</v>
      </c>
    </row>
    <row r="350" spans="1:34" s="15" customFormat="1" ht="45" hidden="1" customHeight="1" x14ac:dyDescent="0.3">
      <c r="A350" s="42">
        <v>350</v>
      </c>
      <c r="B350" s="19" t="s">
        <v>24</v>
      </c>
      <c r="C350" s="19" t="s">
        <v>35</v>
      </c>
      <c r="D350" s="20" t="s">
        <v>460</v>
      </c>
      <c r="E350" s="20" t="s">
        <v>79</v>
      </c>
      <c r="F350" s="21" t="s">
        <v>80</v>
      </c>
      <c r="G350" s="38" t="s">
        <v>81</v>
      </c>
      <c r="H350" s="39" t="s">
        <v>215</v>
      </c>
      <c r="I350" s="39" t="s">
        <v>83</v>
      </c>
      <c r="J350" s="21" t="s">
        <v>461</v>
      </c>
      <c r="K350" s="21" t="s">
        <v>145</v>
      </c>
      <c r="L350" s="21" t="s">
        <v>120</v>
      </c>
      <c r="M350" s="21" t="s">
        <v>343</v>
      </c>
      <c r="N350" s="21" t="s">
        <v>87</v>
      </c>
      <c r="O350" s="20" t="s">
        <v>1381</v>
      </c>
      <c r="P350" s="45">
        <v>45749</v>
      </c>
      <c r="Q350" s="39" t="s">
        <v>1382</v>
      </c>
      <c r="R350" s="19">
        <v>676.84</v>
      </c>
      <c r="S350" s="21">
        <v>0.2</v>
      </c>
      <c r="T350" s="21">
        <v>812.20800000000008</v>
      </c>
      <c r="U350" s="44" t="s">
        <v>1383</v>
      </c>
      <c r="V350" s="22">
        <v>45749</v>
      </c>
      <c r="W350" s="54" t="s">
        <v>91</v>
      </c>
      <c r="X350" s="23"/>
      <c r="Y350" s="23" t="s">
        <v>92</v>
      </c>
      <c r="Z350" s="56" t="s">
        <v>1301</v>
      </c>
      <c r="AA350" s="24">
        <v>849741</v>
      </c>
      <c r="AB350" s="47">
        <v>45789</v>
      </c>
      <c r="AC350" s="46" t="s">
        <v>94</v>
      </c>
      <c r="AD350" s="15" t="str">
        <f ca="1">IF(AND($D350&lt;&gt;"",COUNTIF(OFFSET(UFS!$E$2,MATCH($D350&amp;"",UFS!$A$2:$A$175,0)-1,0,COUNTIF(UFS!$A$2:$A$175,$D350&amp;""),1),M350)&gt;0),"Valide","Invalide")</f>
        <v>Valide</v>
      </c>
      <c r="AH350" s="15" t="str">
        <f t="shared" si="5"/>
        <v>En attente</v>
      </c>
    </row>
    <row r="351" spans="1:34" s="15" customFormat="1" ht="45" hidden="1" customHeight="1" x14ac:dyDescent="0.3">
      <c r="A351" s="42">
        <v>351</v>
      </c>
      <c r="B351" s="19" t="s">
        <v>24</v>
      </c>
      <c r="C351" s="19" t="s">
        <v>35</v>
      </c>
      <c r="D351" s="20" t="s">
        <v>1200</v>
      </c>
      <c r="E351" s="20" t="s">
        <v>79</v>
      </c>
      <c r="F351" s="21" t="s">
        <v>80</v>
      </c>
      <c r="G351" s="38" t="s">
        <v>81</v>
      </c>
      <c r="H351" s="39" t="s">
        <v>215</v>
      </c>
      <c r="I351" s="39" t="s">
        <v>83</v>
      </c>
      <c r="J351" s="21" t="s">
        <v>461</v>
      </c>
      <c r="K351" s="21" t="s">
        <v>1201</v>
      </c>
      <c r="L351" s="21" t="s">
        <v>120</v>
      </c>
      <c r="M351" s="21" t="s">
        <v>1201</v>
      </c>
      <c r="N351" s="21" t="s">
        <v>151</v>
      </c>
      <c r="O351" s="20" t="s">
        <v>1384</v>
      </c>
      <c r="P351" s="45">
        <v>45749</v>
      </c>
      <c r="Q351" s="39" t="s">
        <v>1385</v>
      </c>
      <c r="R351" s="19">
        <v>1798.38</v>
      </c>
      <c r="S351" s="21">
        <v>0.2</v>
      </c>
      <c r="T351" s="21">
        <v>2158.056</v>
      </c>
      <c r="U351" s="44" t="s">
        <v>1386</v>
      </c>
      <c r="V351" s="22">
        <v>45749</v>
      </c>
      <c r="W351" s="54" t="s">
        <v>91</v>
      </c>
      <c r="X351" s="23"/>
      <c r="Y351" s="23" t="s">
        <v>92</v>
      </c>
      <c r="Z351" s="56" t="s">
        <v>1301</v>
      </c>
      <c r="AA351" s="24">
        <v>849793</v>
      </c>
      <c r="AB351" s="47">
        <v>45782</v>
      </c>
      <c r="AC351" s="46" t="s">
        <v>94</v>
      </c>
      <c r="AD351" s="15" t="str">
        <f ca="1">IF(AND($D351&lt;&gt;"",COUNTIF(OFFSET(UFS!$E$2,MATCH($D351&amp;"",UFS!$A$2:$A$175,0)-1,0,COUNTIF(UFS!$A$2:$A$175,$D351&amp;""),1),M351)&gt;0),"Valide","Invalide")</f>
        <v>Valide</v>
      </c>
      <c r="AH351" s="15" t="str">
        <f t="shared" si="5"/>
        <v>En attente</v>
      </c>
    </row>
    <row r="352" spans="1:34" s="15" customFormat="1" ht="45" hidden="1" customHeight="1" x14ac:dyDescent="0.3">
      <c r="A352" s="42">
        <v>352</v>
      </c>
      <c r="B352" s="19" t="s">
        <v>26</v>
      </c>
      <c r="C352" s="19" t="s">
        <v>15</v>
      </c>
      <c r="D352" s="20" t="s">
        <v>95</v>
      </c>
      <c r="E352" s="20" t="s">
        <v>79</v>
      </c>
      <c r="F352" s="21" t="s">
        <v>80</v>
      </c>
      <c r="G352" s="38" t="s">
        <v>182</v>
      </c>
      <c r="H352" s="39" t="s">
        <v>139</v>
      </c>
      <c r="I352" s="39" t="s">
        <v>83</v>
      </c>
      <c r="J352" s="21" t="s">
        <v>98</v>
      </c>
      <c r="K352" s="21" t="s">
        <v>99</v>
      </c>
      <c r="L352" s="21" t="s">
        <v>100</v>
      </c>
      <c r="M352" s="21" t="s">
        <v>101</v>
      </c>
      <c r="N352" s="21" t="s">
        <v>102</v>
      </c>
      <c r="O352" s="20" t="s">
        <v>1387</v>
      </c>
      <c r="P352" s="45">
        <v>45730</v>
      </c>
      <c r="Q352" s="39" t="s">
        <v>1388</v>
      </c>
      <c r="R352" s="19">
        <v>1762.24</v>
      </c>
      <c r="S352" s="21">
        <v>0.1</v>
      </c>
      <c r="T352" s="21">
        <v>1938.4639999999999</v>
      </c>
      <c r="U352" s="60" t="s">
        <v>1389</v>
      </c>
      <c r="V352" s="22">
        <v>45749</v>
      </c>
      <c r="W352" s="54" t="s">
        <v>91</v>
      </c>
      <c r="X352" s="23"/>
      <c r="Y352" s="23" t="s">
        <v>92</v>
      </c>
      <c r="Z352" s="56" t="s">
        <v>1301</v>
      </c>
      <c r="AA352" s="24">
        <v>849795</v>
      </c>
      <c r="AB352" s="19"/>
      <c r="AC352" s="19"/>
      <c r="AD352" s="15" t="str">
        <f ca="1">IF(AND($D352&lt;&gt;"",COUNTIF(OFFSET(UFS!$E$2,MATCH($D352&amp;"",UFS!$A$2:$A$175,0)-1,0,COUNTIF(UFS!$A$2:$A$175,$D352&amp;""),1),M352)&gt;0),"Valide","Invalide")</f>
        <v>Valide</v>
      </c>
      <c r="AH352" s="15" t="str">
        <f t="shared" si="5"/>
        <v>En attente</v>
      </c>
    </row>
    <row r="353" spans="1:34" s="15" customFormat="1" ht="45" hidden="1" customHeight="1" x14ac:dyDescent="0.3">
      <c r="A353" s="42">
        <v>353</v>
      </c>
      <c r="B353" s="19" t="s">
        <v>26</v>
      </c>
      <c r="C353" s="19" t="s">
        <v>35</v>
      </c>
      <c r="D353" s="20" t="s">
        <v>1358</v>
      </c>
      <c r="E353" s="20" t="s">
        <v>79</v>
      </c>
      <c r="F353" s="21" t="s">
        <v>80</v>
      </c>
      <c r="G353" s="38" t="s">
        <v>81</v>
      </c>
      <c r="H353" s="39" t="s">
        <v>426</v>
      </c>
      <c r="I353" s="39" t="s">
        <v>83</v>
      </c>
      <c r="J353" s="21" t="s">
        <v>98</v>
      </c>
      <c r="K353" s="21" t="s">
        <v>859</v>
      </c>
      <c r="L353" s="21" t="s">
        <v>100</v>
      </c>
      <c r="M353" s="21" t="s">
        <v>109</v>
      </c>
      <c r="N353" s="21" t="s">
        <v>109</v>
      </c>
      <c r="O353" s="20" t="s">
        <v>1390</v>
      </c>
      <c r="P353" s="45">
        <v>45749</v>
      </c>
      <c r="Q353" s="39" t="s">
        <v>1391</v>
      </c>
      <c r="R353" s="19">
        <v>2452.35</v>
      </c>
      <c r="S353" s="21">
        <v>0.2</v>
      </c>
      <c r="T353" s="21">
        <v>2942.8199999999997</v>
      </c>
      <c r="U353" s="60" t="s">
        <v>1392</v>
      </c>
      <c r="V353" s="22">
        <v>45749</v>
      </c>
      <c r="W353" s="54" t="s">
        <v>91</v>
      </c>
      <c r="X353" s="23"/>
      <c r="Y353" s="23" t="s">
        <v>92</v>
      </c>
      <c r="Z353" s="56" t="s">
        <v>446</v>
      </c>
      <c r="AA353" s="73">
        <v>849857</v>
      </c>
      <c r="AB353" s="74" t="s">
        <v>1393</v>
      </c>
      <c r="AC353" s="19"/>
      <c r="AD353" s="15" t="str">
        <f ca="1">IF(AND($D353&lt;&gt;"",COUNTIF(OFFSET(UFS!$E$2,MATCH($D353&amp;"",UFS!$A$2:$A$175,0)-1,0,COUNTIF(UFS!$A$2:$A$175,$D353&amp;""),1),M353)&gt;0),"Valide","Invalide")</f>
        <v>Valide</v>
      </c>
      <c r="AH353" s="15" t="str">
        <f t="shared" si="5"/>
        <v>En attente</v>
      </c>
    </row>
    <row r="354" spans="1:34" s="15" customFormat="1" ht="45" hidden="1" customHeight="1" x14ac:dyDescent="0.3">
      <c r="A354" s="42">
        <v>354</v>
      </c>
      <c r="B354" s="19" t="s">
        <v>16</v>
      </c>
      <c r="C354" s="19" t="s">
        <v>35</v>
      </c>
      <c r="D354" s="20" t="s">
        <v>200</v>
      </c>
      <c r="E354" s="20" t="s">
        <v>79</v>
      </c>
      <c r="F354" s="21" t="s">
        <v>80</v>
      </c>
      <c r="G354" s="38" t="s">
        <v>81</v>
      </c>
      <c r="H354" s="39" t="s">
        <v>215</v>
      </c>
      <c r="I354" s="39" t="s">
        <v>83</v>
      </c>
      <c r="J354" s="21" t="s">
        <v>144</v>
      </c>
      <c r="K354" s="21" t="s">
        <v>145</v>
      </c>
      <c r="L354" s="21" t="s">
        <v>203</v>
      </c>
      <c r="M354" s="21" t="s">
        <v>109</v>
      </c>
      <c r="N354" s="21" t="s">
        <v>109</v>
      </c>
      <c r="O354" s="20" t="s">
        <v>1394</v>
      </c>
      <c r="P354" s="45">
        <v>45749</v>
      </c>
      <c r="Q354" s="39" t="s">
        <v>1395</v>
      </c>
      <c r="R354" s="19">
        <v>613.09</v>
      </c>
      <c r="S354" s="21">
        <v>0.2</v>
      </c>
      <c r="T354" s="21">
        <v>735.70800000000008</v>
      </c>
      <c r="U354" s="44" t="s">
        <v>1396</v>
      </c>
      <c r="V354" s="22">
        <v>45750</v>
      </c>
      <c r="W354" s="54" t="s">
        <v>91</v>
      </c>
      <c r="X354" s="23"/>
      <c r="Y354" s="23" t="s">
        <v>92</v>
      </c>
      <c r="Z354" s="56" t="s">
        <v>1301</v>
      </c>
      <c r="AA354" s="24">
        <v>849833</v>
      </c>
      <c r="AB354" s="19"/>
      <c r="AC354" s="46" t="s">
        <v>94</v>
      </c>
      <c r="AD354" s="15" t="e">
        <f ca="1">IF(AND($D354&lt;&gt;"",COUNTIF(OFFSET(UFS!$E$2,MATCH($D354&amp;"",UFS!$A$2:$A$175,0)-1,0,COUNTIF(UFS!$A$2:$A$175,$D354&amp;""),1),M354)&gt;0),"Valide","Invalide")</f>
        <v>#N/A</v>
      </c>
      <c r="AH354" s="15" t="str">
        <f t="shared" si="5"/>
        <v>En attente</v>
      </c>
    </row>
    <row r="355" spans="1:34" s="15" customFormat="1" ht="45" hidden="1" customHeight="1" x14ac:dyDescent="0.3">
      <c r="A355" s="42">
        <v>355</v>
      </c>
      <c r="B355" s="19" t="s">
        <v>16</v>
      </c>
      <c r="C355" s="19" t="s">
        <v>35</v>
      </c>
      <c r="D355" s="20" t="s">
        <v>222</v>
      </c>
      <c r="E355" s="20" t="s">
        <v>96</v>
      </c>
      <c r="F355" s="21" t="s">
        <v>223</v>
      </c>
      <c r="G355" s="38" t="s">
        <v>201</v>
      </c>
      <c r="H355" s="39"/>
      <c r="I355" s="39" t="s">
        <v>224</v>
      </c>
      <c r="J355" s="21" t="s">
        <v>144</v>
      </c>
      <c r="K355" s="21" t="s">
        <v>145</v>
      </c>
      <c r="L355" s="21" t="s">
        <v>225</v>
      </c>
      <c r="M355" s="21" t="s">
        <v>226</v>
      </c>
      <c r="N355" s="21" t="s">
        <v>227</v>
      </c>
      <c r="O355" s="20" t="s">
        <v>1397</v>
      </c>
      <c r="P355" s="45">
        <v>45749</v>
      </c>
      <c r="Q355" s="39" t="s">
        <v>1398</v>
      </c>
      <c r="R355" s="19">
        <v>12167.07</v>
      </c>
      <c r="S355" s="21">
        <v>0.2</v>
      </c>
      <c r="T355" s="21">
        <v>14600.484</v>
      </c>
      <c r="U355" s="44" t="s">
        <v>1399</v>
      </c>
      <c r="V355" s="22">
        <v>45750</v>
      </c>
      <c r="W355" s="54" t="s">
        <v>91</v>
      </c>
      <c r="X355" s="23" t="s">
        <v>430</v>
      </c>
      <c r="Y355" s="23" t="s">
        <v>92</v>
      </c>
      <c r="Z355" s="56" t="s">
        <v>1301</v>
      </c>
      <c r="AA355" s="24">
        <v>850781</v>
      </c>
      <c r="AB355" s="19"/>
      <c r="AC355" s="46" t="s">
        <v>94</v>
      </c>
      <c r="AD355" s="15" t="str">
        <f ca="1">IF(AND($D355&lt;&gt;"",COUNTIF(OFFSET(UFS!$E$2,MATCH($D355&amp;"",UFS!$A$2:$A$175,0)-1,0,COUNTIF(UFS!$A$2:$A$175,$D355&amp;""),1),M355)&gt;0),"Valide","Invalide")</f>
        <v>Valide</v>
      </c>
      <c r="AH355" s="15" t="str">
        <f t="shared" si="5"/>
        <v>En attente</v>
      </c>
    </row>
    <row r="356" spans="1:34" s="15" customFormat="1" ht="45" hidden="1" customHeight="1" x14ac:dyDescent="0.3">
      <c r="A356" s="42">
        <v>356</v>
      </c>
      <c r="B356" s="19" t="s">
        <v>16</v>
      </c>
      <c r="C356" s="19" t="s">
        <v>35</v>
      </c>
      <c r="D356" s="20" t="s">
        <v>1400</v>
      </c>
      <c r="E356" s="20" t="s">
        <v>96</v>
      </c>
      <c r="F356" s="21" t="s">
        <v>80</v>
      </c>
      <c r="G356" s="38" t="s">
        <v>201</v>
      </c>
      <c r="H356" s="39"/>
      <c r="I356" s="39" t="s">
        <v>224</v>
      </c>
      <c r="J356" s="21" t="s">
        <v>144</v>
      </c>
      <c r="K356" s="21" t="s">
        <v>145</v>
      </c>
      <c r="L356" s="21" t="s">
        <v>225</v>
      </c>
      <c r="M356" s="21" t="s">
        <v>226</v>
      </c>
      <c r="N356" s="21" t="s">
        <v>1401</v>
      </c>
      <c r="O356" s="20" t="s">
        <v>1402</v>
      </c>
      <c r="P356" s="45">
        <v>45747</v>
      </c>
      <c r="Q356" s="39" t="s">
        <v>1403</v>
      </c>
      <c r="R356" s="19">
        <v>7483.22</v>
      </c>
      <c r="S356" s="21">
        <v>0.2</v>
      </c>
      <c r="T356" s="21">
        <v>8979.8639999999996</v>
      </c>
      <c r="U356" s="44" t="s">
        <v>1404</v>
      </c>
      <c r="V356" s="22">
        <v>45750</v>
      </c>
      <c r="W356" s="54" t="s">
        <v>91</v>
      </c>
      <c r="X356" s="23" t="s">
        <v>430</v>
      </c>
      <c r="Y356" s="23" t="s">
        <v>92</v>
      </c>
      <c r="Z356" s="56" t="s">
        <v>1405</v>
      </c>
      <c r="AA356" s="24">
        <v>849837</v>
      </c>
      <c r="AB356" s="19" t="s">
        <v>1406</v>
      </c>
      <c r="AC356" s="46" t="s">
        <v>94</v>
      </c>
      <c r="AD356" s="15" t="str">
        <f ca="1">IF(AND($D356&lt;&gt;"",COUNTIF(OFFSET(UFS!$E$2,MATCH($D356&amp;"",UFS!$A$2:$A$175,0)-1,0,COUNTIF(UFS!$A$2:$A$175,$D356&amp;""),1),M356)&gt;0),"Valide","Invalide")</f>
        <v>Valide</v>
      </c>
      <c r="AH356" s="15" t="str">
        <f t="shared" si="5"/>
        <v>En attente</v>
      </c>
    </row>
    <row r="357" spans="1:34" s="15" customFormat="1" ht="45" hidden="1" customHeight="1" x14ac:dyDescent="0.3">
      <c r="A357" s="42">
        <v>357</v>
      </c>
      <c r="B357" s="19" t="s">
        <v>16</v>
      </c>
      <c r="C357" s="19" t="s">
        <v>15</v>
      </c>
      <c r="D357" s="20" t="s">
        <v>143</v>
      </c>
      <c r="E357" s="20" t="s">
        <v>79</v>
      </c>
      <c r="F357" s="21" t="s">
        <v>80</v>
      </c>
      <c r="G357" s="38" t="s">
        <v>81</v>
      </c>
      <c r="H357" s="39" t="s">
        <v>139</v>
      </c>
      <c r="I357" s="39" t="s">
        <v>83</v>
      </c>
      <c r="J357" s="21" t="s">
        <v>144</v>
      </c>
      <c r="K357" s="21" t="s">
        <v>145</v>
      </c>
      <c r="L357" s="21" t="s">
        <v>146</v>
      </c>
      <c r="M357" s="21" t="s">
        <v>146</v>
      </c>
      <c r="N357" s="21" t="s">
        <v>147</v>
      </c>
      <c r="O357" s="20" t="s">
        <v>1407</v>
      </c>
      <c r="P357" s="45">
        <v>45747</v>
      </c>
      <c r="Q357" s="39" t="s">
        <v>1408</v>
      </c>
      <c r="R357" s="19">
        <v>7058.42</v>
      </c>
      <c r="S357" s="21">
        <v>0.2</v>
      </c>
      <c r="T357" s="21">
        <v>8470.1039999999994</v>
      </c>
      <c r="U357" s="44" t="s">
        <v>1409</v>
      </c>
      <c r="V357" s="22">
        <v>45750</v>
      </c>
      <c r="W357" s="54" t="s">
        <v>91</v>
      </c>
      <c r="X357" s="23"/>
      <c r="Y357" s="23" t="s">
        <v>376</v>
      </c>
      <c r="Z357" s="56" t="s">
        <v>1410</v>
      </c>
      <c r="AA357" s="24"/>
      <c r="AB357" s="19" t="s">
        <v>1411</v>
      </c>
      <c r="AC357" s="49" t="s">
        <v>161</v>
      </c>
      <c r="AD357" s="15" t="str">
        <f ca="1">IF(AND($D357&lt;&gt;"",COUNTIF(OFFSET(UFS!$E$2,MATCH($D357&amp;"",UFS!$A$2:$A$175,0)-1,0,COUNTIF(UFS!$A$2:$A$175,$D357&amp;""),1),M357)&gt;0),"Valide","Invalide")</f>
        <v>Valide</v>
      </c>
      <c r="AH357" s="15" t="str">
        <f t="shared" si="5"/>
        <v>En attente</v>
      </c>
    </row>
    <row r="358" spans="1:34" s="15" customFormat="1" ht="45" hidden="1" customHeight="1" x14ac:dyDescent="0.3">
      <c r="A358" s="42">
        <v>358</v>
      </c>
      <c r="B358" s="19" t="s">
        <v>2</v>
      </c>
      <c r="C358" s="19" t="s">
        <v>1412</v>
      </c>
      <c r="D358" s="20" t="s">
        <v>200</v>
      </c>
      <c r="E358" s="20" t="s">
        <v>79</v>
      </c>
      <c r="F358" s="21" t="s">
        <v>80</v>
      </c>
      <c r="G358" s="38" t="s">
        <v>81</v>
      </c>
      <c r="H358" s="39"/>
      <c r="I358" s="39" t="s">
        <v>83</v>
      </c>
      <c r="J358" s="21" t="s">
        <v>144</v>
      </c>
      <c r="K358" s="21" t="s">
        <v>145</v>
      </c>
      <c r="L358" s="21" t="s">
        <v>203</v>
      </c>
      <c r="M358" s="21" t="s">
        <v>109</v>
      </c>
      <c r="N358" s="21" t="s">
        <v>109</v>
      </c>
      <c r="O358" s="20" t="s">
        <v>1413</v>
      </c>
      <c r="P358" s="45">
        <v>45737</v>
      </c>
      <c r="Q358" s="39" t="s">
        <v>1414</v>
      </c>
      <c r="R358" s="19">
        <v>1575</v>
      </c>
      <c r="S358" s="21">
        <v>0.2</v>
      </c>
      <c r="T358" s="21">
        <v>1890</v>
      </c>
      <c r="U358" s="60" t="s">
        <v>1415</v>
      </c>
      <c r="V358" s="22">
        <v>45750</v>
      </c>
      <c r="W358" s="54" t="s">
        <v>91</v>
      </c>
      <c r="X358" s="23"/>
      <c r="Y358" s="23" t="s">
        <v>92</v>
      </c>
      <c r="Z358" s="56" t="s">
        <v>1301</v>
      </c>
      <c r="AA358" s="24">
        <v>849950</v>
      </c>
      <c r="AB358" s="19"/>
      <c r="AC358" s="19"/>
      <c r="AD358" s="15" t="e">
        <f ca="1">IF(AND($D358&lt;&gt;"",COUNTIF(OFFSET(UFS!$E$2,MATCH($D358&amp;"",UFS!$A$2:$A$175,0)-1,0,COUNTIF(UFS!$A$2:$A$175,$D358&amp;""),1),M358)&gt;0),"Valide","Invalide")</f>
        <v>#N/A</v>
      </c>
      <c r="AH358" s="15" t="str">
        <f t="shared" si="5"/>
        <v>En attente</v>
      </c>
    </row>
    <row r="359" spans="1:34" s="15" customFormat="1" ht="45" hidden="1" customHeight="1" x14ac:dyDescent="0.3">
      <c r="A359" s="42">
        <v>359</v>
      </c>
      <c r="B359" s="19" t="s">
        <v>16</v>
      </c>
      <c r="C359" s="19" t="s">
        <v>5</v>
      </c>
      <c r="D359" s="20" t="s">
        <v>143</v>
      </c>
      <c r="E359" s="20" t="s">
        <v>79</v>
      </c>
      <c r="F359" s="21" t="s">
        <v>80</v>
      </c>
      <c r="G359" s="38" t="s">
        <v>81</v>
      </c>
      <c r="H359" s="39" t="s">
        <v>82</v>
      </c>
      <c r="I359" s="39" t="s">
        <v>83</v>
      </c>
      <c r="J359" s="21" t="s">
        <v>144</v>
      </c>
      <c r="K359" s="21" t="s">
        <v>145</v>
      </c>
      <c r="L359" s="21" t="s">
        <v>146</v>
      </c>
      <c r="M359" s="21" t="s">
        <v>146</v>
      </c>
      <c r="N359" s="21" t="s">
        <v>147</v>
      </c>
      <c r="O359" s="20" t="s">
        <v>1416</v>
      </c>
      <c r="P359" s="45">
        <v>45737</v>
      </c>
      <c r="Q359" s="39" t="s">
        <v>1417</v>
      </c>
      <c r="R359" s="19">
        <v>6181.71</v>
      </c>
      <c r="S359" s="21">
        <v>0.2</v>
      </c>
      <c r="T359" s="21">
        <v>7418.0519999999997</v>
      </c>
      <c r="U359" s="60" t="s">
        <v>1418</v>
      </c>
      <c r="V359" s="22">
        <v>45750</v>
      </c>
      <c r="W359" s="54" t="s">
        <v>91</v>
      </c>
      <c r="X359" s="23"/>
      <c r="Y359" s="23" t="s">
        <v>92</v>
      </c>
      <c r="Z359" s="56"/>
      <c r="AA359" s="24">
        <v>853371</v>
      </c>
      <c r="AB359" s="48">
        <v>45778</v>
      </c>
      <c r="AC359" s="46" t="s">
        <v>94</v>
      </c>
      <c r="AD359" s="15" t="str">
        <f ca="1">IF(AND($D359&lt;&gt;"",COUNTIF(OFFSET(UFS!$E$2,MATCH($D359&amp;"",UFS!$A$2:$A$175,0)-1,0,COUNTIF(UFS!$A$2:$A$175,$D359&amp;""),1),M359)&gt;0),"Valide","Invalide")</f>
        <v>Valide</v>
      </c>
      <c r="AH359" s="15" t="str">
        <f t="shared" si="5"/>
        <v>En attente</v>
      </c>
    </row>
    <row r="360" spans="1:34" s="15" customFormat="1" ht="45" hidden="1" customHeight="1" x14ac:dyDescent="0.3">
      <c r="A360" s="42">
        <v>360</v>
      </c>
      <c r="B360" s="19" t="s">
        <v>26</v>
      </c>
      <c r="C360" s="19" t="s">
        <v>35</v>
      </c>
      <c r="D360" s="20" t="s">
        <v>432</v>
      </c>
      <c r="E360" s="20" t="s">
        <v>79</v>
      </c>
      <c r="F360" s="21" t="s">
        <v>433</v>
      </c>
      <c r="G360" s="38" t="s">
        <v>182</v>
      </c>
      <c r="H360" s="39" t="s">
        <v>215</v>
      </c>
      <c r="I360" s="39" t="s">
        <v>83</v>
      </c>
      <c r="J360" s="21" t="s">
        <v>144</v>
      </c>
      <c r="K360" s="21" t="s">
        <v>145</v>
      </c>
      <c r="L360" s="21" t="s">
        <v>434</v>
      </c>
      <c r="M360" s="21" t="s">
        <v>435</v>
      </c>
      <c r="N360" s="21" t="s">
        <v>436</v>
      </c>
      <c r="O360" s="20" t="s">
        <v>1419</v>
      </c>
      <c r="P360" s="45">
        <v>45749</v>
      </c>
      <c r="Q360" s="39" t="s">
        <v>1420</v>
      </c>
      <c r="R360" s="19">
        <v>831.73</v>
      </c>
      <c r="S360" s="21">
        <v>0.1</v>
      </c>
      <c r="T360" s="21">
        <v>914.90300000000002</v>
      </c>
      <c r="U360" s="60" t="s">
        <v>1421</v>
      </c>
      <c r="V360" s="22">
        <v>45750</v>
      </c>
      <c r="W360" s="54" t="s">
        <v>91</v>
      </c>
      <c r="X360" s="23"/>
      <c r="Y360" s="23" t="s">
        <v>92</v>
      </c>
      <c r="Z360" s="75" t="s">
        <v>446</v>
      </c>
      <c r="AA360" s="24">
        <v>852803</v>
      </c>
      <c r="AB360" s="19"/>
      <c r="AC360" s="19"/>
      <c r="AD360" s="15" t="str">
        <f ca="1">IF(AND($D360&lt;&gt;"",COUNTIF(OFFSET(UFS!$E$2,MATCH($D360&amp;"",UFS!$A$2:$A$175,0)-1,0,COUNTIF(UFS!$A$2:$A$175,$D360&amp;""),1),M360)&gt;0),"Valide","Invalide")</f>
        <v>Valide</v>
      </c>
      <c r="AH360" s="15" t="str">
        <f t="shared" si="5"/>
        <v>En attente</v>
      </c>
    </row>
    <row r="361" spans="1:34" s="15" customFormat="1" ht="45" hidden="1" customHeight="1" x14ac:dyDescent="0.3">
      <c r="A361" s="42">
        <v>361</v>
      </c>
      <c r="B361" s="19" t="s">
        <v>24</v>
      </c>
      <c r="C361" s="19" t="s">
        <v>35</v>
      </c>
      <c r="D361" s="20" t="s">
        <v>233</v>
      </c>
      <c r="E361" s="20" t="s">
        <v>96</v>
      </c>
      <c r="F361" s="21" t="s">
        <v>80</v>
      </c>
      <c r="G361" s="38" t="s">
        <v>1422</v>
      </c>
      <c r="H361" s="39"/>
      <c r="I361" s="39" t="s">
        <v>1423</v>
      </c>
      <c r="J361" s="21" t="s">
        <v>124</v>
      </c>
      <c r="K361" s="21" t="s">
        <v>235</v>
      </c>
      <c r="L361" s="21" t="s">
        <v>177</v>
      </c>
      <c r="M361" s="21" t="s">
        <v>109</v>
      </c>
      <c r="N361" s="21" t="s">
        <v>109</v>
      </c>
      <c r="O361" s="20" t="s">
        <v>1424</v>
      </c>
      <c r="P361" s="45">
        <v>45751</v>
      </c>
      <c r="Q361" s="39" t="s">
        <v>1425</v>
      </c>
      <c r="R361" s="19">
        <v>3494.92</v>
      </c>
      <c r="S361" s="21">
        <v>0.1</v>
      </c>
      <c r="T361" s="21">
        <v>3844.4120000000003</v>
      </c>
      <c r="U361" s="44" t="s">
        <v>1426</v>
      </c>
      <c r="V361" s="22">
        <v>45751</v>
      </c>
      <c r="W361" s="54" t="s">
        <v>91</v>
      </c>
      <c r="X361" s="23"/>
      <c r="Y361" s="23" t="s">
        <v>92</v>
      </c>
      <c r="Z361" s="56" t="s">
        <v>1301</v>
      </c>
      <c r="AA361" s="24">
        <v>851187</v>
      </c>
      <c r="AB361" s="47">
        <v>45776</v>
      </c>
      <c r="AC361" s="46" t="s">
        <v>94</v>
      </c>
      <c r="AD361" s="15" t="str">
        <f ca="1">IF(AND($D361&lt;&gt;"",COUNTIF(OFFSET(UFS!$E$2,MATCH($D361&amp;"",UFS!$A$2:$A$175,0)-1,0,COUNTIF(UFS!$A$2:$A$175,$D361&amp;""),1),M361)&gt;0),"Valide","Invalide")</f>
        <v>Valide</v>
      </c>
      <c r="AH361" s="15" t="str">
        <f t="shared" si="5"/>
        <v>En attente</v>
      </c>
    </row>
    <row r="362" spans="1:34" s="15" customFormat="1" ht="45" hidden="1" customHeight="1" x14ac:dyDescent="0.3">
      <c r="A362" s="42">
        <v>362</v>
      </c>
      <c r="B362" s="19" t="s">
        <v>24</v>
      </c>
      <c r="C362" s="19" t="s">
        <v>35</v>
      </c>
      <c r="D362" s="20" t="s">
        <v>123</v>
      </c>
      <c r="E362" s="20" t="s">
        <v>79</v>
      </c>
      <c r="F362" s="21" t="s">
        <v>80</v>
      </c>
      <c r="G362" s="38" t="s">
        <v>81</v>
      </c>
      <c r="H362" s="39" t="s">
        <v>426</v>
      </c>
      <c r="I362" s="39" t="s">
        <v>83</v>
      </c>
      <c r="J362" s="21" t="s">
        <v>124</v>
      </c>
      <c r="K362" s="21" t="s">
        <v>125</v>
      </c>
      <c r="L362" s="21" t="s">
        <v>126</v>
      </c>
      <c r="M362" s="21" t="s">
        <v>109</v>
      </c>
      <c r="N362" s="21" t="s">
        <v>109</v>
      </c>
      <c r="O362" s="20" t="s">
        <v>1427</v>
      </c>
      <c r="P362" s="45">
        <v>45751</v>
      </c>
      <c r="Q362" s="39" t="s">
        <v>1428</v>
      </c>
      <c r="R362" s="19">
        <v>2653.76</v>
      </c>
      <c r="S362" s="21">
        <v>0.1</v>
      </c>
      <c r="T362" s="21">
        <v>2919.1360000000004</v>
      </c>
      <c r="U362" s="44" t="s">
        <v>1429</v>
      </c>
      <c r="V362" s="22">
        <v>45751</v>
      </c>
      <c r="W362" s="54" t="s">
        <v>91</v>
      </c>
      <c r="X362" s="23"/>
      <c r="Y362" s="23" t="s">
        <v>92</v>
      </c>
      <c r="Z362" s="56" t="s">
        <v>1301</v>
      </c>
      <c r="AA362" s="24">
        <v>850736</v>
      </c>
      <c r="AB362" s="47">
        <v>45733</v>
      </c>
      <c r="AC362" s="46" t="s">
        <v>94</v>
      </c>
      <c r="AD362" s="15" t="str">
        <f ca="1">IF(AND($D362&lt;&gt;"",COUNTIF(OFFSET(UFS!$E$2,MATCH($D362&amp;"",UFS!$A$2:$A$175,0)-1,0,COUNTIF(UFS!$A$2:$A$175,$D362&amp;""),1),M362)&gt;0),"Valide","Invalide")</f>
        <v>Valide</v>
      </c>
      <c r="AH362" s="15" t="str">
        <f t="shared" si="5"/>
        <v>En attente</v>
      </c>
    </row>
    <row r="363" spans="1:34" s="15" customFormat="1" ht="45" hidden="1" customHeight="1" x14ac:dyDescent="0.3">
      <c r="A363" s="42">
        <v>363</v>
      </c>
      <c r="B363" s="19" t="s">
        <v>16</v>
      </c>
      <c r="C363" s="19" t="s">
        <v>32</v>
      </c>
      <c r="D363" s="20" t="s">
        <v>200</v>
      </c>
      <c r="E363" s="20" t="s">
        <v>79</v>
      </c>
      <c r="F363" s="21" t="s">
        <v>80</v>
      </c>
      <c r="G363" s="38" t="s">
        <v>81</v>
      </c>
      <c r="H363" s="39" t="s">
        <v>211</v>
      </c>
      <c r="I363" s="39" t="s">
        <v>83</v>
      </c>
      <c r="J363" s="21" t="s">
        <v>144</v>
      </c>
      <c r="K363" s="21" t="s">
        <v>145</v>
      </c>
      <c r="L363" s="21" t="s">
        <v>203</v>
      </c>
      <c r="M363" s="21" t="s">
        <v>109</v>
      </c>
      <c r="N363" s="21" t="s">
        <v>109</v>
      </c>
      <c r="O363" s="20" t="s">
        <v>1430</v>
      </c>
      <c r="P363" s="45">
        <v>45755</v>
      </c>
      <c r="Q363" s="39" t="s">
        <v>1431</v>
      </c>
      <c r="R363" s="19">
        <v>4398.3500000000004</v>
      </c>
      <c r="S363" s="21">
        <v>0.2</v>
      </c>
      <c r="T363" s="21">
        <v>5278.02</v>
      </c>
      <c r="U363" s="44" t="s">
        <v>1432</v>
      </c>
      <c r="V363" s="22">
        <v>45751</v>
      </c>
      <c r="W363" s="54" t="s">
        <v>91</v>
      </c>
      <c r="X363" s="23"/>
      <c r="Y363" s="23" t="s">
        <v>92</v>
      </c>
      <c r="Z363" s="56" t="s">
        <v>1301</v>
      </c>
      <c r="AA363" s="24">
        <v>850768</v>
      </c>
      <c r="AB363" s="45">
        <v>45794</v>
      </c>
      <c r="AC363" s="46" t="s">
        <v>94</v>
      </c>
      <c r="AD363" s="15" t="e">
        <f ca="1">IF(AND($D363&lt;&gt;"",COUNTIF(OFFSET(UFS!$E$2,MATCH($D363&amp;"",UFS!$A$2:$A$175,0)-1,0,COUNTIF(UFS!$A$2:$A$175,$D363&amp;""),1),M363)&gt;0),"Valide","Invalide")</f>
        <v>#N/A</v>
      </c>
      <c r="AH363" s="15" t="str">
        <f t="shared" si="5"/>
        <v>En attente</v>
      </c>
    </row>
    <row r="364" spans="1:34" s="15" customFormat="1" ht="45" customHeight="1" x14ac:dyDescent="0.3">
      <c r="A364" s="42">
        <v>364</v>
      </c>
      <c r="B364" s="19" t="s">
        <v>24</v>
      </c>
      <c r="C364" s="19" t="s">
        <v>35</v>
      </c>
      <c r="D364" s="20" t="s">
        <v>123</v>
      </c>
      <c r="E364" s="20" t="s">
        <v>79</v>
      </c>
      <c r="F364" s="21" t="s">
        <v>80</v>
      </c>
      <c r="G364" s="38" t="s">
        <v>182</v>
      </c>
      <c r="H364" s="39" t="s">
        <v>426</v>
      </c>
      <c r="I364" s="39" t="s">
        <v>83</v>
      </c>
      <c r="J364" s="21" t="s">
        <v>124</v>
      </c>
      <c r="K364" s="21" t="s">
        <v>125</v>
      </c>
      <c r="L364" s="21" t="s">
        <v>126</v>
      </c>
      <c r="M364" s="21" t="s">
        <v>109</v>
      </c>
      <c r="N364" s="21" t="s">
        <v>109</v>
      </c>
      <c r="O364" s="20" t="s">
        <v>1433</v>
      </c>
      <c r="P364" s="45">
        <v>45751</v>
      </c>
      <c r="Q364" s="39" t="s">
        <v>1434</v>
      </c>
      <c r="R364" s="19">
        <v>1570.18</v>
      </c>
      <c r="S364" s="21">
        <v>0.1</v>
      </c>
      <c r="T364" s="21">
        <v>1727.1980000000001</v>
      </c>
      <c r="U364" s="44" t="s">
        <v>1435</v>
      </c>
      <c r="V364" s="22">
        <v>45751</v>
      </c>
      <c r="W364" s="54" t="s">
        <v>91</v>
      </c>
      <c r="X364" s="23"/>
      <c r="Y364" s="23" t="s">
        <v>92</v>
      </c>
      <c r="Z364" s="56" t="s">
        <v>446</v>
      </c>
      <c r="AA364" s="24">
        <v>852507</v>
      </c>
      <c r="AB364" s="47">
        <v>45782</v>
      </c>
      <c r="AC364" s="49" t="s">
        <v>161</v>
      </c>
      <c r="AD364" s="15" t="str">
        <f ca="1">IF(AND($D364&lt;&gt;"",COUNTIF(OFFSET(UFS!$E$2,MATCH($D364&amp;"",UFS!$A$2:$A$175,0)-1,0,COUNTIF(UFS!$A$2:$A$175,$D364&amp;""),1),M364)&gt;0),"Valide","Invalide")</f>
        <v>Valide</v>
      </c>
      <c r="AH364" s="15" t="str">
        <f t="shared" si="5"/>
        <v>En attente</v>
      </c>
    </row>
    <row r="365" spans="1:34" s="15" customFormat="1" ht="45" hidden="1" customHeight="1" x14ac:dyDescent="0.3">
      <c r="A365" s="42">
        <v>365</v>
      </c>
      <c r="B365" s="19" t="s">
        <v>24</v>
      </c>
      <c r="C365" s="19" t="s">
        <v>25</v>
      </c>
      <c r="D365" s="20" t="s">
        <v>1436</v>
      </c>
      <c r="E365" s="20" t="s">
        <v>79</v>
      </c>
      <c r="F365" s="21" t="s">
        <v>80</v>
      </c>
      <c r="G365" s="38" t="s">
        <v>182</v>
      </c>
      <c r="H365" s="39" t="s">
        <v>82</v>
      </c>
      <c r="I365" s="39" t="s">
        <v>83</v>
      </c>
      <c r="J365" s="21" t="s">
        <v>361</v>
      </c>
      <c r="K365" s="21" t="s">
        <v>1437</v>
      </c>
      <c r="L365" s="21" t="s">
        <v>114</v>
      </c>
      <c r="M365" s="21" t="s">
        <v>1437</v>
      </c>
      <c r="N365" s="21" t="s">
        <v>87</v>
      </c>
      <c r="O365" s="20" t="s">
        <v>1438</v>
      </c>
      <c r="P365" s="45">
        <v>45748</v>
      </c>
      <c r="Q365" s="39" t="s">
        <v>1439</v>
      </c>
      <c r="R365" s="19">
        <v>7647.71</v>
      </c>
      <c r="S365" s="21">
        <v>0.2</v>
      </c>
      <c r="T365" s="21">
        <v>9177.2520000000004</v>
      </c>
      <c r="U365" s="44" t="s">
        <v>1440</v>
      </c>
      <c r="V365" s="22">
        <v>45751</v>
      </c>
      <c r="W365" s="54" t="s">
        <v>91</v>
      </c>
      <c r="X365" s="23"/>
      <c r="Y365" s="23" t="s">
        <v>92</v>
      </c>
      <c r="Z365" s="56" t="s">
        <v>1301</v>
      </c>
      <c r="AA365" s="24">
        <v>850749</v>
      </c>
      <c r="AB365" s="47">
        <v>45803</v>
      </c>
      <c r="AC365" s="46" t="s">
        <v>94</v>
      </c>
      <c r="AD365" s="15" t="str">
        <f ca="1">IF(AND($D365&lt;&gt;"",COUNTIF(OFFSET(UFS!$E$2,MATCH($D365&amp;"",UFS!$A$2:$A$175,0)-1,0,COUNTIF(UFS!$A$2:$A$175,$D365&amp;""),1),M365)&gt;0),"Valide","Invalide")</f>
        <v>Valide</v>
      </c>
      <c r="AH365" s="15" t="str">
        <f t="shared" si="5"/>
        <v>En attente</v>
      </c>
    </row>
    <row r="366" spans="1:34" s="15" customFormat="1" ht="45" hidden="1" customHeight="1" x14ac:dyDescent="0.3">
      <c r="A366" s="42">
        <v>366</v>
      </c>
      <c r="B366" s="19" t="s">
        <v>16</v>
      </c>
      <c r="C366" s="19" t="s">
        <v>32</v>
      </c>
      <c r="D366" s="20" t="s">
        <v>810</v>
      </c>
      <c r="E366" s="20" t="s">
        <v>79</v>
      </c>
      <c r="F366" s="21" t="s">
        <v>80</v>
      </c>
      <c r="G366" s="38" t="s">
        <v>81</v>
      </c>
      <c r="H366" s="39" t="s">
        <v>211</v>
      </c>
      <c r="I366" s="39" t="s">
        <v>83</v>
      </c>
      <c r="J366" s="21" t="s">
        <v>144</v>
      </c>
      <c r="K366" s="21" t="s">
        <v>145</v>
      </c>
      <c r="L366" s="21" t="s">
        <v>146</v>
      </c>
      <c r="M366" s="21" t="s">
        <v>812</v>
      </c>
      <c r="N366" s="21" t="s">
        <v>813</v>
      </c>
      <c r="O366" s="20" t="s">
        <v>1441</v>
      </c>
      <c r="P366" s="45">
        <v>22374</v>
      </c>
      <c r="Q366" s="39" t="s">
        <v>1442</v>
      </c>
      <c r="R366" s="19">
        <v>5990.58</v>
      </c>
      <c r="S366" s="21">
        <v>0.1</v>
      </c>
      <c r="T366" s="21">
        <v>6589.6379999999999</v>
      </c>
      <c r="U366" s="44" t="s">
        <v>1443</v>
      </c>
      <c r="V366" s="22">
        <v>45755</v>
      </c>
      <c r="W366" s="54" t="s">
        <v>91</v>
      </c>
      <c r="X366" s="23"/>
      <c r="Y366" s="23" t="s">
        <v>376</v>
      </c>
      <c r="Z366" s="56" t="s">
        <v>1444</v>
      </c>
      <c r="AA366" s="24"/>
      <c r="AB366" s="19"/>
      <c r="AC366" s="19"/>
      <c r="AD366" s="15" t="str">
        <f ca="1">IF(AND($D366&lt;&gt;"",COUNTIF(OFFSET(UFS!$E$2,MATCH($D366&amp;"",UFS!$A$2:$A$175,0)-1,0,COUNTIF(UFS!$A$2:$A$175,$D366&amp;""),1),M366)&gt;0),"Valide","Invalide")</f>
        <v>Valide</v>
      </c>
      <c r="AH366" s="15" t="str">
        <f t="shared" si="5"/>
        <v>En attente</v>
      </c>
    </row>
    <row r="367" spans="1:34" s="15" customFormat="1" ht="45" hidden="1" customHeight="1" x14ac:dyDescent="0.3">
      <c r="A367" s="42">
        <v>367</v>
      </c>
      <c r="B367" s="19" t="s">
        <v>709</v>
      </c>
      <c r="C367" s="19" t="s">
        <v>23</v>
      </c>
      <c r="D367" s="20" t="s">
        <v>123</v>
      </c>
      <c r="E367" s="20" t="s">
        <v>79</v>
      </c>
      <c r="F367" s="21" t="s">
        <v>80</v>
      </c>
      <c r="G367" s="38" t="s">
        <v>241</v>
      </c>
      <c r="H367" s="39" t="s">
        <v>643</v>
      </c>
      <c r="I367" s="39" t="s">
        <v>644</v>
      </c>
      <c r="J367" s="21" t="s">
        <v>124</v>
      </c>
      <c r="K367" s="21" t="s">
        <v>125</v>
      </c>
      <c r="L367" s="21" t="s">
        <v>177</v>
      </c>
      <c r="M367" s="21" t="s">
        <v>136</v>
      </c>
      <c r="N367" s="21" t="s">
        <v>102</v>
      </c>
      <c r="O367" s="20" t="s">
        <v>1445</v>
      </c>
      <c r="P367" s="45">
        <v>45754</v>
      </c>
      <c r="Q367" s="39" t="s">
        <v>1446</v>
      </c>
      <c r="R367" s="19">
        <v>379.8</v>
      </c>
      <c r="S367" s="21">
        <v>0.2</v>
      </c>
      <c r="T367" s="21">
        <v>455.76</v>
      </c>
      <c r="U367" s="60" t="s">
        <v>714</v>
      </c>
      <c r="V367" s="22">
        <v>45755</v>
      </c>
      <c r="W367" s="54" t="s">
        <v>91</v>
      </c>
      <c r="X367" s="23"/>
      <c r="Y367" s="23" t="s">
        <v>92</v>
      </c>
      <c r="Z367" s="56" t="s">
        <v>446</v>
      </c>
      <c r="AA367" s="24">
        <v>850730</v>
      </c>
      <c r="AB367" s="19"/>
      <c r="AC367" s="19"/>
      <c r="AD367" s="15" t="str">
        <f ca="1">IF(AND($D367&lt;&gt;"",COUNTIF(OFFSET(UFS!$E$2,MATCH($D367&amp;"",UFS!$A$2:$A$175,0)-1,0,COUNTIF(UFS!$A$2:$A$175,$D367&amp;""),1),M367)&gt;0),"Valide","Invalide")</f>
        <v>Invalide</v>
      </c>
      <c r="AH367" s="15" t="str">
        <f t="shared" si="5"/>
        <v>En attente</v>
      </c>
    </row>
    <row r="368" spans="1:34" s="15" customFormat="1" ht="45" hidden="1" customHeight="1" x14ac:dyDescent="0.3">
      <c r="A368" s="42">
        <v>368</v>
      </c>
      <c r="B368" s="19" t="s">
        <v>6</v>
      </c>
      <c r="C368" s="19" t="s">
        <v>31</v>
      </c>
      <c r="D368" s="20" t="s">
        <v>1447</v>
      </c>
      <c r="E368" s="20" t="s">
        <v>79</v>
      </c>
      <c r="F368" s="21" t="s">
        <v>80</v>
      </c>
      <c r="G368" s="38" t="s">
        <v>241</v>
      </c>
      <c r="H368" s="39" t="s">
        <v>242</v>
      </c>
      <c r="I368" s="39" t="s">
        <v>243</v>
      </c>
      <c r="J368" s="21" t="s">
        <v>1135</v>
      </c>
      <c r="K368" s="21" t="s">
        <v>1136</v>
      </c>
      <c r="L368" s="21" t="s">
        <v>135</v>
      </c>
      <c r="M368" s="21" t="s">
        <v>1137</v>
      </c>
      <c r="N368" s="21" t="s">
        <v>87</v>
      </c>
      <c r="O368" s="20" t="s">
        <v>1448</v>
      </c>
      <c r="P368" s="45">
        <v>45638</v>
      </c>
      <c r="Q368" s="39" t="s">
        <v>1449</v>
      </c>
      <c r="R368" s="19">
        <v>408.75</v>
      </c>
      <c r="S368" s="21">
        <v>0.2</v>
      </c>
      <c r="T368" s="21">
        <v>490.5</v>
      </c>
      <c r="U368" s="44" t="s">
        <v>1450</v>
      </c>
      <c r="V368" s="22">
        <v>45755</v>
      </c>
      <c r="W368" s="54" t="s">
        <v>91</v>
      </c>
      <c r="X368" s="23"/>
      <c r="Y368" s="23" t="s">
        <v>92</v>
      </c>
      <c r="Z368" s="56" t="s">
        <v>446</v>
      </c>
      <c r="AA368" s="24">
        <v>850757</v>
      </c>
      <c r="AB368" s="19"/>
      <c r="AC368" s="46" t="s">
        <v>94</v>
      </c>
      <c r="AD368" s="15" t="str">
        <f ca="1">IF(AND($D368&lt;&gt;"",COUNTIF(OFFSET(UFS!$E$2,MATCH($D368&amp;"",UFS!$A$2:$A$175,0)-1,0,COUNTIF(UFS!$A$2:$A$175,$D368&amp;""),1),M368)&gt;0),"Valide","Invalide")</f>
        <v>Valide</v>
      </c>
      <c r="AH368" s="15" t="str">
        <f t="shared" si="5"/>
        <v>En attente</v>
      </c>
    </row>
    <row r="369" spans="1:34" s="15" customFormat="1" ht="45" hidden="1" customHeight="1" x14ac:dyDescent="0.3">
      <c r="A369" s="42">
        <v>369</v>
      </c>
      <c r="B369" s="19" t="s">
        <v>24</v>
      </c>
      <c r="C369" s="19" t="s">
        <v>25</v>
      </c>
      <c r="D369" s="20" t="s">
        <v>174</v>
      </c>
      <c r="E369" s="20" t="s">
        <v>79</v>
      </c>
      <c r="F369" s="21" t="s">
        <v>80</v>
      </c>
      <c r="G369" s="38" t="s">
        <v>81</v>
      </c>
      <c r="H369" s="39" t="s">
        <v>82</v>
      </c>
      <c r="I369" s="39" t="s">
        <v>83</v>
      </c>
      <c r="J369" s="21" t="s">
        <v>124</v>
      </c>
      <c r="K369" s="21" t="s">
        <v>125</v>
      </c>
      <c r="L369" s="21" t="s">
        <v>177</v>
      </c>
      <c r="M369" s="21" t="s">
        <v>136</v>
      </c>
      <c r="N369" s="21" t="s">
        <v>102</v>
      </c>
      <c r="O369" s="20" t="s">
        <v>1451</v>
      </c>
      <c r="P369" s="45">
        <v>45755</v>
      </c>
      <c r="Q369" s="39" t="s">
        <v>1452</v>
      </c>
      <c r="R369" s="19">
        <v>421.65</v>
      </c>
      <c r="S369" s="21">
        <v>0.1</v>
      </c>
      <c r="T369" s="21">
        <v>463.815</v>
      </c>
      <c r="U369" s="60" t="s">
        <v>1453</v>
      </c>
      <c r="V369" s="22">
        <v>45756</v>
      </c>
      <c r="W369" s="54" t="s">
        <v>91</v>
      </c>
      <c r="X369" s="23"/>
      <c r="Y369" s="23" t="s">
        <v>92</v>
      </c>
      <c r="Z369" s="56" t="s">
        <v>446</v>
      </c>
      <c r="AA369" s="24">
        <v>850785</v>
      </c>
      <c r="AB369" s="47">
        <v>45754</v>
      </c>
      <c r="AC369" s="46" t="s">
        <v>94</v>
      </c>
      <c r="AD369" s="15" t="str">
        <f ca="1">IF(AND($D369&lt;&gt;"",COUNTIF(OFFSET(UFS!$E$2,MATCH($D369&amp;"",UFS!$A$2:$A$175,0)-1,0,COUNTIF(UFS!$A$2:$A$175,$D369&amp;""),1),M369)&gt;0),"Valide","Invalide")</f>
        <v>Valide</v>
      </c>
      <c r="AH369" s="15" t="str">
        <f t="shared" si="5"/>
        <v>En attente</v>
      </c>
    </row>
    <row r="370" spans="1:34" s="15" customFormat="1" ht="45" hidden="1" customHeight="1" x14ac:dyDescent="0.3">
      <c r="A370" s="42">
        <v>370</v>
      </c>
      <c r="B370" s="19" t="s">
        <v>20</v>
      </c>
      <c r="C370" s="19" t="s">
        <v>1</v>
      </c>
      <c r="D370" s="20" t="s">
        <v>604</v>
      </c>
      <c r="E370" s="20" t="s">
        <v>79</v>
      </c>
      <c r="F370" s="21" t="s">
        <v>80</v>
      </c>
      <c r="G370" s="38" t="s">
        <v>81</v>
      </c>
      <c r="H370" s="39" t="s">
        <v>82</v>
      </c>
      <c r="I370" s="39" t="s">
        <v>83</v>
      </c>
      <c r="J370" s="21" t="s">
        <v>144</v>
      </c>
      <c r="K370" s="21" t="s">
        <v>145</v>
      </c>
      <c r="L370" s="21" t="s">
        <v>146</v>
      </c>
      <c r="M370" s="21" t="s">
        <v>146</v>
      </c>
      <c r="N370" s="21" t="s">
        <v>605</v>
      </c>
      <c r="O370" s="20" t="s">
        <v>1454</v>
      </c>
      <c r="P370" s="45">
        <v>45755</v>
      </c>
      <c r="Q370" s="39" t="s">
        <v>1455</v>
      </c>
      <c r="R370" s="19">
        <v>655.91</v>
      </c>
      <c r="S370" s="21">
        <v>0.2</v>
      </c>
      <c r="T370" s="21">
        <v>787.09199999999998</v>
      </c>
      <c r="U370" s="60" t="s">
        <v>1456</v>
      </c>
      <c r="V370" s="22">
        <v>45756</v>
      </c>
      <c r="W370" s="54" t="s">
        <v>91</v>
      </c>
      <c r="X370" s="23"/>
      <c r="Y370" s="23" t="s">
        <v>92</v>
      </c>
      <c r="Z370" s="56" t="s">
        <v>446</v>
      </c>
      <c r="AA370" s="24">
        <v>850788</v>
      </c>
      <c r="AB370" s="19"/>
      <c r="AC370" s="46" t="s">
        <v>94</v>
      </c>
      <c r="AD370" s="15" t="str">
        <f ca="1">IF(AND($D370&lt;&gt;"",COUNTIF(OFFSET(UFS!$E$2,MATCH($D370&amp;"",UFS!$A$2:$A$175,0)-1,0,COUNTIF(UFS!$A$2:$A$175,$D370&amp;""),1),M370)&gt;0),"Valide","Invalide")</f>
        <v>Valide</v>
      </c>
      <c r="AH370" s="15" t="str">
        <f t="shared" si="5"/>
        <v>En attente</v>
      </c>
    </row>
    <row r="371" spans="1:34" s="15" customFormat="1" ht="45" hidden="1" customHeight="1" x14ac:dyDescent="0.3">
      <c r="A371" s="42">
        <v>371</v>
      </c>
      <c r="B371" s="19" t="s">
        <v>16</v>
      </c>
      <c r="C371" s="19" t="s">
        <v>1</v>
      </c>
      <c r="D371" s="20" t="s">
        <v>911</v>
      </c>
      <c r="E371" s="20" t="s">
        <v>79</v>
      </c>
      <c r="F371" s="21" t="s">
        <v>80</v>
      </c>
      <c r="G371" s="38" t="s">
        <v>182</v>
      </c>
      <c r="H371" s="39" t="s">
        <v>82</v>
      </c>
      <c r="I371" s="39" t="s">
        <v>83</v>
      </c>
      <c r="J371" s="21" t="s">
        <v>144</v>
      </c>
      <c r="K371" s="21" t="s">
        <v>145</v>
      </c>
      <c r="L371" s="21" t="s">
        <v>270</v>
      </c>
      <c r="M371" s="21" t="s">
        <v>912</v>
      </c>
      <c r="N371" s="21" t="s">
        <v>102</v>
      </c>
      <c r="O371" s="20" t="s">
        <v>1457</v>
      </c>
      <c r="P371" s="45">
        <v>45757</v>
      </c>
      <c r="Q371" s="39" t="s">
        <v>1458</v>
      </c>
      <c r="R371" s="19">
        <v>4131.54</v>
      </c>
      <c r="S371" s="21">
        <v>0.1</v>
      </c>
      <c r="T371" s="21">
        <v>4544.6940000000004</v>
      </c>
      <c r="U371" s="44" t="s">
        <v>1459</v>
      </c>
      <c r="V371" s="22">
        <v>45756</v>
      </c>
      <c r="W371" s="54" t="s">
        <v>91</v>
      </c>
      <c r="X371" s="23"/>
      <c r="Y371" s="23" t="s">
        <v>92</v>
      </c>
      <c r="Z371" s="56" t="s">
        <v>1338</v>
      </c>
      <c r="AA371" s="24">
        <v>855756</v>
      </c>
      <c r="AB371" s="19"/>
      <c r="AC371" s="46" t="s">
        <v>94</v>
      </c>
      <c r="AD371" s="15" t="str">
        <f ca="1">IF(AND($D371&lt;&gt;"",COUNTIF(OFFSET(UFS!$E$2,MATCH($D371&amp;"",UFS!$A$2:$A$175,0)-1,0,COUNTIF(UFS!$A$2:$A$175,$D371&amp;""),1),M371)&gt;0),"Valide","Invalide")</f>
        <v>Valide</v>
      </c>
      <c r="AH371" s="15" t="str">
        <f t="shared" si="5"/>
        <v>En attente</v>
      </c>
    </row>
    <row r="372" spans="1:34" s="15" customFormat="1" ht="45" hidden="1" customHeight="1" x14ac:dyDescent="0.3">
      <c r="A372" s="42">
        <v>372</v>
      </c>
      <c r="B372" s="19" t="s">
        <v>16</v>
      </c>
      <c r="C372" s="19" t="s">
        <v>28</v>
      </c>
      <c r="D372" s="20" t="s">
        <v>143</v>
      </c>
      <c r="E372" s="20" t="s">
        <v>79</v>
      </c>
      <c r="F372" s="21" t="s">
        <v>80</v>
      </c>
      <c r="G372" s="38" t="s">
        <v>81</v>
      </c>
      <c r="H372" s="39" t="s">
        <v>82</v>
      </c>
      <c r="I372" s="39" t="s">
        <v>83</v>
      </c>
      <c r="J372" s="21" t="s">
        <v>144</v>
      </c>
      <c r="K372" s="21" t="s">
        <v>145</v>
      </c>
      <c r="L372" s="21" t="s">
        <v>146</v>
      </c>
      <c r="M372" s="21" t="s">
        <v>146</v>
      </c>
      <c r="N372" s="21" t="s">
        <v>147</v>
      </c>
      <c r="O372" s="20" t="s">
        <v>1460</v>
      </c>
      <c r="P372" s="45">
        <v>45757</v>
      </c>
      <c r="Q372" s="39" t="s">
        <v>1461</v>
      </c>
      <c r="R372" s="19">
        <v>11197.42</v>
      </c>
      <c r="S372" s="21">
        <v>0.2</v>
      </c>
      <c r="T372" s="21">
        <v>13436.904</v>
      </c>
      <c r="U372" s="44" t="s">
        <v>1462</v>
      </c>
      <c r="V372" s="22">
        <v>45763</v>
      </c>
      <c r="W372" s="54" t="s">
        <v>91</v>
      </c>
      <c r="X372" s="23"/>
      <c r="Y372" s="23" t="s">
        <v>92</v>
      </c>
      <c r="Z372" s="56" t="s">
        <v>446</v>
      </c>
      <c r="AA372" s="24">
        <v>851950</v>
      </c>
      <c r="AB372" s="48">
        <v>45778</v>
      </c>
      <c r="AC372" s="46" t="s">
        <v>94</v>
      </c>
      <c r="AD372" s="15" t="str">
        <f ca="1">IF(AND($D372&lt;&gt;"",COUNTIF(OFFSET(UFS!$E$2,MATCH($D372&amp;"",UFS!$A$2:$A$175,0)-1,0,COUNTIF(UFS!$A$2:$A$175,$D372&amp;""),1),M372)&gt;0),"Valide","Invalide")</f>
        <v>Valide</v>
      </c>
      <c r="AH372" s="15" t="str">
        <f t="shared" si="5"/>
        <v>En attente</v>
      </c>
    </row>
    <row r="373" spans="1:34" s="15" customFormat="1" ht="45" hidden="1" customHeight="1" x14ac:dyDescent="0.3">
      <c r="A373" s="42">
        <v>373</v>
      </c>
      <c r="B373" s="19" t="s">
        <v>16</v>
      </c>
      <c r="C373" s="19" t="s">
        <v>28</v>
      </c>
      <c r="D373" s="20" t="s">
        <v>200</v>
      </c>
      <c r="E373" s="20" t="s">
        <v>79</v>
      </c>
      <c r="F373" s="21" t="s">
        <v>80</v>
      </c>
      <c r="G373" s="38" t="s">
        <v>81</v>
      </c>
      <c r="H373" s="39" t="s">
        <v>82</v>
      </c>
      <c r="I373" s="39" t="s">
        <v>83</v>
      </c>
      <c r="J373" s="21" t="s">
        <v>144</v>
      </c>
      <c r="K373" s="21" t="s">
        <v>145</v>
      </c>
      <c r="L373" s="21" t="s">
        <v>203</v>
      </c>
      <c r="M373" s="21" t="s">
        <v>109</v>
      </c>
      <c r="N373" s="21" t="s">
        <v>109</v>
      </c>
      <c r="O373" s="20"/>
      <c r="P373" s="19"/>
      <c r="Q373" s="39" t="s">
        <v>1463</v>
      </c>
      <c r="R373" s="19"/>
      <c r="S373" s="21">
        <v>0.2</v>
      </c>
      <c r="T373" s="21"/>
      <c r="U373" s="39"/>
      <c r="V373" s="21"/>
      <c r="W373" s="54"/>
      <c r="X373" s="23"/>
      <c r="Y373" s="23" t="s">
        <v>376</v>
      </c>
      <c r="Z373" s="56" t="s">
        <v>1464</v>
      </c>
      <c r="AA373" s="24"/>
      <c r="AB373" s="19"/>
      <c r="AC373" s="19"/>
      <c r="AD373" s="15" t="e">
        <f ca="1">IF(AND($D373&lt;&gt;"",COUNTIF(OFFSET(UFS!$E$2,MATCH($D373&amp;"",UFS!$A$2:$A$175,0)-1,0,COUNTIF(UFS!$A$2:$A$175,$D373&amp;""),1),M373)&gt;0),"Valide","Invalide")</f>
        <v>#N/A</v>
      </c>
      <c r="AH373" s="15" t="str">
        <f t="shared" si="5"/>
        <v/>
      </c>
    </row>
    <row r="374" spans="1:34" s="15" customFormat="1" hidden="1" x14ac:dyDescent="0.3">
      <c r="A374" s="42">
        <v>374</v>
      </c>
      <c r="B374" s="19" t="s">
        <v>16</v>
      </c>
      <c r="C374" s="19" t="s">
        <v>28</v>
      </c>
      <c r="D374" s="20" t="s">
        <v>334</v>
      </c>
      <c r="E374" s="20" t="s">
        <v>79</v>
      </c>
      <c r="F374" s="21" t="s">
        <v>80</v>
      </c>
      <c r="G374" s="38" t="s">
        <v>182</v>
      </c>
      <c r="H374" s="39" t="s">
        <v>82</v>
      </c>
      <c r="I374" s="39" t="s">
        <v>83</v>
      </c>
      <c r="J374" s="21" t="s">
        <v>144</v>
      </c>
      <c r="K374" s="21" t="s">
        <v>145</v>
      </c>
      <c r="L374" s="21" t="s">
        <v>278</v>
      </c>
      <c r="M374" s="21" t="s">
        <v>335</v>
      </c>
      <c r="N374" s="21" t="s">
        <v>102</v>
      </c>
      <c r="O374" s="20"/>
      <c r="P374" s="19"/>
      <c r="Q374" s="39" t="s">
        <v>1465</v>
      </c>
      <c r="R374" s="19"/>
      <c r="S374" s="21">
        <v>0.1</v>
      </c>
      <c r="T374" s="21"/>
      <c r="U374" s="39"/>
      <c r="V374" s="21"/>
      <c r="W374" s="54"/>
      <c r="X374" s="23"/>
      <c r="Y374" s="23" t="s">
        <v>376</v>
      </c>
      <c r="Z374" s="56" t="s">
        <v>653</v>
      </c>
      <c r="AA374" s="24"/>
      <c r="AB374" s="19"/>
      <c r="AC374" s="19"/>
      <c r="AD374" s="15" t="str">
        <f ca="1">IF(AND($D374&lt;&gt;"",COUNTIF(OFFSET(UFS!$E$2,MATCH($D374&amp;"",UFS!$A$2:$A$175,0)-1,0,COUNTIF(UFS!$A$2:$A$175,$D374&amp;""),1),M374)&gt;0),"Valide","Invalide")</f>
        <v>Valide</v>
      </c>
      <c r="AH374" s="15" t="str">
        <f>IF(T374&lt;&gt;"","En attente","")</f>
        <v/>
      </c>
    </row>
    <row r="375" spans="1:34" s="15" customFormat="1" ht="45" hidden="1" customHeight="1" x14ac:dyDescent="0.3">
      <c r="A375" s="42">
        <v>375</v>
      </c>
      <c r="B375" s="19" t="s">
        <v>6</v>
      </c>
      <c r="C375" s="19" t="s">
        <v>21</v>
      </c>
      <c r="D375" s="20" t="s">
        <v>200</v>
      </c>
      <c r="E375" s="20" t="s">
        <v>853</v>
      </c>
      <c r="F375" s="21" t="s">
        <v>80</v>
      </c>
      <c r="G375" s="38" t="s">
        <v>854</v>
      </c>
      <c r="H375" s="39" t="s">
        <v>534</v>
      </c>
      <c r="I375" s="39"/>
      <c r="J375" s="21" t="s">
        <v>144</v>
      </c>
      <c r="K375" s="21" t="s">
        <v>145</v>
      </c>
      <c r="L375" s="21" t="s">
        <v>203</v>
      </c>
      <c r="M375" s="21" t="s">
        <v>109</v>
      </c>
      <c r="N375" s="21" t="s">
        <v>109</v>
      </c>
      <c r="O375" s="20" t="s">
        <v>1466</v>
      </c>
      <c r="P375" s="45">
        <v>45747</v>
      </c>
      <c r="Q375" s="39" t="s">
        <v>1467</v>
      </c>
      <c r="R375" s="19">
        <v>854.7</v>
      </c>
      <c r="S375" s="21">
        <v>0.2</v>
      </c>
      <c r="T375" s="21">
        <v>1025.6400000000001</v>
      </c>
      <c r="U375" s="60" t="s">
        <v>1468</v>
      </c>
      <c r="V375" s="22">
        <v>45757</v>
      </c>
      <c r="W375" s="54" t="s">
        <v>91</v>
      </c>
      <c r="X375" s="23"/>
      <c r="Y375" s="23" t="s">
        <v>92</v>
      </c>
      <c r="Z375" s="56" t="s">
        <v>1196</v>
      </c>
      <c r="AA375" s="24">
        <v>3007</v>
      </c>
      <c r="AB375" s="19"/>
      <c r="AC375" s="46" t="s">
        <v>94</v>
      </c>
      <c r="AD375" s="15" t="e">
        <f ca="1">IF(AND($D375&lt;&gt;"",COUNTIF(OFFSET(UFS!$E$2,MATCH($D375&amp;"",UFS!$A$2:$A$175,0)-1,0,COUNTIF(UFS!$A$2:$A$175,$D375&amp;""),1),M375)&gt;0),"Valide","Invalide")</f>
        <v>#N/A</v>
      </c>
      <c r="AH375" s="15" t="str">
        <f t="shared" si="5"/>
        <v>En attente</v>
      </c>
    </row>
    <row r="376" spans="1:34" s="15" customFormat="1" ht="45" hidden="1" customHeight="1" x14ac:dyDescent="0.3">
      <c r="A376" s="42">
        <v>376</v>
      </c>
      <c r="B376" s="19" t="s">
        <v>6</v>
      </c>
      <c r="C376" s="19" t="s">
        <v>21</v>
      </c>
      <c r="D376" s="20" t="s">
        <v>200</v>
      </c>
      <c r="E376" s="20" t="s">
        <v>853</v>
      </c>
      <c r="F376" s="21" t="s">
        <v>80</v>
      </c>
      <c r="G376" s="38" t="s">
        <v>854</v>
      </c>
      <c r="H376" s="39" t="s">
        <v>534</v>
      </c>
      <c r="I376" s="39"/>
      <c r="J376" s="21" t="s">
        <v>144</v>
      </c>
      <c r="K376" s="21" t="s">
        <v>145</v>
      </c>
      <c r="L376" s="21" t="s">
        <v>203</v>
      </c>
      <c r="M376" s="21" t="s">
        <v>109</v>
      </c>
      <c r="N376" s="21" t="s">
        <v>109</v>
      </c>
      <c r="O376" s="20" t="s">
        <v>1469</v>
      </c>
      <c r="P376" s="45">
        <v>45750</v>
      </c>
      <c r="Q376" s="39" t="s">
        <v>1470</v>
      </c>
      <c r="R376" s="53">
        <v>6241.4</v>
      </c>
      <c r="S376" s="21">
        <v>0.2</v>
      </c>
      <c r="T376" s="21">
        <v>7489.6799999999994</v>
      </c>
      <c r="U376" s="60" t="s">
        <v>1471</v>
      </c>
      <c r="V376" s="22">
        <v>45757</v>
      </c>
      <c r="W376" s="54" t="s">
        <v>91</v>
      </c>
      <c r="X376" s="23"/>
      <c r="Y376" s="23" t="s">
        <v>92</v>
      </c>
      <c r="Z376" s="56" t="s">
        <v>1196</v>
      </c>
      <c r="AA376" s="24">
        <v>3008</v>
      </c>
      <c r="AB376" s="19"/>
      <c r="AC376" s="46" t="s">
        <v>94</v>
      </c>
      <c r="AD376" s="15" t="e">
        <f ca="1">IF(AND($D376&lt;&gt;"",COUNTIF(OFFSET(UFS!$E$2,MATCH($D376&amp;"",UFS!$A$2:$A$175,0)-1,0,COUNTIF(UFS!$A$2:$A$175,$D376&amp;""),1),M376)&gt;0),"Valide","Invalide")</f>
        <v>#N/A</v>
      </c>
      <c r="AH376" s="15" t="str">
        <f t="shared" si="5"/>
        <v>En attente</v>
      </c>
    </row>
    <row r="377" spans="1:34" s="15" customFormat="1" ht="45" hidden="1" customHeight="1" x14ac:dyDescent="0.3">
      <c r="A377" s="42">
        <v>377</v>
      </c>
      <c r="B377" s="19" t="s">
        <v>6</v>
      </c>
      <c r="C377" s="19" t="s">
        <v>21</v>
      </c>
      <c r="D377" s="20" t="s">
        <v>200</v>
      </c>
      <c r="E377" s="20" t="s">
        <v>853</v>
      </c>
      <c r="F377" s="21" t="s">
        <v>80</v>
      </c>
      <c r="G377" s="38" t="s">
        <v>854</v>
      </c>
      <c r="H377" s="39" t="s">
        <v>534</v>
      </c>
      <c r="I377" s="39"/>
      <c r="J377" s="21" t="s">
        <v>144</v>
      </c>
      <c r="K377" s="21" t="s">
        <v>145</v>
      </c>
      <c r="L377" s="21" t="s">
        <v>203</v>
      </c>
      <c r="M377" s="21" t="s">
        <v>109</v>
      </c>
      <c r="N377" s="21" t="s">
        <v>109</v>
      </c>
      <c r="O377" s="20" t="s">
        <v>1472</v>
      </c>
      <c r="P377" s="45">
        <v>45750</v>
      </c>
      <c r="Q377" s="39" t="s">
        <v>1473</v>
      </c>
      <c r="R377" s="53">
        <v>6241.4</v>
      </c>
      <c r="S377" s="21">
        <v>0.2</v>
      </c>
      <c r="T377" s="21">
        <v>7489.6799999999994</v>
      </c>
      <c r="U377" s="60" t="s">
        <v>1474</v>
      </c>
      <c r="V377" s="22">
        <v>45757</v>
      </c>
      <c r="W377" s="54" t="s">
        <v>91</v>
      </c>
      <c r="X377" s="23"/>
      <c r="Y377" s="23" t="s">
        <v>92</v>
      </c>
      <c r="Z377" s="56" t="s">
        <v>1196</v>
      </c>
      <c r="AA377" s="24">
        <v>3009</v>
      </c>
      <c r="AB377" s="19"/>
      <c r="AC377" s="46" t="s">
        <v>94</v>
      </c>
      <c r="AD377" s="15" t="e">
        <f ca="1">IF(AND($D377&lt;&gt;"",COUNTIF(OFFSET(UFS!$E$2,MATCH($D377&amp;"",UFS!$A$2:$A$175,0)-1,0,COUNTIF(UFS!$A$2:$A$175,$D377&amp;""),1),M377)&gt;0),"Valide","Invalide")</f>
        <v>#N/A</v>
      </c>
      <c r="AH377" s="15" t="str">
        <f t="shared" si="5"/>
        <v>En attente</v>
      </c>
    </row>
    <row r="378" spans="1:34" s="15" customFormat="1" ht="45" hidden="1" customHeight="1" x14ac:dyDescent="0.3">
      <c r="A378" s="42">
        <v>378</v>
      </c>
      <c r="B378" s="19" t="s">
        <v>6</v>
      </c>
      <c r="C378" s="19" t="s">
        <v>21</v>
      </c>
      <c r="D378" s="20" t="s">
        <v>200</v>
      </c>
      <c r="E378" s="20" t="s">
        <v>79</v>
      </c>
      <c r="F378" s="21" t="s">
        <v>80</v>
      </c>
      <c r="G378" s="38" t="s">
        <v>533</v>
      </c>
      <c r="H378" s="39" t="s">
        <v>534</v>
      </c>
      <c r="I378" s="39" t="s">
        <v>535</v>
      </c>
      <c r="J378" s="21" t="s">
        <v>144</v>
      </c>
      <c r="K378" s="21" t="s">
        <v>145</v>
      </c>
      <c r="L378" s="21" t="s">
        <v>203</v>
      </c>
      <c r="M378" s="21" t="s">
        <v>109</v>
      </c>
      <c r="N378" s="21" t="s">
        <v>109</v>
      </c>
      <c r="O378" s="20" t="s">
        <v>1475</v>
      </c>
      <c r="P378" s="45">
        <v>45750</v>
      </c>
      <c r="Q378" s="39" t="s">
        <v>1476</v>
      </c>
      <c r="R378" s="53">
        <v>10565.37</v>
      </c>
      <c r="S378" s="21">
        <v>0.2</v>
      </c>
      <c r="T378" s="21">
        <v>12678.444000000001</v>
      </c>
      <c r="U378" s="60" t="s">
        <v>1477</v>
      </c>
      <c r="V378" s="22">
        <v>45757</v>
      </c>
      <c r="W378" s="54" t="s">
        <v>91</v>
      </c>
      <c r="X378" s="23"/>
      <c r="Y378" s="23" t="s">
        <v>92</v>
      </c>
      <c r="Z378" s="56" t="s">
        <v>1478</v>
      </c>
      <c r="AA378" s="24">
        <v>858438</v>
      </c>
      <c r="AB378" s="19"/>
      <c r="AC378" s="19"/>
      <c r="AD378" s="15" t="e">
        <f ca="1">IF(AND($D378&lt;&gt;"",COUNTIF(OFFSET(UFS!$E$2,MATCH($D378&amp;"",UFS!$A$2:$A$175,0)-1,0,COUNTIF(UFS!$A$2:$A$175,$D378&amp;""),1),M378)&gt;0),"Valide","Invalide")</f>
        <v>#N/A</v>
      </c>
      <c r="AH378" s="15" t="str">
        <f t="shared" si="5"/>
        <v>En attente</v>
      </c>
    </row>
    <row r="379" spans="1:34" s="15" customFormat="1" ht="45" hidden="1" customHeight="1" x14ac:dyDescent="0.3">
      <c r="A379" s="42">
        <v>379</v>
      </c>
      <c r="B379" s="19" t="s">
        <v>4</v>
      </c>
      <c r="C379" s="19" t="s">
        <v>17</v>
      </c>
      <c r="D379" s="20" t="s">
        <v>1479</v>
      </c>
      <c r="E379" s="20" t="s">
        <v>79</v>
      </c>
      <c r="F379" s="21" t="s">
        <v>80</v>
      </c>
      <c r="G379" s="38" t="s">
        <v>241</v>
      </c>
      <c r="H379" s="39" t="s">
        <v>252</v>
      </c>
      <c r="I379" s="39" t="s">
        <v>1480</v>
      </c>
      <c r="J379" s="21" t="s">
        <v>1118</v>
      </c>
      <c r="K379" s="21" t="s">
        <v>1481</v>
      </c>
      <c r="L379" s="21" t="s">
        <v>135</v>
      </c>
      <c r="M379" s="21" t="s">
        <v>1482</v>
      </c>
      <c r="N379" s="21" t="s">
        <v>151</v>
      </c>
      <c r="O379" s="20" t="s">
        <v>1483</v>
      </c>
      <c r="P379" s="45">
        <v>45755</v>
      </c>
      <c r="Q379" s="39" t="s">
        <v>1366</v>
      </c>
      <c r="R379" s="19">
        <v>1320.53</v>
      </c>
      <c r="S379" s="21">
        <v>0.2</v>
      </c>
      <c r="T379" s="21">
        <v>1584.636</v>
      </c>
      <c r="U379" s="60" t="s">
        <v>1484</v>
      </c>
      <c r="V379" s="22">
        <v>45757</v>
      </c>
      <c r="W379" s="54" t="s">
        <v>91</v>
      </c>
      <c r="X379" s="23"/>
      <c r="Y379" s="23" t="s">
        <v>92</v>
      </c>
      <c r="Z379" s="56" t="s">
        <v>446</v>
      </c>
      <c r="AA379" s="24">
        <v>851201</v>
      </c>
      <c r="AB379" s="19"/>
      <c r="AC379" s="19"/>
      <c r="AD379" s="15" t="str">
        <f ca="1">IF(AND($D379&lt;&gt;"",COUNTIF(OFFSET(UFS!$E$2,MATCH($D379&amp;"",UFS!$A$2:$A$175,0)-1,0,COUNTIF(UFS!$A$2:$A$175,$D379&amp;""),1),M379)&gt;0),"Valide","Invalide")</f>
        <v>Valide</v>
      </c>
      <c r="AH379" s="15" t="str">
        <f t="shared" si="5"/>
        <v>En attente</v>
      </c>
    </row>
    <row r="380" spans="1:34" s="15" customFormat="1" ht="45" hidden="1" customHeight="1" x14ac:dyDescent="0.3">
      <c r="A380" s="42">
        <v>380</v>
      </c>
      <c r="B380" s="19" t="s">
        <v>26</v>
      </c>
      <c r="C380" s="19" t="s">
        <v>30</v>
      </c>
      <c r="D380" s="20" t="s">
        <v>432</v>
      </c>
      <c r="E380" s="20" t="s">
        <v>79</v>
      </c>
      <c r="F380" s="21" t="s">
        <v>433</v>
      </c>
      <c r="G380" s="38" t="s">
        <v>182</v>
      </c>
      <c r="H380" s="39" t="s">
        <v>82</v>
      </c>
      <c r="I380" s="39" t="s">
        <v>83</v>
      </c>
      <c r="J380" s="21" t="s">
        <v>144</v>
      </c>
      <c r="K380" s="21" t="s">
        <v>145</v>
      </c>
      <c r="L380" s="21" t="s">
        <v>434</v>
      </c>
      <c r="M380" s="21" t="s">
        <v>435</v>
      </c>
      <c r="N380" s="21" t="s">
        <v>436</v>
      </c>
      <c r="O380" s="20" t="s">
        <v>1485</v>
      </c>
      <c r="P380" s="45">
        <v>45757</v>
      </c>
      <c r="Q380" s="39" t="s">
        <v>1486</v>
      </c>
      <c r="R380" s="19">
        <v>3003.57</v>
      </c>
      <c r="S380" s="21">
        <v>0.1</v>
      </c>
      <c r="T380" s="21">
        <v>3303.9270000000001</v>
      </c>
      <c r="U380" s="60" t="s">
        <v>1487</v>
      </c>
      <c r="V380" s="22">
        <v>45757</v>
      </c>
      <c r="W380" s="54" t="s">
        <v>91</v>
      </c>
      <c r="X380" s="23"/>
      <c r="Y380" s="23" t="s">
        <v>92</v>
      </c>
      <c r="Z380" s="56" t="s">
        <v>446</v>
      </c>
      <c r="AA380" s="24">
        <v>851215</v>
      </c>
      <c r="AB380" s="19"/>
      <c r="AC380" s="49" t="s">
        <v>161</v>
      </c>
      <c r="AD380" s="15" t="str">
        <f ca="1">IF(AND($D380&lt;&gt;"",COUNTIF(OFFSET(UFS!$E$2,MATCH($D380&amp;"",UFS!$A$2:$A$175,0)-1,0,COUNTIF(UFS!$A$2:$A$175,$D380&amp;""),1),M380)&gt;0),"Valide","Invalide")</f>
        <v>Valide</v>
      </c>
      <c r="AH380" s="15" t="str">
        <f t="shared" si="5"/>
        <v>En attente</v>
      </c>
    </row>
    <row r="381" spans="1:34" s="15" customFormat="1" ht="45" hidden="1" customHeight="1" x14ac:dyDescent="0.3">
      <c r="A381" s="42">
        <v>381</v>
      </c>
      <c r="B381" s="19" t="s">
        <v>24</v>
      </c>
      <c r="C381" s="19" t="s">
        <v>30</v>
      </c>
      <c r="D381" s="20" t="s">
        <v>174</v>
      </c>
      <c r="E381" s="20" t="s">
        <v>79</v>
      </c>
      <c r="F381" s="21" t="s">
        <v>80</v>
      </c>
      <c r="G381" s="38" t="s">
        <v>81</v>
      </c>
      <c r="H381" s="39" t="s">
        <v>82</v>
      </c>
      <c r="I381" s="39" t="s">
        <v>83</v>
      </c>
      <c r="J381" s="21" t="s">
        <v>124</v>
      </c>
      <c r="K381" s="21" t="s">
        <v>125</v>
      </c>
      <c r="L381" s="21" t="s">
        <v>177</v>
      </c>
      <c r="M381" s="21" t="s">
        <v>136</v>
      </c>
      <c r="N381" s="21" t="s">
        <v>102</v>
      </c>
      <c r="O381" s="20" t="s">
        <v>1488</v>
      </c>
      <c r="P381" s="45">
        <v>45733</v>
      </c>
      <c r="Q381" s="39" t="s">
        <v>1489</v>
      </c>
      <c r="R381" s="19">
        <v>4527.95</v>
      </c>
      <c r="S381" s="21">
        <v>0.1</v>
      </c>
      <c r="T381" s="21">
        <v>4980.7449999999999</v>
      </c>
      <c r="U381" s="60" t="s">
        <v>1490</v>
      </c>
      <c r="V381" s="22">
        <v>45757</v>
      </c>
      <c r="W381" s="54" t="s">
        <v>91</v>
      </c>
      <c r="X381" s="23"/>
      <c r="Y381" s="23" t="s">
        <v>92</v>
      </c>
      <c r="Z381" s="56" t="s">
        <v>446</v>
      </c>
      <c r="AA381" s="24">
        <v>851217</v>
      </c>
      <c r="AB381" s="47">
        <v>45791</v>
      </c>
      <c r="AC381" s="46" t="s">
        <v>94</v>
      </c>
      <c r="AD381" s="15" t="str">
        <f ca="1">IF(AND($D381&lt;&gt;"",COUNTIF(OFFSET(UFS!$E$2,MATCH($D381&amp;"",UFS!$A$2:$A$175,0)-1,0,COUNTIF(UFS!$A$2:$A$175,$D381&amp;""),1),M381)&gt;0),"Valide","Invalide")</f>
        <v>Valide</v>
      </c>
      <c r="AH381" s="15" t="str">
        <f t="shared" si="5"/>
        <v>En attente</v>
      </c>
    </row>
    <row r="382" spans="1:34" s="15" customFormat="1" ht="45" hidden="1" customHeight="1" x14ac:dyDescent="0.3">
      <c r="A382" s="42">
        <v>382</v>
      </c>
      <c r="B382" s="19" t="s">
        <v>6</v>
      </c>
      <c r="C382" s="19" t="s">
        <v>1357</v>
      </c>
      <c r="D382" s="20" t="s">
        <v>1358</v>
      </c>
      <c r="E382" s="20" t="s">
        <v>79</v>
      </c>
      <c r="F382" s="21" t="s">
        <v>80</v>
      </c>
      <c r="G382" s="38" t="s">
        <v>241</v>
      </c>
      <c r="H382" s="39" t="s">
        <v>381</v>
      </c>
      <c r="I382" s="39" t="s">
        <v>382</v>
      </c>
      <c r="J382" s="21" t="s">
        <v>98</v>
      </c>
      <c r="K382" s="21" t="s">
        <v>859</v>
      </c>
      <c r="L382" s="21" t="s">
        <v>100</v>
      </c>
      <c r="M382" s="21" t="s">
        <v>109</v>
      </c>
      <c r="N382" s="21" t="s">
        <v>109</v>
      </c>
      <c r="O382" s="20" t="s">
        <v>1491</v>
      </c>
      <c r="P382" s="45">
        <v>45748</v>
      </c>
      <c r="Q382" s="39" t="s">
        <v>1492</v>
      </c>
      <c r="R382" s="19">
        <v>27840</v>
      </c>
      <c r="S382" s="21">
        <v>0.2</v>
      </c>
      <c r="T382" s="21">
        <v>33408</v>
      </c>
      <c r="U382" s="60" t="s">
        <v>1493</v>
      </c>
      <c r="V382" s="22">
        <v>45758</v>
      </c>
      <c r="W382" s="54" t="s">
        <v>91</v>
      </c>
      <c r="X382" s="23"/>
      <c r="Y382" s="23" t="s">
        <v>92</v>
      </c>
      <c r="Z382" s="56" t="s">
        <v>446</v>
      </c>
      <c r="AA382" s="24">
        <v>851218</v>
      </c>
      <c r="AB382" s="19"/>
      <c r="AC382" s="19"/>
      <c r="AD382" s="15" t="str">
        <f ca="1">IF(AND($D382&lt;&gt;"",COUNTIF(OFFSET(UFS!$E$2,MATCH($D382&amp;"",UFS!$A$2:$A$175,0)-1,0,COUNTIF(UFS!$A$2:$A$175,$D382&amp;""),1),M382)&gt;0),"Valide","Invalide")</f>
        <v>Valide</v>
      </c>
      <c r="AH382" s="15" t="str">
        <f t="shared" si="5"/>
        <v>En attente</v>
      </c>
    </row>
    <row r="383" spans="1:34" s="15" customFormat="1" ht="45" hidden="1" customHeight="1" x14ac:dyDescent="0.3">
      <c r="A383" s="42">
        <v>383</v>
      </c>
      <c r="B383" s="19" t="s">
        <v>24</v>
      </c>
      <c r="C383" s="19" t="s">
        <v>11</v>
      </c>
      <c r="D383" s="20" t="s">
        <v>174</v>
      </c>
      <c r="E383" s="20" t="s">
        <v>96</v>
      </c>
      <c r="F383" s="21" t="s">
        <v>80</v>
      </c>
      <c r="G383" s="38" t="s">
        <v>169</v>
      </c>
      <c r="H383" s="39"/>
      <c r="I383" s="39" t="s">
        <v>176</v>
      </c>
      <c r="J383" s="21" t="s">
        <v>124</v>
      </c>
      <c r="K383" s="21" t="s">
        <v>125</v>
      </c>
      <c r="L383" s="21" t="s">
        <v>177</v>
      </c>
      <c r="M383" s="21" t="s">
        <v>136</v>
      </c>
      <c r="N383" s="21" t="s">
        <v>102</v>
      </c>
      <c r="O383" s="87">
        <v>124859</v>
      </c>
      <c r="P383" s="45">
        <v>45758</v>
      </c>
      <c r="Q383" s="39" t="s">
        <v>1494</v>
      </c>
      <c r="R383" s="19">
        <v>1776.19</v>
      </c>
      <c r="S383" s="21">
        <v>0.1</v>
      </c>
      <c r="T383" s="21">
        <v>1953.809</v>
      </c>
      <c r="U383" s="60" t="s">
        <v>180</v>
      </c>
      <c r="V383" s="22">
        <v>45758</v>
      </c>
      <c r="W383" s="54" t="s">
        <v>91</v>
      </c>
      <c r="X383" s="23"/>
      <c r="Y383" s="23" t="s">
        <v>92</v>
      </c>
      <c r="Z383" s="56" t="s">
        <v>446</v>
      </c>
      <c r="AA383" s="24">
        <v>850961</v>
      </c>
      <c r="AB383" s="47">
        <v>45770</v>
      </c>
      <c r="AC383" s="46" t="s">
        <v>94</v>
      </c>
      <c r="AD383" s="15" t="str">
        <f ca="1">IF(AND($D383&lt;&gt;"",COUNTIF(OFFSET(UFS!$E$2,MATCH($D383&amp;"",UFS!$A$2:$A$175,0)-1,0,COUNTIF(UFS!$A$2:$A$175,$D383&amp;""),1),M383)&gt;0),"Valide","Invalide")</f>
        <v>Valide</v>
      </c>
      <c r="AH383" s="15" t="str">
        <f t="shared" si="5"/>
        <v>En attente</v>
      </c>
    </row>
    <row r="384" spans="1:34" s="15" customFormat="1" ht="45" hidden="1" customHeight="1" x14ac:dyDescent="0.3">
      <c r="A384" s="42">
        <v>384</v>
      </c>
      <c r="B384" s="19" t="s">
        <v>16</v>
      </c>
      <c r="C384" s="19" t="s">
        <v>34</v>
      </c>
      <c r="D384" s="20" t="s">
        <v>473</v>
      </c>
      <c r="E384" s="20" t="s">
        <v>79</v>
      </c>
      <c r="F384" s="21" t="s">
        <v>80</v>
      </c>
      <c r="G384" s="38" t="s">
        <v>182</v>
      </c>
      <c r="H384" s="39" t="s">
        <v>267</v>
      </c>
      <c r="I384" s="39" t="s">
        <v>83</v>
      </c>
      <c r="J384" s="21" t="s">
        <v>268</v>
      </c>
      <c r="K384" s="21" t="s">
        <v>269</v>
      </c>
      <c r="L384" s="21" t="s">
        <v>270</v>
      </c>
      <c r="M384" s="21" t="s">
        <v>269</v>
      </c>
      <c r="N384" s="21" t="s">
        <v>87</v>
      </c>
      <c r="O384" s="90" t="s">
        <v>1495</v>
      </c>
      <c r="P384" s="45">
        <v>45758</v>
      </c>
      <c r="Q384" s="39" t="s">
        <v>1496</v>
      </c>
      <c r="R384" s="19">
        <v>4937.1099999999997</v>
      </c>
      <c r="S384" s="21">
        <v>0.2</v>
      </c>
      <c r="T384" s="21">
        <v>5924.5319999999992</v>
      </c>
      <c r="U384" s="60" t="s">
        <v>1497</v>
      </c>
      <c r="V384" s="22">
        <v>45761</v>
      </c>
      <c r="W384" s="54" t="s">
        <v>91</v>
      </c>
      <c r="X384" s="23"/>
      <c r="Y384" s="23" t="s">
        <v>92</v>
      </c>
      <c r="Z384" s="56" t="s">
        <v>1498</v>
      </c>
      <c r="AA384" s="24">
        <v>853369</v>
      </c>
      <c r="AB384" s="19"/>
      <c r="AC384" s="46" t="s">
        <v>94</v>
      </c>
      <c r="AD384" s="15" t="str">
        <f ca="1">IF(AND($D384&lt;&gt;"",COUNTIF(OFFSET(UFS!$E$2,MATCH($D384&amp;"",UFS!$A$2:$A$175,0)-1,0,COUNTIF(UFS!$A$2:$A$175,$D384&amp;""),1),M384)&gt;0),"Valide","Invalide")</f>
        <v>Valide</v>
      </c>
      <c r="AH384" s="15" t="str">
        <f t="shared" si="5"/>
        <v>En attente</v>
      </c>
    </row>
    <row r="385" spans="1:34" s="15" customFormat="1" ht="45" hidden="1" customHeight="1" x14ac:dyDescent="0.3">
      <c r="A385" s="42">
        <v>385</v>
      </c>
      <c r="B385" s="19" t="s">
        <v>26</v>
      </c>
      <c r="C385" s="19" t="s">
        <v>32</v>
      </c>
      <c r="D385" s="20" t="s">
        <v>810</v>
      </c>
      <c r="E385" s="20" t="s">
        <v>96</v>
      </c>
      <c r="F385" s="21" t="s">
        <v>80</v>
      </c>
      <c r="G385" s="38" t="s">
        <v>320</v>
      </c>
      <c r="H385" s="39"/>
      <c r="I385" s="39" t="s">
        <v>811</v>
      </c>
      <c r="J385" s="21" t="s">
        <v>144</v>
      </c>
      <c r="K385" s="21" t="s">
        <v>145</v>
      </c>
      <c r="L385" s="21" t="s">
        <v>146</v>
      </c>
      <c r="M385" s="21" t="s">
        <v>812</v>
      </c>
      <c r="N385" s="21" t="s">
        <v>813</v>
      </c>
      <c r="O385" s="20" t="s">
        <v>1499</v>
      </c>
      <c r="P385" s="45">
        <v>45754</v>
      </c>
      <c r="Q385" s="39" t="s">
        <v>1500</v>
      </c>
      <c r="R385" s="19">
        <v>852.58</v>
      </c>
      <c r="S385" s="21">
        <v>0.1</v>
      </c>
      <c r="T385" s="21">
        <v>937.83800000000008</v>
      </c>
      <c r="U385" s="44" t="s">
        <v>816</v>
      </c>
      <c r="V385" s="22">
        <v>45761</v>
      </c>
      <c r="W385" s="54" t="s">
        <v>91</v>
      </c>
      <c r="X385" s="23"/>
      <c r="Y385" s="23" t="s">
        <v>92</v>
      </c>
      <c r="Z385" s="140" t="s">
        <v>446</v>
      </c>
      <c r="AA385" s="24">
        <v>852957</v>
      </c>
      <c r="AB385" s="19"/>
      <c r="AC385" s="46" t="s">
        <v>94</v>
      </c>
      <c r="AD385" s="15" t="str">
        <f ca="1">IF(AND($D385&lt;&gt;"",COUNTIF(OFFSET(UFS!$E$2,MATCH($D385&amp;"",UFS!$A$2:$A$175,0)-1,0,COUNTIF(UFS!$A$2:$A$175,$D385&amp;""),1),M385)&gt;0),"Valide","Invalide")</f>
        <v>Valide</v>
      </c>
      <c r="AH385" s="15" t="str">
        <f t="shared" si="5"/>
        <v>En attente</v>
      </c>
    </row>
    <row r="386" spans="1:34" s="15" customFormat="1" ht="45" hidden="1" customHeight="1" x14ac:dyDescent="0.3">
      <c r="A386" s="42">
        <v>386</v>
      </c>
      <c r="B386" s="19" t="s">
        <v>4</v>
      </c>
      <c r="C386" s="19" t="s">
        <v>33</v>
      </c>
      <c r="D386" s="20" t="s">
        <v>106</v>
      </c>
      <c r="E386" s="20" t="s">
        <v>79</v>
      </c>
      <c r="F386" s="21" t="s">
        <v>80</v>
      </c>
      <c r="G386" s="38" t="s">
        <v>81</v>
      </c>
      <c r="H386" s="39" t="s">
        <v>234</v>
      </c>
      <c r="I386" s="39" t="s">
        <v>83</v>
      </c>
      <c r="J386" s="21" t="s">
        <v>98</v>
      </c>
      <c r="K386" s="21" t="s">
        <v>108</v>
      </c>
      <c r="L386" s="21" t="s">
        <v>100</v>
      </c>
      <c r="M386" s="21" t="s">
        <v>109</v>
      </c>
      <c r="N386" s="21" t="s">
        <v>109</v>
      </c>
      <c r="O386" s="20" t="s">
        <v>1501</v>
      </c>
      <c r="P386" s="45">
        <v>45761</v>
      </c>
      <c r="Q386" s="39" t="s">
        <v>1502</v>
      </c>
      <c r="R386" s="19">
        <v>291.72000000000003</v>
      </c>
      <c r="S386" s="21">
        <v>0.1</v>
      </c>
      <c r="T386" s="21">
        <v>320.89200000000005</v>
      </c>
      <c r="U386" s="44" t="s">
        <v>953</v>
      </c>
      <c r="V386" s="22">
        <v>45761</v>
      </c>
      <c r="W386" s="54" t="s">
        <v>91</v>
      </c>
      <c r="X386" s="23"/>
      <c r="Y386" s="23" t="s">
        <v>92</v>
      </c>
      <c r="Z386" s="56" t="s">
        <v>446</v>
      </c>
      <c r="AA386" s="24">
        <v>851219</v>
      </c>
      <c r="AB386" s="19"/>
      <c r="AC386" s="19"/>
      <c r="AD386" s="15" t="str">
        <f ca="1">IF(AND($D386&lt;&gt;"",COUNTIF(OFFSET(UFS!$E$2,MATCH($D386&amp;"",UFS!$A$2:$A$175,0)-1,0,COUNTIF(UFS!$A$2:$A$175,$D386&amp;""),1),M386)&gt;0),"Valide","Invalide")</f>
        <v>Valide</v>
      </c>
      <c r="AH386" s="15" t="str">
        <f t="shared" si="5"/>
        <v>En attente</v>
      </c>
    </row>
    <row r="387" spans="1:34" s="15" customFormat="1" ht="45" hidden="1" customHeight="1" x14ac:dyDescent="0.3">
      <c r="A387" s="42">
        <v>387</v>
      </c>
      <c r="B387" s="19" t="s">
        <v>6</v>
      </c>
      <c r="C387" s="19" t="s">
        <v>9</v>
      </c>
      <c r="D387" s="20" t="s">
        <v>587</v>
      </c>
      <c r="E387" s="20" t="s">
        <v>79</v>
      </c>
      <c r="F387" s="21" t="s">
        <v>80</v>
      </c>
      <c r="G387" s="38" t="s">
        <v>163</v>
      </c>
      <c r="H387" s="39" t="s">
        <v>1085</v>
      </c>
      <c r="I387" s="39"/>
      <c r="J387" s="21" t="s">
        <v>144</v>
      </c>
      <c r="K387" s="21" t="s">
        <v>145</v>
      </c>
      <c r="L387" s="21" t="s">
        <v>203</v>
      </c>
      <c r="M387" s="21" t="s">
        <v>589</v>
      </c>
      <c r="N387" s="21" t="s">
        <v>589</v>
      </c>
      <c r="O387" s="38" t="s">
        <v>1503</v>
      </c>
      <c r="P387" s="19"/>
      <c r="Q387" s="39" t="s">
        <v>1504</v>
      </c>
      <c r="R387" s="19">
        <v>53440.44</v>
      </c>
      <c r="S387" s="21">
        <v>0.2</v>
      </c>
      <c r="T387" s="21">
        <v>64128.528000000006</v>
      </c>
      <c r="U387" s="44" t="s">
        <v>1505</v>
      </c>
      <c r="V387" s="22">
        <v>45761</v>
      </c>
      <c r="W387" s="54" t="s">
        <v>91</v>
      </c>
      <c r="X387" s="23"/>
      <c r="Y387" s="23" t="s">
        <v>92</v>
      </c>
      <c r="Z387" s="56" t="s">
        <v>446</v>
      </c>
      <c r="AA387" s="24">
        <v>851465</v>
      </c>
      <c r="AB387" s="19"/>
      <c r="AC387" s="19"/>
      <c r="AD387" s="15" t="str">
        <f ca="1">IF(AND($D387&lt;&gt;"",COUNTIF(OFFSET(UFS!$E$2,MATCH($D387&amp;"",UFS!$A$2:$A$175,0)-1,0,COUNTIF(UFS!$A$2:$A$175,$D387&amp;""),1),M387)&gt;0),"Valide","Invalide")</f>
        <v>Valide</v>
      </c>
      <c r="AH387" s="15" t="str">
        <f t="shared" ref="AH387:AH450" si="6">IF(T387&lt;&gt;"","En attente","")</f>
        <v>En attente</v>
      </c>
    </row>
    <row r="388" spans="1:34" s="15" customFormat="1" ht="45" hidden="1" customHeight="1" x14ac:dyDescent="0.3">
      <c r="A388" s="42">
        <v>388</v>
      </c>
      <c r="B388" s="19" t="s">
        <v>0</v>
      </c>
      <c r="C388" s="19" t="s">
        <v>11</v>
      </c>
      <c r="D388" s="20" t="s">
        <v>432</v>
      </c>
      <c r="E388" s="20" t="s">
        <v>79</v>
      </c>
      <c r="F388" s="21" t="s">
        <v>433</v>
      </c>
      <c r="G388" s="38" t="s">
        <v>81</v>
      </c>
      <c r="H388" s="39" t="s">
        <v>82</v>
      </c>
      <c r="I388" s="39" t="s">
        <v>83</v>
      </c>
      <c r="J388" s="21" t="s">
        <v>144</v>
      </c>
      <c r="K388" s="21" t="s">
        <v>145</v>
      </c>
      <c r="L388" s="21" t="s">
        <v>434</v>
      </c>
      <c r="M388" s="21" t="s">
        <v>435</v>
      </c>
      <c r="N388" s="21" t="s">
        <v>436</v>
      </c>
      <c r="O388" s="20" t="s">
        <v>1506</v>
      </c>
      <c r="P388" s="45">
        <v>45758</v>
      </c>
      <c r="Q388" s="39" t="s">
        <v>1507</v>
      </c>
      <c r="R388" s="19">
        <v>347.04</v>
      </c>
      <c r="S388" s="21">
        <v>0.1</v>
      </c>
      <c r="T388" s="21">
        <v>381.74400000000003</v>
      </c>
      <c r="U388" s="60" t="s">
        <v>1508</v>
      </c>
      <c r="V388" s="22">
        <v>45762</v>
      </c>
      <c r="W388" s="54" t="s">
        <v>91</v>
      </c>
      <c r="X388" s="23"/>
      <c r="Y388" s="23" t="s">
        <v>92</v>
      </c>
      <c r="Z388" s="56" t="s">
        <v>446</v>
      </c>
      <c r="AA388" s="24">
        <v>851467</v>
      </c>
      <c r="AB388" s="19"/>
      <c r="AC388" s="19"/>
      <c r="AD388" s="15" t="str">
        <f ca="1">IF(AND($D388&lt;&gt;"",COUNTIF(OFFSET(UFS!$E$2,MATCH($D388&amp;"",UFS!$A$2:$A$175,0)-1,0,COUNTIF(UFS!$A$2:$A$175,$D388&amp;""),1),M388)&gt;0),"Valide","Invalide")</f>
        <v>Valide</v>
      </c>
      <c r="AH388" s="15" t="str">
        <f t="shared" si="6"/>
        <v>En attente</v>
      </c>
    </row>
    <row r="389" spans="1:34" s="15" customFormat="1" ht="45" hidden="1" customHeight="1" x14ac:dyDescent="0.3">
      <c r="A389" s="42">
        <v>389</v>
      </c>
      <c r="B389" s="19" t="s">
        <v>709</v>
      </c>
      <c r="C389" s="19" t="s">
        <v>23</v>
      </c>
      <c r="D389" s="20" t="s">
        <v>260</v>
      </c>
      <c r="E389" s="20" t="s">
        <v>79</v>
      </c>
      <c r="F389" s="21" t="s">
        <v>80</v>
      </c>
      <c r="G389" s="38" t="s">
        <v>241</v>
      </c>
      <c r="H389" s="39" t="s">
        <v>643</v>
      </c>
      <c r="I389" s="39" t="s">
        <v>644</v>
      </c>
      <c r="J389" s="21" t="s">
        <v>84</v>
      </c>
      <c r="K389" s="21" t="s">
        <v>113</v>
      </c>
      <c r="L389" s="21" t="s">
        <v>86</v>
      </c>
      <c r="M389" s="21" t="s">
        <v>109</v>
      </c>
      <c r="N389" s="21" t="s">
        <v>109</v>
      </c>
      <c r="O389" s="20" t="s">
        <v>1509</v>
      </c>
      <c r="P389" s="45">
        <v>45762</v>
      </c>
      <c r="Q389" s="39" t="s">
        <v>1510</v>
      </c>
      <c r="R389" s="19">
        <v>1290</v>
      </c>
      <c r="S389" s="21">
        <v>0.1</v>
      </c>
      <c r="T389" s="21">
        <v>1419</v>
      </c>
      <c r="U389" s="60" t="s">
        <v>714</v>
      </c>
      <c r="V389" s="22">
        <v>45762</v>
      </c>
      <c r="W389" s="54" t="s">
        <v>91</v>
      </c>
      <c r="X389" s="23"/>
      <c r="Y389" s="23" t="s">
        <v>92</v>
      </c>
      <c r="Z389" s="56" t="s">
        <v>446</v>
      </c>
      <c r="AA389" s="24">
        <v>851477</v>
      </c>
      <c r="AB389" s="19"/>
      <c r="AC389" s="19" t="s">
        <v>94</v>
      </c>
      <c r="AD389" s="15" t="str">
        <f ca="1">IF(AND($D389&lt;&gt;"",COUNTIF(OFFSET(UFS!$E$2,MATCH($D389&amp;"",UFS!$A$2:$A$175,0)-1,0,COUNTIF(UFS!$A$2:$A$175,$D389&amp;""),1),M389)&gt;0),"Valide","Invalide")</f>
        <v>Valide</v>
      </c>
      <c r="AH389" s="15" t="str">
        <f t="shared" si="6"/>
        <v>En attente</v>
      </c>
    </row>
    <row r="390" spans="1:34" s="15" customFormat="1" ht="45" hidden="1" customHeight="1" x14ac:dyDescent="0.3">
      <c r="A390" s="42">
        <v>390</v>
      </c>
      <c r="B390" s="19" t="s">
        <v>24</v>
      </c>
      <c r="C390" s="19" t="s">
        <v>28</v>
      </c>
      <c r="D390" s="20" t="s">
        <v>174</v>
      </c>
      <c r="E390" s="20" t="s">
        <v>96</v>
      </c>
      <c r="F390" s="21" t="s">
        <v>80</v>
      </c>
      <c r="G390" s="38" t="s">
        <v>294</v>
      </c>
      <c r="H390" s="39"/>
      <c r="I390" s="39" t="s">
        <v>176</v>
      </c>
      <c r="J390" s="21" t="s">
        <v>124</v>
      </c>
      <c r="K390" s="21" t="s">
        <v>125</v>
      </c>
      <c r="L390" s="21" t="s">
        <v>177</v>
      </c>
      <c r="M390" s="21" t="s">
        <v>136</v>
      </c>
      <c r="N390" s="21" t="s">
        <v>102</v>
      </c>
      <c r="O390" s="20" t="s">
        <v>1511</v>
      </c>
      <c r="P390" s="45">
        <v>45762</v>
      </c>
      <c r="Q390" s="39" t="s">
        <v>1512</v>
      </c>
      <c r="R390" s="19">
        <v>3327.26</v>
      </c>
      <c r="S390" s="21">
        <v>0.1</v>
      </c>
      <c r="T390" s="21">
        <v>3659.9860000000003</v>
      </c>
      <c r="U390" s="44" t="s">
        <v>180</v>
      </c>
      <c r="V390" s="22">
        <v>45763</v>
      </c>
      <c r="W390" s="54" t="s">
        <v>91</v>
      </c>
      <c r="X390" s="23"/>
      <c r="Y390" s="23" t="s">
        <v>92</v>
      </c>
      <c r="Z390" s="56" t="s">
        <v>446</v>
      </c>
      <c r="AA390" s="24">
        <v>851480</v>
      </c>
      <c r="AB390" s="47">
        <v>45770</v>
      </c>
      <c r="AC390" s="46" t="s">
        <v>94</v>
      </c>
      <c r="AD390" s="15" t="str">
        <f ca="1">IF(AND($D390&lt;&gt;"",COUNTIF(OFFSET(UFS!$E$2,MATCH($D390&amp;"",UFS!$A$2:$A$175,0)-1,0,COUNTIF(UFS!$A$2:$A$175,$D390&amp;""),1),M390)&gt;0),"Valide","Invalide")</f>
        <v>Valide</v>
      </c>
      <c r="AH390" s="15" t="str">
        <f t="shared" si="6"/>
        <v>En attente</v>
      </c>
    </row>
    <row r="391" spans="1:34" s="15" customFormat="1" ht="45" hidden="1" customHeight="1" x14ac:dyDescent="0.3">
      <c r="A391" s="42">
        <v>391</v>
      </c>
      <c r="B391" s="19" t="s">
        <v>26</v>
      </c>
      <c r="C391" s="19" t="s">
        <v>15</v>
      </c>
      <c r="D391" s="20" t="s">
        <v>1513</v>
      </c>
      <c r="E391" s="20" t="s">
        <v>79</v>
      </c>
      <c r="F391" s="21" t="s">
        <v>80</v>
      </c>
      <c r="G391" s="38" t="s">
        <v>182</v>
      </c>
      <c r="H391" s="39" t="s">
        <v>139</v>
      </c>
      <c r="I391" s="39" t="s">
        <v>83</v>
      </c>
      <c r="J391" s="21" t="s">
        <v>144</v>
      </c>
      <c r="K391" s="21" t="s">
        <v>145</v>
      </c>
      <c r="L391" s="21" t="s">
        <v>499</v>
      </c>
      <c r="M391" s="21" t="s">
        <v>1514</v>
      </c>
      <c r="N391" s="21" t="s">
        <v>529</v>
      </c>
      <c r="O391" s="20" t="s">
        <v>1515</v>
      </c>
      <c r="P391" s="45">
        <v>45734</v>
      </c>
      <c r="Q391" s="39" t="s">
        <v>1516</v>
      </c>
      <c r="R391" s="19">
        <v>4218.2700000000004</v>
      </c>
      <c r="S391" s="21">
        <v>0.1</v>
      </c>
      <c r="T391" s="21">
        <v>4640.0970000000007</v>
      </c>
      <c r="U391" s="60" t="s">
        <v>1517</v>
      </c>
      <c r="V391" s="22">
        <v>45763</v>
      </c>
      <c r="W391" s="54" t="s">
        <v>91</v>
      </c>
      <c r="X391" s="23"/>
      <c r="Y391" s="23" t="s">
        <v>92</v>
      </c>
      <c r="Z391" s="56" t="s">
        <v>446</v>
      </c>
      <c r="AA391" s="24">
        <v>851505</v>
      </c>
      <c r="AB391" s="19"/>
      <c r="AC391" s="19"/>
      <c r="AD391" s="15" t="str">
        <f ca="1">IF(AND($D391&lt;&gt;"",COUNTIF(OFFSET(UFS!$E$2,MATCH($D391&amp;"",UFS!$A$2:$A$175,0)-1,0,COUNTIF(UFS!$A$2:$A$175,$D391&amp;""),1),M391)&gt;0),"Valide","Invalide")</f>
        <v>Valide</v>
      </c>
      <c r="AH391" s="15" t="str">
        <f t="shared" si="6"/>
        <v>En attente</v>
      </c>
    </row>
    <row r="392" spans="1:34" s="15" customFormat="1" ht="45" hidden="1" customHeight="1" x14ac:dyDescent="0.3">
      <c r="A392" s="42">
        <v>392</v>
      </c>
      <c r="B392" s="19" t="s">
        <v>26</v>
      </c>
      <c r="C392" s="19" t="s">
        <v>30</v>
      </c>
      <c r="D392" s="20" t="s">
        <v>1513</v>
      </c>
      <c r="E392" s="20" t="s">
        <v>79</v>
      </c>
      <c r="F392" s="21" t="s">
        <v>80</v>
      </c>
      <c r="G392" s="38" t="s">
        <v>182</v>
      </c>
      <c r="H392" s="39" t="s">
        <v>82</v>
      </c>
      <c r="I392" s="39" t="s">
        <v>83</v>
      </c>
      <c r="J392" s="21" t="s">
        <v>144</v>
      </c>
      <c r="K392" s="21" t="s">
        <v>145</v>
      </c>
      <c r="L392" s="21" t="s">
        <v>499</v>
      </c>
      <c r="M392" s="21" t="s">
        <v>1514</v>
      </c>
      <c r="N392" s="21" t="s">
        <v>529</v>
      </c>
      <c r="O392" s="20" t="s">
        <v>1518</v>
      </c>
      <c r="P392" s="45">
        <v>45733</v>
      </c>
      <c r="Q392" s="39" t="s">
        <v>1516</v>
      </c>
      <c r="R392" s="19">
        <v>12591.75</v>
      </c>
      <c r="S392" s="21">
        <v>0.1</v>
      </c>
      <c r="T392" s="21">
        <v>13850.924999999999</v>
      </c>
      <c r="U392" s="60" t="s">
        <v>1519</v>
      </c>
      <c r="V392" s="22">
        <v>45763</v>
      </c>
      <c r="W392" s="54" t="s">
        <v>91</v>
      </c>
      <c r="X392" s="23"/>
      <c r="Y392" s="23" t="s">
        <v>92</v>
      </c>
      <c r="Z392" s="56" t="s">
        <v>446</v>
      </c>
      <c r="AA392" s="24">
        <v>851506</v>
      </c>
      <c r="AB392" s="19"/>
      <c r="AC392" s="46" t="s">
        <v>94</v>
      </c>
      <c r="AD392" s="15" t="str">
        <f ca="1">IF(AND($D392&lt;&gt;"",COUNTIF(OFFSET(UFS!$E$2,MATCH($D392&amp;"",UFS!$A$2:$A$175,0)-1,0,COUNTIF(UFS!$A$2:$A$175,$D392&amp;""),1),M392)&gt;0),"Valide","Invalide")</f>
        <v>Valide</v>
      </c>
      <c r="AH392" s="15" t="str">
        <f t="shared" si="6"/>
        <v>En attente</v>
      </c>
    </row>
    <row r="393" spans="1:34" s="15" customFormat="1" ht="45" hidden="1" customHeight="1" x14ac:dyDescent="0.3">
      <c r="A393" s="42">
        <v>393</v>
      </c>
      <c r="B393" s="19" t="s">
        <v>26</v>
      </c>
      <c r="C393" s="19" t="s">
        <v>11</v>
      </c>
      <c r="D393" s="20" t="s">
        <v>360</v>
      </c>
      <c r="E393" s="20" t="s">
        <v>79</v>
      </c>
      <c r="F393" s="21" t="s">
        <v>80</v>
      </c>
      <c r="G393" s="38" t="s">
        <v>182</v>
      </c>
      <c r="H393" s="39" t="s">
        <v>82</v>
      </c>
      <c r="I393" s="39" t="s">
        <v>83</v>
      </c>
      <c r="J393" s="21" t="s">
        <v>361</v>
      </c>
      <c r="K393" s="21" t="s">
        <v>362</v>
      </c>
      <c r="L393" s="21" t="s">
        <v>114</v>
      </c>
      <c r="M393" s="21" t="s">
        <v>363</v>
      </c>
      <c r="N393" s="21" t="s">
        <v>151</v>
      </c>
      <c r="O393" s="20" t="s">
        <v>1520</v>
      </c>
      <c r="P393" s="45">
        <v>45733</v>
      </c>
      <c r="Q393" s="39" t="s">
        <v>1521</v>
      </c>
      <c r="R393" s="19">
        <v>1174.3699999999999</v>
      </c>
      <c r="S393" s="21">
        <v>0.2</v>
      </c>
      <c r="T393" s="21">
        <v>1409.2439999999999</v>
      </c>
      <c r="U393" s="60" t="s">
        <v>1522</v>
      </c>
      <c r="V393" s="22">
        <v>45763</v>
      </c>
      <c r="W393" s="54" t="s">
        <v>91</v>
      </c>
      <c r="X393" s="23"/>
      <c r="Y393" s="23" t="s">
        <v>92</v>
      </c>
      <c r="Z393" s="56" t="s">
        <v>446</v>
      </c>
      <c r="AA393" s="24">
        <v>851638</v>
      </c>
      <c r="AB393" s="47">
        <v>45938</v>
      </c>
      <c r="AC393" s="46" t="s">
        <v>94</v>
      </c>
      <c r="AD393" s="15" t="str">
        <f ca="1">IF(AND($D393&lt;&gt;"",COUNTIF(OFFSET(UFS!$E$2,MATCH($D393&amp;"",UFS!$A$2:$A$175,0)-1,0,COUNTIF(UFS!$A$2:$A$175,$D393&amp;""),1),M393)&gt;0),"Valide","Invalide")</f>
        <v>Valide</v>
      </c>
      <c r="AH393" s="15" t="str">
        <f t="shared" si="6"/>
        <v>En attente</v>
      </c>
    </row>
    <row r="394" spans="1:34" s="15" customFormat="1" ht="45" hidden="1" customHeight="1" x14ac:dyDescent="0.3">
      <c r="A394" s="42">
        <v>394</v>
      </c>
      <c r="B394" s="19" t="s">
        <v>26</v>
      </c>
      <c r="C394" s="19" t="s">
        <v>15</v>
      </c>
      <c r="D394" s="20" t="s">
        <v>1523</v>
      </c>
      <c r="E394" s="20" t="s">
        <v>79</v>
      </c>
      <c r="F394" s="21" t="s">
        <v>80</v>
      </c>
      <c r="G394" s="38" t="s">
        <v>182</v>
      </c>
      <c r="H394" s="39" t="s">
        <v>139</v>
      </c>
      <c r="I394" s="39" t="s">
        <v>83</v>
      </c>
      <c r="J394" s="21" t="s">
        <v>144</v>
      </c>
      <c r="K394" s="21" t="s">
        <v>145</v>
      </c>
      <c r="L394" s="21" t="s">
        <v>120</v>
      </c>
      <c r="M394" s="21" t="s">
        <v>164</v>
      </c>
      <c r="N394" s="21" t="s">
        <v>1524</v>
      </c>
      <c r="O394" s="20" t="s">
        <v>1525</v>
      </c>
      <c r="P394" s="45">
        <v>45727</v>
      </c>
      <c r="Q394" s="39" t="s">
        <v>1526</v>
      </c>
      <c r="R394" s="19">
        <v>4915.32</v>
      </c>
      <c r="S394" s="21">
        <v>0.1</v>
      </c>
      <c r="T394" s="21">
        <v>5406.8519999999999</v>
      </c>
      <c r="U394" s="44" t="s">
        <v>1527</v>
      </c>
      <c r="V394" s="22">
        <v>45763</v>
      </c>
      <c r="W394" s="54" t="s">
        <v>91</v>
      </c>
      <c r="X394" s="23"/>
      <c r="Y394" s="23" t="s">
        <v>376</v>
      </c>
      <c r="Z394" s="56" t="s">
        <v>1528</v>
      </c>
      <c r="AA394" s="24"/>
      <c r="AB394" s="19"/>
      <c r="AC394" s="19"/>
      <c r="AD394" s="15" t="str">
        <f ca="1">IF(AND($D394&lt;&gt;"",COUNTIF(OFFSET(UFS!$E$2,MATCH($D394&amp;"",UFS!$A$2:$A$175,0)-1,0,COUNTIF(UFS!$A$2:$A$175,$D394&amp;""),1),M394)&gt;0),"Valide","Invalide")</f>
        <v>Valide</v>
      </c>
      <c r="AH394" s="15" t="str">
        <f t="shared" si="6"/>
        <v>En attente</v>
      </c>
    </row>
    <row r="395" spans="1:34" s="15" customFormat="1" ht="45" hidden="1" customHeight="1" x14ac:dyDescent="0.3">
      <c r="A395" s="42">
        <v>395</v>
      </c>
      <c r="B395" s="19" t="s">
        <v>26</v>
      </c>
      <c r="C395" s="19" t="s">
        <v>30</v>
      </c>
      <c r="D395" s="20" t="s">
        <v>1523</v>
      </c>
      <c r="E395" s="20" t="s">
        <v>79</v>
      </c>
      <c r="F395" s="21" t="s">
        <v>80</v>
      </c>
      <c r="G395" s="38" t="s">
        <v>182</v>
      </c>
      <c r="H395" s="39" t="s">
        <v>82</v>
      </c>
      <c r="I395" s="39" t="s">
        <v>83</v>
      </c>
      <c r="J395" s="21" t="s">
        <v>144</v>
      </c>
      <c r="K395" s="21" t="s">
        <v>145</v>
      </c>
      <c r="L395" s="21" t="s">
        <v>120</v>
      </c>
      <c r="M395" s="21" t="s">
        <v>164</v>
      </c>
      <c r="N395" s="21" t="s">
        <v>1524</v>
      </c>
      <c r="O395" s="20" t="s">
        <v>1529</v>
      </c>
      <c r="P395" s="45">
        <v>45733</v>
      </c>
      <c r="Q395" s="39" t="s">
        <v>1526</v>
      </c>
      <c r="R395" s="19">
        <v>25469.19</v>
      </c>
      <c r="S395" s="21">
        <v>0.1</v>
      </c>
      <c r="T395" s="21">
        <v>28016.109</v>
      </c>
      <c r="U395" s="44" t="s">
        <v>1530</v>
      </c>
      <c r="V395" s="22">
        <v>45763</v>
      </c>
      <c r="W395" s="54" t="s">
        <v>91</v>
      </c>
      <c r="X395" s="23"/>
      <c r="Y395" s="23" t="s">
        <v>376</v>
      </c>
      <c r="Z395" s="56" t="s">
        <v>1531</v>
      </c>
      <c r="AA395" s="24"/>
      <c r="AB395" s="19"/>
      <c r="AC395" s="19"/>
      <c r="AD395" s="15" t="str">
        <f ca="1">IF(AND($D395&lt;&gt;"",COUNTIF(OFFSET(UFS!$E$2,MATCH($D395&amp;"",UFS!$A$2:$A$175,0)-1,0,COUNTIF(UFS!$A$2:$A$175,$D395&amp;""),1),M395)&gt;0),"Valide","Invalide")</f>
        <v>Valide</v>
      </c>
      <c r="AH395" s="15" t="str">
        <f t="shared" si="6"/>
        <v>En attente</v>
      </c>
    </row>
    <row r="396" spans="1:34" s="15" customFormat="1" ht="45" hidden="1" customHeight="1" x14ac:dyDescent="0.3">
      <c r="A396" s="42">
        <v>396</v>
      </c>
      <c r="B396" s="19" t="s">
        <v>16</v>
      </c>
      <c r="C396" s="19" t="s">
        <v>28</v>
      </c>
      <c r="D396" s="20" t="s">
        <v>810</v>
      </c>
      <c r="E396" s="20" t="s">
        <v>79</v>
      </c>
      <c r="F396" s="21" t="s">
        <v>80</v>
      </c>
      <c r="G396" s="38" t="s">
        <v>81</v>
      </c>
      <c r="H396" s="39" t="s">
        <v>82</v>
      </c>
      <c r="I396" s="39" t="s">
        <v>83</v>
      </c>
      <c r="J396" s="21" t="s">
        <v>144</v>
      </c>
      <c r="K396" s="21" t="s">
        <v>145</v>
      </c>
      <c r="L396" s="21" t="s">
        <v>146</v>
      </c>
      <c r="M396" s="21" t="s">
        <v>812</v>
      </c>
      <c r="N396" s="21" t="s">
        <v>813</v>
      </c>
      <c r="O396" s="20" t="s">
        <v>1532</v>
      </c>
      <c r="P396" s="45">
        <v>45764</v>
      </c>
      <c r="Q396" s="39" t="s">
        <v>1533</v>
      </c>
      <c r="R396" s="19">
        <v>6197.59</v>
      </c>
      <c r="S396" s="21">
        <v>0.1</v>
      </c>
      <c r="T396" s="21">
        <v>6817.3490000000002</v>
      </c>
      <c r="U396" s="44" t="s">
        <v>1534</v>
      </c>
      <c r="V396" s="22">
        <v>45764</v>
      </c>
      <c r="W396" s="54" t="s">
        <v>91</v>
      </c>
      <c r="X396" s="23"/>
      <c r="Y396" s="23" t="s">
        <v>92</v>
      </c>
      <c r="Z396" s="56" t="s">
        <v>446</v>
      </c>
      <c r="AA396" s="24">
        <v>851952</v>
      </c>
      <c r="AB396" s="19"/>
      <c r="AC396" s="46" t="s">
        <v>94</v>
      </c>
      <c r="AD396" s="15" t="str">
        <f ca="1">IF(AND($D396&lt;&gt;"",COUNTIF(OFFSET(UFS!$E$2,MATCH($D396&amp;"",UFS!$A$2:$A$175,0)-1,0,COUNTIF(UFS!$A$2:$A$175,$D396&amp;""),1),M396)&gt;0),"Valide","Invalide")</f>
        <v>Valide</v>
      </c>
      <c r="AH396" s="15" t="str">
        <f t="shared" si="6"/>
        <v>En attente</v>
      </c>
    </row>
    <row r="397" spans="1:34" s="15" customFormat="1" ht="45" hidden="1" customHeight="1" x14ac:dyDescent="0.3">
      <c r="A397" s="42">
        <v>397</v>
      </c>
      <c r="B397" s="19" t="s">
        <v>16</v>
      </c>
      <c r="C397" s="19" t="s">
        <v>1535</v>
      </c>
      <c r="D397" s="20" t="s">
        <v>251</v>
      </c>
      <c r="E397" s="20" t="s">
        <v>96</v>
      </c>
      <c r="F397" s="21" t="s">
        <v>80</v>
      </c>
      <c r="G397" s="38" t="s">
        <v>169</v>
      </c>
      <c r="H397" s="39"/>
      <c r="I397" s="39" t="s">
        <v>1536</v>
      </c>
      <c r="J397" s="21" t="s">
        <v>144</v>
      </c>
      <c r="K397" s="21" t="s">
        <v>145</v>
      </c>
      <c r="L397" s="21" t="s">
        <v>254</v>
      </c>
      <c r="M397" s="21" t="s">
        <v>255</v>
      </c>
      <c r="N397" s="21" t="s">
        <v>256</v>
      </c>
      <c r="O397" s="20" t="s">
        <v>1537</v>
      </c>
      <c r="P397" s="45">
        <v>45765</v>
      </c>
      <c r="Q397" s="39" t="s">
        <v>1538</v>
      </c>
      <c r="R397" s="19">
        <v>11812.78</v>
      </c>
      <c r="S397" s="21">
        <v>0.2</v>
      </c>
      <c r="T397" s="21">
        <v>14175.336000000001</v>
      </c>
      <c r="U397" s="44" t="s">
        <v>1539</v>
      </c>
      <c r="V397" s="22">
        <v>45765</v>
      </c>
      <c r="W397" s="54" t="s">
        <v>91</v>
      </c>
      <c r="X397" s="23"/>
      <c r="Y397" s="23" t="s">
        <v>92</v>
      </c>
      <c r="Z397" s="56" t="s">
        <v>1540</v>
      </c>
      <c r="AA397" s="24">
        <v>852496</v>
      </c>
      <c r="AB397" s="47" t="s">
        <v>1541</v>
      </c>
      <c r="AC397" s="46" t="s">
        <v>94</v>
      </c>
      <c r="AD397" s="15" t="str">
        <f ca="1">IF(AND($D397&lt;&gt;"",COUNTIF(OFFSET(UFS!$E$2,MATCH($D397&amp;"",UFS!$A$2:$A$175,0)-1,0,COUNTIF(UFS!$A$2:$A$175,$D397&amp;""),1),M397)&gt;0),"Valide","Invalide")</f>
        <v>Valide</v>
      </c>
      <c r="AH397" s="15" t="str">
        <f t="shared" si="6"/>
        <v>En attente</v>
      </c>
    </row>
    <row r="398" spans="1:34" s="15" customFormat="1" ht="45" hidden="1" customHeight="1" x14ac:dyDescent="0.3">
      <c r="A398" s="42">
        <v>398</v>
      </c>
      <c r="B398" s="19" t="s">
        <v>2</v>
      </c>
      <c r="C398" s="19" t="s">
        <v>1542</v>
      </c>
      <c r="D398" s="20" t="s">
        <v>200</v>
      </c>
      <c r="E398" s="20" t="s">
        <v>79</v>
      </c>
      <c r="F398" s="21" t="s">
        <v>80</v>
      </c>
      <c r="G398" s="38" t="s">
        <v>1169</v>
      </c>
      <c r="H398" s="39"/>
      <c r="I398" s="39"/>
      <c r="J398" s="21" t="s">
        <v>144</v>
      </c>
      <c r="K398" s="21" t="s">
        <v>145</v>
      </c>
      <c r="L398" s="21" t="s">
        <v>203</v>
      </c>
      <c r="M398" s="21" t="s">
        <v>109</v>
      </c>
      <c r="N398" s="21" t="s">
        <v>109</v>
      </c>
      <c r="O398" s="20" t="s">
        <v>1543</v>
      </c>
      <c r="P398" s="45">
        <v>45751</v>
      </c>
      <c r="Q398" s="39" t="s">
        <v>1544</v>
      </c>
      <c r="R398" s="19">
        <v>890</v>
      </c>
      <c r="S398" s="21">
        <v>0.2</v>
      </c>
      <c r="T398" s="21">
        <v>1068</v>
      </c>
      <c r="U398" s="60" t="s">
        <v>1545</v>
      </c>
      <c r="V398" s="22">
        <v>45765</v>
      </c>
      <c r="W398" s="54" t="s">
        <v>91</v>
      </c>
      <c r="X398" s="23"/>
      <c r="Y398" s="23" t="s">
        <v>92</v>
      </c>
      <c r="Z398" s="56" t="s">
        <v>446</v>
      </c>
      <c r="AA398" s="24">
        <v>851831</v>
      </c>
      <c r="AB398" s="19"/>
      <c r="AC398" s="19"/>
      <c r="AD398" s="15" t="e">
        <f ca="1">IF(AND($D398&lt;&gt;"",COUNTIF(OFFSET(UFS!$E$2,MATCH($D398&amp;"",UFS!$A$2:$A$175,0)-1,0,COUNTIF(UFS!$A$2:$A$175,$D398&amp;""),1),M398)&gt;0),"Valide","Invalide")</f>
        <v>#N/A</v>
      </c>
      <c r="AH398" s="15" t="str">
        <f t="shared" si="6"/>
        <v>En attente</v>
      </c>
    </row>
    <row r="399" spans="1:34" s="15" customFormat="1" ht="45" hidden="1" customHeight="1" x14ac:dyDescent="0.3">
      <c r="A399" s="42">
        <v>399</v>
      </c>
      <c r="B399" s="19" t="s">
        <v>0</v>
      </c>
      <c r="C399" s="19" t="s">
        <v>1</v>
      </c>
      <c r="D399" s="20" t="s">
        <v>1546</v>
      </c>
      <c r="E399" s="20" t="s">
        <v>79</v>
      </c>
      <c r="F399" s="21" t="s">
        <v>80</v>
      </c>
      <c r="G399" s="38" t="s">
        <v>81</v>
      </c>
      <c r="H399" s="39" t="s">
        <v>82</v>
      </c>
      <c r="I399" s="39" t="s">
        <v>83</v>
      </c>
      <c r="J399" s="21" t="s">
        <v>144</v>
      </c>
      <c r="K399" s="21" t="s">
        <v>145</v>
      </c>
      <c r="L399" s="21" t="s">
        <v>146</v>
      </c>
      <c r="M399" s="21" t="s">
        <v>146</v>
      </c>
      <c r="N399" s="21" t="s">
        <v>1547</v>
      </c>
      <c r="O399" s="20" t="s">
        <v>1548</v>
      </c>
      <c r="P399" s="45">
        <v>45764</v>
      </c>
      <c r="Q399" s="39" t="s">
        <v>1549</v>
      </c>
      <c r="R399" s="19">
        <v>189.34</v>
      </c>
      <c r="S399" s="21">
        <v>0.2</v>
      </c>
      <c r="T399" s="21">
        <v>227.208</v>
      </c>
      <c r="U399" s="60" t="s">
        <v>1550</v>
      </c>
      <c r="V399" s="22">
        <v>45765</v>
      </c>
      <c r="W399" s="54" t="s">
        <v>91</v>
      </c>
      <c r="X399" s="23"/>
      <c r="Y399" s="23" t="s">
        <v>92</v>
      </c>
      <c r="Z399" s="56" t="s">
        <v>446</v>
      </c>
      <c r="AA399" s="24">
        <v>851528</v>
      </c>
      <c r="AB399" s="19"/>
      <c r="AC399" s="19"/>
      <c r="AD399" s="15" t="str">
        <f ca="1">IF(AND($D399&lt;&gt;"",COUNTIF(OFFSET(UFS!$E$2,MATCH($D399&amp;"",UFS!$A$2:$A$175,0)-1,0,COUNTIF(UFS!$A$2:$A$175,$D399&amp;""),1),M399)&gt;0),"Valide","Invalide")</f>
        <v>Valide</v>
      </c>
      <c r="AH399" s="15" t="str">
        <f t="shared" si="6"/>
        <v>En attente</v>
      </c>
    </row>
    <row r="400" spans="1:34" s="15" customFormat="1" ht="45" hidden="1" customHeight="1" x14ac:dyDescent="0.3">
      <c r="A400" s="42">
        <v>400</v>
      </c>
      <c r="B400" s="19" t="s">
        <v>4</v>
      </c>
      <c r="C400" s="19" t="s">
        <v>33</v>
      </c>
      <c r="D400" s="20" t="s">
        <v>360</v>
      </c>
      <c r="E400" s="20" t="s">
        <v>79</v>
      </c>
      <c r="F400" s="21" t="s">
        <v>80</v>
      </c>
      <c r="G400" s="38" t="s">
        <v>81</v>
      </c>
      <c r="H400" s="39" t="s">
        <v>234</v>
      </c>
      <c r="I400" s="39" t="s">
        <v>83</v>
      </c>
      <c r="J400" s="21" t="s">
        <v>361</v>
      </c>
      <c r="K400" s="21" t="s">
        <v>362</v>
      </c>
      <c r="L400" s="21" t="s">
        <v>114</v>
      </c>
      <c r="M400" s="21" t="s">
        <v>363</v>
      </c>
      <c r="N400" s="21" t="s">
        <v>151</v>
      </c>
      <c r="O400" s="20" t="s">
        <v>1551</v>
      </c>
      <c r="P400" s="45">
        <v>45765</v>
      </c>
      <c r="Q400" s="39" t="s">
        <v>1552</v>
      </c>
      <c r="R400" s="19">
        <v>491.92</v>
      </c>
      <c r="S400" s="21">
        <v>0.2</v>
      </c>
      <c r="T400" s="21">
        <v>590.30399999999997</v>
      </c>
      <c r="U400" s="44" t="s">
        <v>953</v>
      </c>
      <c r="V400" s="22">
        <v>45769</v>
      </c>
      <c r="W400" s="54" t="s">
        <v>91</v>
      </c>
      <c r="X400" s="23"/>
      <c r="Y400" s="23" t="s">
        <v>92</v>
      </c>
      <c r="Z400" s="56" t="s">
        <v>446</v>
      </c>
      <c r="AA400" s="24">
        <v>851648</v>
      </c>
      <c r="AB400" s="19"/>
      <c r="AC400" s="19"/>
      <c r="AD400" s="15" t="str">
        <f ca="1">IF(AND($D400&lt;&gt;"",COUNTIF(OFFSET(UFS!$E$2,MATCH($D400&amp;"",UFS!$A$2:$A$175,0)-1,0,COUNTIF(UFS!$A$2:$A$175,$D400&amp;""),1),M400)&gt;0),"Valide","Invalide")</f>
        <v>Valide</v>
      </c>
      <c r="AH400" s="15" t="str">
        <f t="shared" si="6"/>
        <v>En attente</v>
      </c>
    </row>
    <row r="401" spans="1:34" s="15" customFormat="1" ht="45" hidden="1" customHeight="1" x14ac:dyDescent="0.3">
      <c r="A401" s="42">
        <v>401</v>
      </c>
      <c r="B401" s="19" t="s">
        <v>20</v>
      </c>
      <c r="C401" s="19" t="s">
        <v>1</v>
      </c>
      <c r="D401" s="20" t="s">
        <v>628</v>
      </c>
      <c r="E401" s="20" t="s">
        <v>79</v>
      </c>
      <c r="F401" s="21" t="s">
        <v>80</v>
      </c>
      <c r="G401" s="38" t="s">
        <v>81</v>
      </c>
      <c r="H401" s="39" t="s">
        <v>82</v>
      </c>
      <c r="I401" s="39" t="s">
        <v>83</v>
      </c>
      <c r="J401" s="21" t="s">
        <v>124</v>
      </c>
      <c r="K401" s="21" t="s">
        <v>125</v>
      </c>
      <c r="L401" s="21" t="s">
        <v>629</v>
      </c>
      <c r="M401" s="21" t="s">
        <v>136</v>
      </c>
      <c r="N401" s="21" t="s">
        <v>102</v>
      </c>
      <c r="O401" s="20" t="s">
        <v>1553</v>
      </c>
      <c r="P401" s="45">
        <v>45757</v>
      </c>
      <c r="Q401" s="39" t="s">
        <v>1554</v>
      </c>
      <c r="R401" s="19">
        <v>184.83</v>
      </c>
      <c r="S401" s="21">
        <v>0.1</v>
      </c>
      <c r="T401" s="21">
        <v>203.31300000000002</v>
      </c>
      <c r="U401" s="44" t="s">
        <v>1555</v>
      </c>
      <c r="V401" s="22">
        <v>45769</v>
      </c>
      <c r="W401" s="54" t="s">
        <v>91</v>
      </c>
      <c r="X401" s="23"/>
      <c r="Y401" s="23" t="s">
        <v>92</v>
      </c>
      <c r="Z401" s="56" t="s">
        <v>446</v>
      </c>
      <c r="AA401" s="24">
        <v>851649</v>
      </c>
      <c r="AB401" s="19"/>
      <c r="AC401" s="46" t="s">
        <v>94</v>
      </c>
      <c r="AD401" s="15" t="str">
        <f ca="1">IF(AND($D401&lt;&gt;"",COUNTIF(OFFSET(UFS!$E$2,MATCH($D401&amp;"",UFS!$A$2:$A$175,0)-1,0,COUNTIF(UFS!$A$2:$A$175,$D401&amp;""),1),M401)&gt;0),"Valide","Invalide")</f>
        <v>Valide</v>
      </c>
      <c r="AH401" s="15" t="str">
        <f t="shared" si="6"/>
        <v>En attente</v>
      </c>
    </row>
    <row r="402" spans="1:34" s="15" customFormat="1" ht="45" hidden="1" customHeight="1" x14ac:dyDescent="0.3">
      <c r="A402" s="42">
        <v>402</v>
      </c>
      <c r="B402" s="19" t="s">
        <v>20</v>
      </c>
      <c r="C402" s="19" t="s">
        <v>1</v>
      </c>
      <c r="D402" s="20" t="s">
        <v>872</v>
      </c>
      <c r="E402" s="20" t="s">
        <v>79</v>
      </c>
      <c r="F402" s="21" t="s">
        <v>80</v>
      </c>
      <c r="G402" s="38" t="s">
        <v>81</v>
      </c>
      <c r="H402" s="39" t="s">
        <v>82</v>
      </c>
      <c r="I402" s="39" t="s">
        <v>83</v>
      </c>
      <c r="J402" s="21" t="s">
        <v>124</v>
      </c>
      <c r="K402" s="21" t="s">
        <v>235</v>
      </c>
      <c r="L402" s="21" t="s">
        <v>246</v>
      </c>
      <c r="M402" s="21" t="s">
        <v>284</v>
      </c>
      <c r="N402" s="21" t="s">
        <v>873</v>
      </c>
      <c r="O402" s="20" t="s">
        <v>1556</v>
      </c>
      <c r="P402" s="45">
        <v>45757</v>
      </c>
      <c r="Q402" s="39" t="s">
        <v>1557</v>
      </c>
      <c r="R402" s="19">
        <v>1601.24</v>
      </c>
      <c r="S402" s="21">
        <v>0.2</v>
      </c>
      <c r="T402" s="21">
        <v>1921.4880000000001</v>
      </c>
      <c r="U402" s="44" t="s">
        <v>439</v>
      </c>
      <c r="V402" s="22">
        <v>45769</v>
      </c>
      <c r="W402" s="54" t="s">
        <v>91</v>
      </c>
      <c r="X402" s="23"/>
      <c r="Y402" s="23" t="s">
        <v>92</v>
      </c>
      <c r="Z402" s="56" t="s">
        <v>446</v>
      </c>
      <c r="AA402" s="24">
        <v>851652</v>
      </c>
      <c r="AB402" s="19"/>
      <c r="AC402" s="46" t="s">
        <v>94</v>
      </c>
      <c r="AD402" s="15" t="str">
        <f ca="1">IF(AND($D402&lt;&gt;"",COUNTIF(OFFSET(UFS!$E$2,MATCH($D402&amp;"",UFS!$A$2:$A$175,0)-1,0,COUNTIF(UFS!$A$2:$A$175,$D402&amp;""),1),M402)&gt;0),"Valide","Invalide")</f>
        <v>Valide</v>
      </c>
      <c r="AH402" s="15" t="str">
        <f t="shared" si="6"/>
        <v>En attente</v>
      </c>
    </row>
    <row r="403" spans="1:34" s="15" customFormat="1" ht="45" hidden="1" customHeight="1" x14ac:dyDescent="0.3">
      <c r="A403" s="42">
        <v>403</v>
      </c>
      <c r="B403" s="19" t="s">
        <v>20</v>
      </c>
      <c r="C403" s="19" t="s">
        <v>1</v>
      </c>
      <c r="D403" s="20" t="s">
        <v>628</v>
      </c>
      <c r="E403" s="20" t="s">
        <v>79</v>
      </c>
      <c r="F403" s="21" t="s">
        <v>80</v>
      </c>
      <c r="G403" s="38" t="s">
        <v>81</v>
      </c>
      <c r="H403" s="39" t="s">
        <v>82</v>
      </c>
      <c r="I403" s="39" t="s">
        <v>83</v>
      </c>
      <c r="J403" s="21" t="s">
        <v>124</v>
      </c>
      <c r="K403" s="21" t="s">
        <v>125</v>
      </c>
      <c r="L403" s="21" t="s">
        <v>629</v>
      </c>
      <c r="M403" s="21" t="s">
        <v>136</v>
      </c>
      <c r="N403" s="21" t="s">
        <v>102</v>
      </c>
      <c r="O403" s="20" t="s">
        <v>1558</v>
      </c>
      <c r="P403" s="45">
        <v>45765</v>
      </c>
      <c r="Q403" s="39" t="s">
        <v>1559</v>
      </c>
      <c r="R403" s="19">
        <v>184.83</v>
      </c>
      <c r="S403" s="21">
        <v>0.1</v>
      </c>
      <c r="T403" s="21">
        <v>203.31300000000002</v>
      </c>
      <c r="U403" s="44" t="s">
        <v>1560</v>
      </c>
      <c r="V403" s="22">
        <v>45769</v>
      </c>
      <c r="W403" s="54" t="s">
        <v>91</v>
      </c>
      <c r="X403" s="23"/>
      <c r="Y403" s="23" t="s">
        <v>92</v>
      </c>
      <c r="Z403" s="56" t="s">
        <v>446</v>
      </c>
      <c r="AA403" s="24">
        <v>851654</v>
      </c>
      <c r="AB403" s="19"/>
      <c r="AC403" s="46" t="s">
        <v>94</v>
      </c>
      <c r="AD403" s="15" t="str">
        <f ca="1">IF(AND($D403&lt;&gt;"",COUNTIF(OFFSET(UFS!$E$2,MATCH($D403&amp;"",UFS!$A$2:$A$175,0)-1,0,COUNTIF(UFS!$A$2:$A$175,$D403&amp;""),1),M403)&gt;0),"Valide","Invalide")</f>
        <v>Valide</v>
      </c>
      <c r="AH403" s="15" t="str">
        <f t="shared" si="6"/>
        <v>En attente</v>
      </c>
    </row>
    <row r="404" spans="1:34" s="15" customFormat="1" ht="45" hidden="1" customHeight="1" x14ac:dyDescent="0.3">
      <c r="A404" s="42">
        <v>404</v>
      </c>
      <c r="B404" s="19" t="s">
        <v>20</v>
      </c>
      <c r="C404" s="19" t="s">
        <v>676</v>
      </c>
      <c r="D404" s="20" t="s">
        <v>181</v>
      </c>
      <c r="E404" s="20" t="s">
        <v>79</v>
      </c>
      <c r="F404" s="21" t="s">
        <v>80</v>
      </c>
      <c r="G404" s="38" t="s">
        <v>241</v>
      </c>
      <c r="H404" s="39"/>
      <c r="I404" s="39" t="s">
        <v>677</v>
      </c>
      <c r="J404" s="21" t="s">
        <v>183</v>
      </c>
      <c r="K404" s="21" t="s">
        <v>184</v>
      </c>
      <c r="L404" s="21" t="s">
        <v>185</v>
      </c>
      <c r="M404" s="21" t="s">
        <v>186</v>
      </c>
      <c r="N404" s="21" t="s">
        <v>102</v>
      </c>
      <c r="O404" s="20" t="s">
        <v>1561</v>
      </c>
      <c r="P404" s="45">
        <v>45755</v>
      </c>
      <c r="Q404" s="39" t="s">
        <v>1562</v>
      </c>
      <c r="R404" s="19">
        <v>531.33000000000004</v>
      </c>
      <c r="S404" s="21">
        <v>0.1</v>
      </c>
      <c r="T404" s="21">
        <v>584.46300000000008</v>
      </c>
      <c r="U404" s="60" t="s">
        <v>1563</v>
      </c>
      <c r="V404" s="22">
        <v>45770</v>
      </c>
      <c r="W404" s="54" t="s">
        <v>91</v>
      </c>
      <c r="X404" s="23"/>
      <c r="Y404" s="23" t="s">
        <v>92</v>
      </c>
      <c r="Z404" s="56" t="s">
        <v>1564</v>
      </c>
      <c r="AA404" s="24">
        <v>852287</v>
      </c>
      <c r="AB404" s="19"/>
      <c r="AC404" s="19"/>
      <c r="AD404" s="15" t="str">
        <f ca="1">IF(AND($D404&lt;&gt;"",COUNTIF(OFFSET(UFS!$E$2,MATCH($D404&amp;"",UFS!$A$2:$A$175,0)-1,0,COUNTIF(UFS!$A$2:$A$175,$D404&amp;""),1),M404)&gt;0),"Valide","Invalide")</f>
        <v>Valide</v>
      </c>
      <c r="AH404" s="15" t="str">
        <f t="shared" si="6"/>
        <v>En attente</v>
      </c>
    </row>
    <row r="405" spans="1:34" s="15" customFormat="1" ht="45" hidden="1" customHeight="1" x14ac:dyDescent="0.3">
      <c r="A405" s="42">
        <v>405</v>
      </c>
      <c r="B405" s="19" t="s">
        <v>20</v>
      </c>
      <c r="C405" s="19" t="s">
        <v>676</v>
      </c>
      <c r="D405" s="20" t="s">
        <v>130</v>
      </c>
      <c r="E405" s="20" t="s">
        <v>79</v>
      </c>
      <c r="F405" s="21" t="s">
        <v>80</v>
      </c>
      <c r="G405" s="38" t="s">
        <v>241</v>
      </c>
      <c r="H405" s="39"/>
      <c r="I405" s="39" t="s">
        <v>677</v>
      </c>
      <c r="J405" s="21" t="s">
        <v>124</v>
      </c>
      <c r="K405" s="21" t="s">
        <v>125</v>
      </c>
      <c r="L405" s="21" t="s">
        <v>126</v>
      </c>
      <c r="M405" s="21" t="s">
        <v>131</v>
      </c>
      <c r="N405" s="21" t="s">
        <v>102</v>
      </c>
      <c r="O405" s="20" t="s">
        <v>1565</v>
      </c>
      <c r="P405" s="45">
        <v>45755</v>
      </c>
      <c r="Q405" s="39" t="s">
        <v>1566</v>
      </c>
      <c r="R405" s="19">
        <v>521.66</v>
      </c>
      <c r="S405" s="21">
        <v>0.1</v>
      </c>
      <c r="T405" s="21">
        <v>573.82600000000002</v>
      </c>
      <c r="U405" s="60" t="s">
        <v>1567</v>
      </c>
      <c r="V405" s="22">
        <v>45770</v>
      </c>
      <c r="W405" s="54" t="s">
        <v>91</v>
      </c>
      <c r="X405" s="23"/>
      <c r="Y405" s="23" t="s">
        <v>92</v>
      </c>
      <c r="Z405" s="56" t="s">
        <v>1564</v>
      </c>
      <c r="AA405" s="24">
        <v>852289</v>
      </c>
      <c r="AB405" s="19"/>
      <c r="AC405" s="19"/>
      <c r="AD405" s="15" t="str">
        <f ca="1">IF(AND($D405&lt;&gt;"",COUNTIF(OFFSET(UFS!$E$2,MATCH($D405&amp;"",UFS!$A$2:$A$175,0)-1,0,COUNTIF(UFS!$A$2:$A$175,$D405&amp;""),1),M405)&gt;0),"Valide","Invalide")</f>
        <v>Valide</v>
      </c>
      <c r="AH405" s="15" t="str">
        <f t="shared" si="6"/>
        <v>En attente</v>
      </c>
    </row>
    <row r="406" spans="1:34" s="15" customFormat="1" ht="45" hidden="1" customHeight="1" x14ac:dyDescent="0.3">
      <c r="A406" s="42">
        <v>406</v>
      </c>
      <c r="B406" s="19" t="s">
        <v>20</v>
      </c>
      <c r="C406" s="19" t="s">
        <v>676</v>
      </c>
      <c r="D406" s="20" t="s">
        <v>628</v>
      </c>
      <c r="E406" s="20" t="s">
        <v>79</v>
      </c>
      <c r="F406" s="21" t="s">
        <v>80</v>
      </c>
      <c r="G406" s="38" t="s">
        <v>241</v>
      </c>
      <c r="H406" s="39"/>
      <c r="I406" s="39" t="s">
        <v>677</v>
      </c>
      <c r="J406" s="21" t="s">
        <v>124</v>
      </c>
      <c r="K406" s="21" t="s">
        <v>125</v>
      </c>
      <c r="L406" s="21" t="s">
        <v>629</v>
      </c>
      <c r="M406" s="21" t="s">
        <v>136</v>
      </c>
      <c r="N406" s="21" t="s">
        <v>102</v>
      </c>
      <c r="O406" s="20" t="s">
        <v>1568</v>
      </c>
      <c r="P406" s="45">
        <v>45755</v>
      </c>
      <c r="Q406" s="39" t="s">
        <v>1569</v>
      </c>
      <c r="R406" s="19">
        <v>1114.45</v>
      </c>
      <c r="S406" s="21">
        <v>0.1</v>
      </c>
      <c r="T406" s="21">
        <v>1225.895</v>
      </c>
      <c r="U406" s="60" t="s">
        <v>1570</v>
      </c>
      <c r="V406" s="22">
        <v>45770</v>
      </c>
      <c r="W406" s="54" t="s">
        <v>91</v>
      </c>
      <c r="X406" s="23"/>
      <c r="Y406" s="23" t="s">
        <v>92</v>
      </c>
      <c r="Z406" s="56" t="s">
        <v>1571</v>
      </c>
      <c r="AA406" s="24">
        <v>852291</v>
      </c>
      <c r="AB406" s="19"/>
      <c r="AC406" s="46" t="s">
        <v>94</v>
      </c>
      <c r="AD406" s="15" t="str">
        <f ca="1">IF(AND($D406&lt;&gt;"",COUNTIF(OFFSET(UFS!$E$2,MATCH($D406&amp;"",UFS!$A$2:$A$175,0)-1,0,COUNTIF(UFS!$A$2:$A$175,$D406&amp;""),1),M406)&gt;0),"Valide","Invalide")</f>
        <v>Valide</v>
      </c>
      <c r="AH406" s="15" t="str">
        <f t="shared" si="6"/>
        <v>En attente</v>
      </c>
    </row>
    <row r="407" spans="1:34" s="15" customFormat="1" ht="45" hidden="1" customHeight="1" x14ac:dyDescent="0.3">
      <c r="A407" s="42">
        <v>407</v>
      </c>
      <c r="B407" s="19" t="s">
        <v>26</v>
      </c>
      <c r="C407" s="19" t="s">
        <v>28</v>
      </c>
      <c r="D407" s="20" t="s">
        <v>156</v>
      </c>
      <c r="E407" s="20" t="s">
        <v>79</v>
      </c>
      <c r="F407" s="21" t="s">
        <v>80</v>
      </c>
      <c r="G407" s="38" t="s">
        <v>182</v>
      </c>
      <c r="H407" s="39" t="s">
        <v>1572</v>
      </c>
      <c r="I407" s="39" t="s">
        <v>83</v>
      </c>
      <c r="J407" s="21" t="s">
        <v>144</v>
      </c>
      <c r="K407" s="21" t="s">
        <v>145</v>
      </c>
      <c r="L407" s="21" t="s">
        <v>146</v>
      </c>
      <c r="M407" s="21" t="s">
        <v>146</v>
      </c>
      <c r="N407" s="21" t="s">
        <v>157</v>
      </c>
      <c r="O407" s="20" t="s">
        <v>1573</v>
      </c>
      <c r="P407" s="45">
        <v>45638</v>
      </c>
      <c r="Q407" s="39" t="s">
        <v>1574</v>
      </c>
      <c r="R407" s="19">
        <v>670.79</v>
      </c>
      <c r="S407" s="21">
        <v>0.2</v>
      </c>
      <c r="T407" s="21">
        <v>804.94799999999998</v>
      </c>
      <c r="U407" s="60" t="s">
        <v>1575</v>
      </c>
      <c r="V407" s="22">
        <v>45771</v>
      </c>
      <c r="W407" s="54" t="s">
        <v>91</v>
      </c>
      <c r="X407" s="23"/>
      <c r="Y407" s="23" t="s">
        <v>92</v>
      </c>
      <c r="Z407" s="56" t="s">
        <v>446</v>
      </c>
      <c r="AA407" s="24">
        <v>852284</v>
      </c>
      <c r="AB407" s="19"/>
      <c r="AC407" s="19"/>
      <c r="AD407" s="15" t="str">
        <f ca="1">IF(AND($D407&lt;&gt;"",COUNTIF(OFFSET(UFS!$E$2,MATCH($D407&amp;"",UFS!$A$2:$A$175,0)-1,0,COUNTIF(UFS!$A$2:$A$175,$D407&amp;""),1),M407)&gt;0),"Valide","Invalide")</f>
        <v>Valide</v>
      </c>
      <c r="AH407" s="15" t="str">
        <f t="shared" si="6"/>
        <v>En attente</v>
      </c>
    </row>
    <row r="408" spans="1:34" s="15" customFormat="1" ht="45" hidden="1" customHeight="1" x14ac:dyDescent="0.3">
      <c r="A408" s="42">
        <v>408</v>
      </c>
      <c r="B408" s="19" t="s">
        <v>26</v>
      </c>
      <c r="C408" s="19" t="s">
        <v>15</v>
      </c>
      <c r="D408" s="20" t="s">
        <v>1076</v>
      </c>
      <c r="E408" s="20" t="s">
        <v>79</v>
      </c>
      <c r="F408" s="21" t="s">
        <v>80</v>
      </c>
      <c r="G408" s="38" t="s">
        <v>81</v>
      </c>
      <c r="H408" s="39" t="s">
        <v>139</v>
      </c>
      <c r="I408" s="39" t="s">
        <v>83</v>
      </c>
      <c r="J408" s="21" t="s">
        <v>144</v>
      </c>
      <c r="K408" s="21" t="s">
        <v>145</v>
      </c>
      <c r="L408" s="21" t="s">
        <v>120</v>
      </c>
      <c r="M408" s="21" t="s">
        <v>1077</v>
      </c>
      <c r="N408" s="21" t="s">
        <v>165</v>
      </c>
      <c r="O408" s="20" t="s">
        <v>1576</v>
      </c>
      <c r="P408" s="45">
        <v>45750</v>
      </c>
      <c r="Q408" s="39" t="s">
        <v>1577</v>
      </c>
      <c r="R408" s="19">
        <v>1560.14</v>
      </c>
      <c r="S408" s="21">
        <v>0.2</v>
      </c>
      <c r="T408" s="21">
        <v>1872.1680000000001</v>
      </c>
      <c r="U408" s="60" t="s">
        <v>1578</v>
      </c>
      <c r="V408" s="22">
        <v>45771</v>
      </c>
      <c r="W408" s="54" t="s">
        <v>91</v>
      </c>
      <c r="X408" s="23"/>
      <c r="Y408" s="23" t="s">
        <v>92</v>
      </c>
      <c r="Z408" s="56" t="s">
        <v>446</v>
      </c>
      <c r="AA408" s="24">
        <v>852294</v>
      </c>
      <c r="AB408" s="19"/>
      <c r="AC408" s="19"/>
      <c r="AD408" s="15" t="str">
        <f ca="1">IF(AND($D408&lt;&gt;"",COUNTIF(OFFSET(UFS!$E$2,MATCH($D408&amp;"",UFS!$A$2:$A$175,0)-1,0,COUNTIF(UFS!$A$2:$A$175,$D408&amp;""),1),M408)&gt;0),"Valide","Invalide")</f>
        <v>Valide</v>
      </c>
      <c r="AH408" s="15" t="str">
        <f t="shared" si="6"/>
        <v>En attente</v>
      </c>
    </row>
    <row r="409" spans="1:34" s="15" customFormat="1" ht="45" hidden="1" customHeight="1" x14ac:dyDescent="0.3">
      <c r="A409" s="42">
        <v>409</v>
      </c>
      <c r="B409" s="19" t="s">
        <v>709</v>
      </c>
      <c r="C409" s="19" t="s">
        <v>23</v>
      </c>
      <c r="D409" s="20"/>
      <c r="E409" s="20" t="s">
        <v>79</v>
      </c>
      <c r="F409" s="21"/>
      <c r="G409" s="38" t="s">
        <v>241</v>
      </c>
      <c r="H409" s="39" t="s">
        <v>643</v>
      </c>
      <c r="I409" s="39" t="s">
        <v>644</v>
      </c>
      <c r="J409" s="21"/>
      <c r="K409" s="21"/>
      <c r="L409" s="21"/>
      <c r="M409" s="21"/>
      <c r="N409" s="21"/>
      <c r="O409" s="20" t="s">
        <v>1579</v>
      </c>
      <c r="P409" s="45">
        <v>45770</v>
      </c>
      <c r="Q409" s="39" t="s">
        <v>1580</v>
      </c>
      <c r="R409" s="19">
        <v>407.6</v>
      </c>
      <c r="S409" s="21"/>
      <c r="T409" s="21">
        <v>448.36</v>
      </c>
      <c r="U409" s="60" t="s">
        <v>714</v>
      </c>
      <c r="V409" s="22">
        <v>45776</v>
      </c>
      <c r="W409" s="54" t="s">
        <v>91</v>
      </c>
      <c r="X409" s="23"/>
      <c r="Y409" s="23" t="s">
        <v>92</v>
      </c>
      <c r="Z409" s="56" t="s">
        <v>446</v>
      </c>
      <c r="AA409" s="24">
        <v>852295</v>
      </c>
      <c r="AB409" s="19"/>
      <c r="AC409" s="19" t="s">
        <v>94</v>
      </c>
      <c r="AD409" s="15" t="e">
        <f ca="1">IF(AND($D409&lt;&gt;"",COUNTIF(OFFSET(UFS!$E$2,MATCH($D409&amp;"",UFS!$A$2:$A$175,0)-1,0,COUNTIF(UFS!$A$2:$A$175,$D409&amp;""),1),M409)&gt;0),"Valide","Invalide")</f>
        <v>#N/A</v>
      </c>
      <c r="AH409" s="15" t="str">
        <f t="shared" si="6"/>
        <v>En attente</v>
      </c>
    </row>
    <row r="410" spans="1:34" s="15" customFormat="1" ht="45" hidden="1" customHeight="1" x14ac:dyDescent="0.3">
      <c r="A410" s="42">
        <v>410</v>
      </c>
      <c r="B410" s="19" t="s">
        <v>20</v>
      </c>
      <c r="C410" s="19" t="s">
        <v>37</v>
      </c>
      <c r="D410" s="20" t="s">
        <v>413</v>
      </c>
      <c r="E410" s="20" t="s">
        <v>79</v>
      </c>
      <c r="F410" s="21" t="s">
        <v>80</v>
      </c>
      <c r="G410" s="38" t="s">
        <v>241</v>
      </c>
      <c r="H410" s="39" t="s">
        <v>367</v>
      </c>
      <c r="I410" s="39" t="s">
        <v>368</v>
      </c>
      <c r="J410" s="21" t="s">
        <v>183</v>
      </c>
      <c r="K410" s="21" t="s">
        <v>184</v>
      </c>
      <c r="L410" s="21" t="s">
        <v>185</v>
      </c>
      <c r="M410" s="21" t="s">
        <v>109</v>
      </c>
      <c r="N410" s="21" t="s">
        <v>109</v>
      </c>
      <c r="O410" s="20" t="s">
        <v>1581</v>
      </c>
      <c r="P410" s="45">
        <v>45770</v>
      </c>
      <c r="Q410" s="39" t="s">
        <v>1582</v>
      </c>
      <c r="R410" s="19">
        <v>419.72</v>
      </c>
      <c r="S410" s="21">
        <v>0.1</v>
      </c>
      <c r="T410" s="21">
        <v>461.69200000000001</v>
      </c>
      <c r="U410" s="60" t="s">
        <v>371</v>
      </c>
      <c r="V410" s="22">
        <v>45777</v>
      </c>
      <c r="W410" s="54" t="s">
        <v>91</v>
      </c>
      <c r="X410" s="23"/>
      <c r="Y410" s="23" t="s">
        <v>92</v>
      </c>
      <c r="Z410" s="56" t="s">
        <v>446</v>
      </c>
      <c r="AA410" s="24">
        <v>852300</v>
      </c>
      <c r="AB410" s="19"/>
      <c r="AC410" s="46" t="s">
        <v>94</v>
      </c>
      <c r="AD410" s="15" t="str">
        <f ca="1">IF(AND($D410&lt;&gt;"",COUNTIF(OFFSET(UFS!$E$2,MATCH($D410&amp;"",UFS!$A$2:$A$175,0)-1,0,COUNTIF(UFS!$A$2:$A$175,$D410&amp;""),1),M410)&gt;0),"Valide","Invalide")</f>
        <v>Valide</v>
      </c>
      <c r="AH410" s="15" t="str">
        <f t="shared" si="6"/>
        <v>En attente</v>
      </c>
    </row>
    <row r="411" spans="1:34" s="15" customFormat="1" ht="45" hidden="1" customHeight="1" x14ac:dyDescent="0.3">
      <c r="A411" s="42">
        <v>411</v>
      </c>
      <c r="B411" s="19" t="s">
        <v>709</v>
      </c>
      <c r="C411" s="19" t="s">
        <v>23</v>
      </c>
      <c r="D411" s="20" t="s">
        <v>1090</v>
      </c>
      <c r="E411" s="20" t="s">
        <v>79</v>
      </c>
      <c r="F411" s="21" t="s">
        <v>80</v>
      </c>
      <c r="G411" s="38" t="s">
        <v>241</v>
      </c>
      <c r="H411" s="39" t="s">
        <v>643</v>
      </c>
      <c r="I411" s="39" t="s">
        <v>644</v>
      </c>
      <c r="J411" s="21" t="s">
        <v>144</v>
      </c>
      <c r="K411" s="21" t="s">
        <v>1091</v>
      </c>
      <c r="L411" s="21" t="s">
        <v>636</v>
      </c>
      <c r="M411" s="21" t="s">
        <v>109</v>
      </c>
      <c r="N411" s="21" t="s">
        <v>109</v>
      </c>
      <c r="O411" s="20" t="s">
        <v>1583</v>
      </c>
      <c r="P411" s="45">
        <v>45776</v>
      </c>
      <c r="Q411" s="39" t="s">
        <v>1584</v>
      </c>
      <c r="R411" s="19">
        <v>253.2</v>
      </c>
      <c r="S411" s="21">
        <v>0.1</v>
      </c>
      <c r="T411" s="21">
        <v>278.52</v>
      </c>
      <c r="U411" s="60" t="s">
        <v>714</v>
      </c>
      <c r="V411" s="22">
        <v>45777</v>
      </c>
      <c r="W411" s="54" t="s">
        <v>91</v>
      </c>
      <c r="X411" s="23"/>
      <c r="Y411" s="23" t="s">
        <v>92</v>
      </c>
      <c r="Z411" s="56" t="s">
        <v>446</v>
      </c>
      <c r="AA411" s="24">
        <v>852302</v>
      </c>
      <c r="AB411" s="19"/>
      <c r="AC411" s="19" t="s">
        <v>94</v>
      </c>
      <c r="AD411" s="15" t="str">
        <f ca="1">IF(AND($D411&lt;&gt;"",COUNTIF(OFFSET(UFS!$E$2,MATCH($D411&amp;"",UFS!$A$2:$A$175,0)-1,0,COUNTIF(UFS!$A$2:$A$175,$D411&amp;""),1),M411)&gt;0),"Valide","Invalide")</f>
        <v>Invalide</v>
      </c>
      <c r="AH411" s="15" t="str">
        <f t="shared" si="6"/>
        <v>En attente</v>
      </c>
    </row>
    <row r="412" spans="1:34" s="15" customFormat="1" ht="45" hidden="1" customHeight="1" x14ac:dyDescent="0.3">
      <c r="A412" s="42">
        <v>412</v>
      </c>
      <c r="B412" s="19" t="s">
        <v>26</v>
      </c>
      <c r="C412" s="19" t="s">
        <v>28</v>
      </c>
      <c r="D412" s="20" t="s">
        <v>432</v>
      </c>
      <c r="E412" s="20" t="s">
        <v>79</v>
      </c>
      <c r="F412" s="21" t="s">
        <v>433</v>
      </c>
      <c r="G412" s="38" t="s">
        <v>182</v>
      </c>
      <c r="H412" s="39" t="s">
        <v>82</v>
      </c>
      <c r="I412" s="39" t="s">
        <v>83</v>
      </c>
      <c r="J412" s="21" t="s">
        <v>144</v>
      </c>
      <c r="K412" s="21" t="s">
        <v>145</v>
      </c>
      <c r="L412" s="21" t="s">
        <v>434</v>
      </c>
      <c r="M412" s="21" t="s">
        <v>435</v>
      </c>
      <c r="N412" s="21" t="s">
        <v>436</v>
      </c>
      <c r="O412" s="20" t="s">
        <v>1585</v>
      </c>
      <c r="P412" s="45">
        <v>45764</v>
      </c>
      <c r="Q412" s="39" t="s">
        <v>1586</v>
      </c>
      <c r="R412" s="19">
        <v>774</v>
      </c>
      <c r="S412" s="21">
        <v>0.1</v>
      </c>
      <c r="T412" s="21">
        <v>851.4</v>
      </c>
      <c r="U412" s="60" t="s">
        <v>1587</v>
      </c>
      <c r="V412" s="22">
        <v>45777</v>
      </c>
      <c r="W412" s="54" t="s">
        <v>91</v>
      </c>
      <c r="X412" s="23"/>
      <c r="Y412" s="23" t="s">
        <v>92</v>
      </c>
      <c r="Z412" s="56" t="s">
        <v>446</v>
      </c>
      <c r="AA412" s="24">
        <v>852325</v>
      </c>
      <c r="AB412" s="19"/>
      <c r="AC412" s="19"/>
      <c r="AD412" s="15" t="str">
        <f ca="1">IF(AND($D412&lt;&gt;"",COUNTIF(OFFSET(UFS!$E$2,MATCH($D412&amp;"",UFS!$A$2:$A$175,0)-1,0,COUNTIF(UFS!$A$2:$A$175,$D412&amp;""),1),M412)&gt;0),"Valide","Invalide")</f>
        <v>Valide</v>
      </c>
      <c r="AH412" s="15" t="str">
        <f t="shared" si="6"/>
        <v>En attente</v>
      </c>
    </row>
    <row r="413" spans="1:34" s="15" customFormat="1" ht="45" hidden="1" customHeight="1" x14ac:dyDescent="0.3">
      <c r="A413" s="42">
        <v>413</v>
      </c>
      <c r="B413" s="19" t="s">
        <v>20</v>
      </c>
      <c r="C413" s="19" t="s">
        <v>37</v>
      </c>
      <c r="D413" s="20" t="s">
        <v>106</v>
      </c>
      <c r="E413" s="20" t="s">
        <v>79</v>
      </c>
      <c r="F413" s="21" t="s">
        <v>80</v>
      </c>
      <c r="G413" s="38" t="s">
        <v>241</v>
      </c>
      <c r="H413" s="39" t="s">
        <v>367</v>
      </c>
      <c r="I413" s="39" t="s">
        <v>368</v>
      </c>
      <c r="J413" s="21" t="s">
        <v>98</v>
      </c>
      <c r="K413" s="21" t="s">
        <v>108</v>
      </c>
      <c r="L413" s="21" t="s">
        <v>100</v>
      </c>
      <c r="M413" s="21" t="s">
        <v>109</v>
      </c>
      <c r="N413" s="21" t="s">
        <v>109</v>
      </c>
      <c r="O413" s="20" t="s">
        <v>1588</v>
      </c>
      <c r="P413" s="45">
        <v>45776</v>
      </c>
      <c r="Q413" s="39" t="s">
        <v>1589</v>
      </c>
      <c r="R413" s="19">
        <v>405</v>
      </c>
      <c r="S413" s="21">
        <v>0.1</v>
      </c>
      <c r="T413" s="21">
        <v>445.5</v>
      </c>
      <c r="U413" s="44" t="s">
        <v>371</v>
      </c>
      <c r="V413" s="22">
        <v>45778</v>
      </c>
      <c r="W413" s="54" t="s">
        <v>91</v>
      </c>
      <c r="X413" s="23"/>
      <c r="Y413" s="23" t="s">
        <v>92</v>
      </c>
      <c r="Z413" s="56" t="s">
        <v>446</v>
      </c>
      <c r="AA413" s="24">
        <v>852329</v>
      </c>
      <c r="AB413" s="19"/>
      <c r="AC413" s="46" t="s">
        <v>94</v>
      </c>
      <c r="AD413" s="15" t="str">
        <f ca="1">IF(AND($D413&lt;&gt;"",COUNTIF(OFFSET(UFS!$E$2,MATCH($D413&amp;"",UFS!$A$2:$A$175,0)-1,0,COUNTIF(UFS!$A$2:$A$175,$D413&amp;""),1),M413)&gt;0),"Valide","Invalide")</f>
        <v>Valide</v>
      </c>
      <c r="AH413" s="15" t="str">
        <f t="shared" si="6"/>
        <v>En attente</v>
      </c>
    </row>
    <row r="414" spans="1:34" s="15" customFormat="1" ht="45" hidden="1" customHeight="1" x14ac:dyDescent="0.3">
      <c r="A414" s="42">
        <v>414</v>
      </c>
      <c r="B414" s="19" t="s">
        <v>20</v>
      </c>
      <c r="C414" s="19" t="s">
        <v>37</v>
      </c>
      <c r="D414" s="20" t="s">
        <v>106</v>
      </c>
      <c r="E414" s="20" t="s">
        <v>79</v>
      </c>
      <c r="F414" s="21" t="s">
        <v>80</v>
      </c>
      <c r="G414" s="38" t="s">
        <v>241</v>
      </c>
      <c r="H414" s="39" t="s">
        <v>367</v>
      </c>
      <c r="I414" s="39" t="s">
        <v>368</v>
      </c>
      <c r="J414" s="21" t="s">
        <v>98</v>
      </c>
      <c r="K414" s="21" t="s">
        <v>108</v>
      </c>
      <c r="L414" s="21" t="s">
        <v>100</v>
      </c>
      <c r="M414" s="21" t="s">
        <v>109</v>
      </c>
      <c r="N414" s="21" t="s">
        <v>109</v>
      </c>
      <c r="O414" s="20" t="s">
        <v>1590</v>
      </c>
      <c r="P414" s="45">
        <v>45776</v>
      </c>
      <c r="Q414" s="39" t="s">
        <v>1591</v>
      </c>
      <c r="R414" s="19">
        <v>1414.46</v>
      </c>
      <c r="S414" s="21">
        <v>0.1</v>
      </c>
      <c r="T414" s="21">
        <v>1555.9059999999999</v>
      </c>
      <c r="U414" s="44" t="s">
        <v>1592</v>
      </c>
      <c r="V414" s="22">
        <v>45778</v>
      </c>
      <c r="W414" s="54" t="s">
        <v>91</v>
      </c>
      <c r="X414" s="23"/>
      <c r="Y414" s="23" t="s">
        <v>92</v>
      </c>
      <c r="Z414" s="56" t="s">
        <v>446</v>
      </c>
      <c r="AA414" s="24">
        <v>852330</v>
      </c>
      <c r="AB414" s="19"/>
      <c r="AC414" s="46" t="s">
        <v>94</v>
      </c>
      <c r="AD414" s="15" t="str">
        <f ca="1">IF(AND($D414&lt;&gt;"",COUNTIF(OFFSET(UFS!$E$2,MATCH($D414&amp;"",UFS!$A$2:$A$175,0)-1,0,COUNTIF(UFS!$A$2:$A$175,$D414&amp;""),1),M414)&gt;0),"Valide","Invalide")</f>
        <v>Valide</v>
      </c>
      <c r="AH414" s="15" t="str">
        <f t="shared" si="6"/>
        <v>En attente</v>
      </c>
    </row>
    <row r="415" spans="1:34" s="15" customFormat="1" ht="45" hidden="1" customHeight="1" x14ac:dyDescent="0.3">
      <c r="A415" s="42">
        <v>415</v>
      </c>
      <c r="B415" s="19" t="s">
        <v>709</v>
      </c>
      <c r="C415" s="19" t="s">
        <v>23</v>
      </c>
      <c r="D415" s="20" t="s">
        <v>1593</v>
      </c>
      <c r="E415" s="20" t="s">
        <v>79</v>
      </c>
      <c r="F415" s="21" t="s">
        <v>80</v>
      </c>
      <c r="G415" s="38" t="s">
        <v>241</v>
      </c>
      <c r="H415" s="39" t="s">
        <v>643</v>
      </c>
      <c r="I415" s="39" t="s">
        <v>644</v>
      </c>
      <c r="J415" s="21" t="s">
        <v>144</v>
      </c>
      <c r="K415" s="21" t="s">
        <v>1594</v>
      </c>
      <c r="L415" s="21" t="s">
        <v>192</v>
      </c>
      <c r="M415" s="21" t="s">
        <v>109</v>
      </c>
      <c r="N415" s="21" t="s">
        <v>109</v>
      </c>
      <c r="O415" s="20" t="s">
        <v>1595</v>
      </c>
      <c r="P415" s="45">
        <v>45776</v>
      </c>
      <c r="Q415" s="39" t="s">
        <v>1596</v>
      </c>
      <c r="R415" s="19">
        <v>999.2</v>
      </c>
      <c r="S415" s="21">
        <v>0.1</v>
      </c>
      <c r="T415" s="21">
        <v>1099.1199999999999</v>
      </c>
      <c r="U415" s="60" t="s">
        <v>714</v>
      </c>
      <c r="V415" s="22">
        <v>45782</v>
      </c>
      <c r="W415" s="54" t="s">
        <v>91</v>
      </c>
      <c r="X415" s="23"/>
      <c r="Y415" s="23" t="s">
        <v>92</v>
      </c>
      <c r="Z415" s="56" t="s">
        <v>1597</v>
      </c>
      <c r="AA415" s="24">
        <v>852244</v>
      </c>
      <c r="AB415" s="19"/>
      <c r="AC415" s="19" t="s">
        <v>94</v>
      </c>
      <c r="AD415" s="15" t="str">
        <f ca="1">IF(AND($D415&lt;&gt;"",COUNTIF(OFFSET(UFS!$E$2,MATCH($D415&amp;"",UFS!$A$2:$A$175,0)-1,0,COUNTIF(UFS!$A$2:$A$175,$D415&amp;""),1),M415)&gt;0),"Valide","Invalide")</f>
        <v>Invalide</v>
      </c>
      <c r="AH415" s="15" t="str">
        <f t="shared" si="6"/>
        <v>En attente</v>
      </c>
    </row>
    <row r="416" spans="1:34" s="15" customFormat="1" ht="58.5" hidden="1" customHeight="1" x14ac:dyDescent="0.3">
      <c r="A416" s="42">
        <v>416</v>
      </c>
      <c r="B416" s="19" t="s">
        <v>4</v>
      </c>
      <c r="C416" s="19" t="s">
        <v>33</v>
      </c>
      <c r="D416" s="20" t="s">
        <v>200</v>
      </c>
      <c r="E416" s="20" t="s">
        <v>79</v>
      </c>
      <c r="F416" s="21" t="s">
        <v>80</v>
      </c>
      <c r="G416" s="38" t="s">
        <v>81</v>
      </c>
      <c r="H416" s="39" t="s">
        <v>234</v>
      </c>
      <c r="I416" s="39" t="s">
        <v>83</v>
      </c>
      <c r="J416" s="21" t="s">
        <v>144</v>
      </c>
      <c r="K416" s="21" t="s">
        <v>145</v>
      </c>
      <c r="L416" s="21" t="s">
        <v>203</v>
      </c>
      <c r="M416" s="21" t="s">
        <v>109</v>
      </c>
      <c r="N416" s="21" t="s">
        <v>109</v>
      </c>
      <c r="O416" s="20" t="s">
        <v>1598</v>
      </c>
      <c r="P416" s="45">
        <v>45757</v>
      </c>
      <c r="Q416" s="39" t="s">
        <v>1599</v>
      </c>
      <c r="R416" s="19">
        <v>4908.16</v>
      </c>
      <c r="S416" s="21">
        <v>0.2</v>
      </c>
      <c r="T416" s="21">
        <v>5889.7919999999995</v>
      </c>
      <c r="U416" s="44" t="s">
        <v>953</v>
      </c>
      <c r="V416" s="22">
        <v>45783</v>
      </c>
      <c r="W416" s="54" t="s">
        <v>91</v>
      </c>
      <c r="X416" s="23"/>
      <c r="Y416" s="23" t="s">
        <v>92</v>
      </c>
      <c r="Z416" s="56" t="s">
        <v>928</v>
      </c>
      <c r="AA416" s="24">
        <v>863935</v>
      </c>
      <c r="AB416" s="19"/>
      <c r="AC416" s="19"/>
      <c r="AD416" s="15" t="e">
        <f ca="1">IF(AND($D416&lt;&gt;"",COUNTIF(OFFSET(UFS!$E$2,MATCH($D416&amp;"",UFS!$A$2:$A$175,0)-1,0,COUNTIF(UFS!$A$2:$A$175,$D416&amp;""),1),M416)&gt;0),"Valide","Invalide")</f>
        <v>#N/A</v>
      </c>
      <c r="AH416" s="15" t="str">
        <f t="shared" si="6"/>
        <v>En attente</v>
      </c>
    </row>
    <row r="417" spans="1:34" s="15" customFormat="1" ht="45" hidden="1" customHeight="1" x14ac:dyDescent="0.3">
      <c r="A417" s="42">
        <v>417</v>
      </c>
      <c r="B417" s="19" t="s">
        <v>26</v>
      </c>
      <c r="C417" s="19" t="s">
        <v>11</v>
      </c>
      <c r="D417" s="20" t="s">
        <v>432</v>
      </c>
      <c r="E417" s="20" t="s">
        <v>79</v>
      </c>
      <c r="F417" s="21" t="s">
        <v>433</v>
      </c>
      <c r="G417" s="38" t="s">
        <v>182</v>
      </c>
      <c r="H417" s="39" t="s">
        <v>82</v>
      </c>
      <c r="I417" s="39" t="s">
        <v>83</v>
      </c>
      <c r="J417" s="21" t="s">
        <v>144</v>
      </c>
      <c r="K417" s="21" t="s">
        <v>145</v>
      </c>
      <c r="L417" s="21" t="s">
        <v>434</v>
      </c>
      <c r="M417" s="21" t="s">
        <v>435</v>
      </c>
      <c r="N417" s="21" t="s">
        <v>436</v>
      </c>
      <c r="O417" s="20" t="s">
        <v>1600</v>
      </c>
      <c r="P417" s="45">
        <v>45685</v>
      </c>
      <c r="Q417" s="39" t="s">
        <v>1601</v>
      </c>
      <c r="R417" s="19">
        <v>2043.14</v>
      </c>
      <c r="S417" s="21">
        <v>0.1</v>
      </c>
      <c r="T417" s="21">
        <v>2247.4540000000002</v>
      </c>
      <c r="U417" s="60" t="s">
        <v>1602</v>
      </c>
      <c r="V417" s="22">
        <v>45783</v>
      </c>
      <c r="W417" s="54" t="s">
        <v>91</v>
      </c>
      <c r="X417" s="23"/>
      <c r="Y417" s="23" t="s">
        <v>92</v>
      </c>
      <c r="Z417" s="56"/>
      <c r="AA417" s="24">
        <v>854771</v>
      </c>
      <c r="AB417" s="19"/>
      <c r="AC417" s="19"/>
      <c r="AD417" s="15" t="str">
        <f ca="1">IF(AND($D417&lt;&gt;"",COUNTIF(OFFSET(UFS!$E$2,MATCH($D417&amp;"",UFS!$A$2:$A$175,0)-1,0,COUNTIF(UFS!$A$2:$A$175,$D417&amp;""),1),M417)&gt;0),"Valide","Invalide")</f>
        <v>Valide</v>
      </c>
      <c r="AH417" s="15" t="str">
        <f t="shared" si="6"/>
        <v>En attente</v>
      </c>
    </row>
    <row r="418" spans="1:34" s="15" customFormat="1" ht="45" hidden="1" customHeight="1" x14ac:dyDescent="0.3">
      <c r="A418" s="42">
        <v>418</v>
      </c>
      <c r="B418" s="19" t="s">
        <v>24</v>
      </c>
      <c r="C418" s="19" t="s">
        <v>11</v>
      </c>
      <c r="D418" s="20" t="s">
        <v>825</v>
      </c>
      <c r="E418" s="20" t="s">
        <v>96</v>
      </c>
      <c r="F418" s="21" t="s">
        <v>80</v>
      </c>
      <c r="G418" s="38" t="s">
        <v>169</v>
      </c>
      <c r="H418" s="39"/>
      <c r="I418" s="39" t="s">
        <v>1174</v>
      </c>
      <c r="J418" s="21" t="s">
        <v>244</v>
      </c>
      <c r="K418" s="21" t="s">
        <v>827</v>
      </c>
      <c r="L418" s="21" t="s">
        <v>629</v>
      </c>
      <c r="M418" s="21" t="s">
        <v>828</v>
      </c>
      <c r="N418" s="21" t="s">
        <v>87</v>
      </c>
      <c r="O418" s="20" t="s">
        <v>1603</v>
      </c>
      <c r="P418" s="45">
        <v>45727</v>
      </c>
      <c r="Q418" s="39" t="s">
        <v>1604</v>
      </c>
      <c r="R418" s="19">
        <v>10805.64</v>
      </c>
      <c r="S418" s="21">
        <v>0.2</v>
      </c>
      <c r="T418" s="21">
        <v>12966.768</v>
      </c>
      <c r="U418" s="44" t="s">
        <v>1605</v>
      </c>
      <c r="V418" s="22">
        <v>45783</v>
      </c>
      <c r="W418" s="54" t="s">
        <v>91</v>
      </c>
      <c r="X418" s="23"/>
      <c r="Y418" s="23" t="s">
        <v>92</v>
      </c>
      <c r="Z418" s="56" t="s">
        <v>446</v>
      </c>
      <c r="AA418" s="24">
        <v>852793</v>
      </c>
      <c r="AB418" s="19"/>
      <c r="AC418" s="46" t="s">
        <v>94</v>
      </c>
      <c r="AD418" s="15" t="str">
        <f ca="1">IF(AND($D418&lt;&gt;"",COUNTIF(OFFSET(UFS!$E$2,MATCH($D418&amp;"",UFS!$A$2:$A$175,0)-1,0,COUNTIF(UFS!$A$2:$A$175,$D418&amp;""),1),M418)&gt;0),"Valide","Invalide")</f>
        <v>Valide</v>
      </c>
      <c r="AH418" s="15" t="str">
        <f t="shared" si="6"/>
        <v>En attente</v>
      </c>
    </row>
    <row r="419" spans="1:34" s="15" customFormat="1" ht="45" hidden="1" customHeight="1" x14ac:dyDescent="0.3">
      <c r="A419" s="42">
        <v>419</v>
      </c>
      <c r="B419" s="19" t="s">
        <v>24</v>
      </c>
      <c r="C419" s="19" t="s">
        <v>35</v>
      </c>
      <c r="D419" s="20" t="s">
        <v>134</v>
      </c>
      <c r="E419" s="20" t="s">
        <v>79</v>
      </c>
      <c r="F419" s="21" t="s">
        <v>80</v>
      </c>
      <c r="G419" s="38" t="s">
        <v>81</v>
      </c>
      <c r="H419" s="39" t="s">
        <v>426</v>
      </c>
      <c r="I419" s="39" t="s">
        <v>83</v>
      </c>
      <c r="J419" s="21" t="s">
        <v>124</v>
      </c>
      <c r="K419" s="21" t="s">
        <v>125</v>
      </c>
      <c r="L419" s="21" t="s">
        <v>135</v>
      </c>
      <c r="M419" s="21" t="s">
        <v>136</v>
      </c>
      <c r="N419" s="21" t="s">
        <v>102</v>
      </c>
      <c r="O419" s="20" t="s">
        <v>1606</v>
      </c>
      <c r="P419" s="45">
        <v>45737</v>
      </c>
      <c r="Q419" s="39" t="s">
        <v>1607</v>
      </c>
      <c r="R419" s="19">
        <v>1067.77</v>
      </c>
      <c r="S419" s="21">
        <v>0.1</v>
      </c>
      <c r="T419" s="21">
        <v>1174.547</v>
      </c>
      <c r="U419" s="44" t="s">
        <v>1608</v>
      </c>
      <c r="V419" s="22">
        <v>45783</v>
      </c>
      <c r="W419" s="54" t="s">
        <v>91</v>
      </c>
      <c r="X419" s="23"/>
      <c r="Y419" s="23" t="s">
        <v>92</v>
      </c>
      <c r="Z419" s="56" t="s">
        <v>446</v>
      </c>
      <c r="AA419" s="24">
        <v>852508</v>
      </c>
      <c r="AB419" s="19"/>
      <c r="AC419" s="46" t="s">
        <v>94</v>
      </c>
      <c r="AD419" s="15" t="str">
        <f ca="1">IF(AND($D419&lt;&gt;"",COUNTIF(OFFSET(UFS!$E$2,MATCH($D419&amp;"",UFS!$A$2:$A$175,0)-1,0,COUNTIF(UFS!$A$2:$A$175,$D419&amp;""),1),M419)&gt;0),"Valide","Invalide")</f>
        <v>Valide</v>
      </c>
      <c r="AH419" s="15" t="str">
        <f t="shared" si="6"/>
        <v>En attente</v>
      </c>
    </row>
    <row r="420" spans="1:34" s="15" customFormat="1" ht="45" hidden="1" customHeight="1" x14ac:dyDescent="0.3">
      <c r="A420" s="42">
        <v>420</v>
      </c>
      <c r="B420" s="19" t="s">
        <v>4</v>
      </c>
      <c r="C420" s="19" t="s">
        <v>34</v>
      </c>
      <c r="D420" s="20" t="s">
        <v>200</v>
      </c>
      <c r="E420" s="20" t="s">
        <v>79</v>
      </c>
      <c r="F420" s="21" t="s">
        <v>80</v>
      </c>
      <c r="G420" s="38" t="s">
        <v>81</v>
      </c>
      <c r="H420" s="39" t="s">
        <v>267</v>
      </c>
      <c r="I420" s="39" t="s">
        <v>83</v>
      </c>
      <c r="J420" s="21" t="s">
        <v>144</v>
      </c>
      <c r="K420" s="21" t="s">
        <v>145</v>
      </c>
      <c r="L420" s="21" t="s">
        <v>203</v>
      </c>
      <c r="M420" s="21" t="s">
        <v>109</v>
      </c>
      <c r="N420" s="21" t="s">
        <v>109</v>
      </c>
      <c r="O420" s="20" t="s">
        <v>1609</v>
      </c>
      <c r="P420" s="45">
        <v>45688</v>
      </c>
      <c r="Q420" s="39" t="s">
        <v>1610</v>
      </c>
      <c r="R420" s="19" t="s">
        <v>1611</v>
      </c>
      <c r="S420" s="21">
        <v>0.2</v>
      </c>
      <c r="T420" s="21">
        <v>17826</v>
      </c>
      <c r="U420" s="44" t="s">
        <v>1612</v>
      </c>
      <c r="V420" s="22">
        <v>45783</v>
      </c>
      <c r="W420" s="54" t="s">
        <v>91</v>
      </c>
      <c r="X420" s="23"/>
      <c r="Y420" s="23" t="s">
        <v>92</v>
      </c>
      <c r="Z420" s="103" t="s">
        <v>1613</v>
      </c>
      <c r="AA420" s="24">
        <v>855329</v>
      </c>
      <c r="AB420" s="19"/>
      <c r="AC420" s="19"/>
      <c r="AD420" s="15" t="e">
        <f ca="1">IF(AND($D420&lt;&gt;"",COUNTIF(OFFSET(UFS!$E$2,MATCH($D420&amp;"",UFS!$A$2:$A$175,0)-1,0,COUNTIF(UFS!$A$2:$A$175,$D420&amp;""),1),M420)&gt;0),"Valide","Invalide")</f>
        <v>#N/A</v>
      </c>
      <c r="AH420" s="15" t="str">
        <f t="shared" si="6"/>
        <v>En attente</v>
      </c>
    </row>
    <row r="421" spans="1:34" s="15" customFormat="1" ht="45" hidden="1" customHeight="1" x14ac:dyDescent="0.3">
      <c r="A421" s="42">
        <v>421</v>
      </c>
      <c r="B421" s="19" t="s">
        <v>6</v>
      </c>
      <c r="C421" s="19" t="s">
        <v>31</v>
      </c>
      <c r="D421" s="20" t="s">
        <v>233</v>
      </c>
      <c r="E421" s="20" t="s">
        <v>79</v>
      </c>
      <c r="F421" s="21" t="s">
        <v>80</v>
      </c>
      <c r="G421" s="38" t="s">
        <v>241</v>
      </c>
      <c r="H421" s="39" t="s">
        <v>242</v>
      </c>
      <c r="I421" s="39" t="s">
        <v>243</v>
      </c>
      <c r="J421" s="21" t="s">
        <v>124</v>
      </c>
      <c r="K421" s="21" t="s">
        <v>235</v>
      </c>
      <c r="L421" s="21" t="s">
        <v>177</v>
      </c>
      <c r="M421" s="21" t="s">
        <v>109</v>
      </c>
      <c r="N421" s="21" t="s">
        <v>109</v>
      </c>
      <c r="O421" s="20" t="s">
        <v>1614</v>
      </c>
      <c r="P421" s="45">
        <v>45763</v>
      </c>
      <c r="Q421" s="39" t="s">
        <v>1615</v>
      </c>
      <c r="R421" s="19">
        <v>2855.5</v>
      </c>
      <c r="S421" s="21">
        <v>0.1</v>
      </c>
      <c r="T421" s="21">
        <v>3141.05</v>
      </c>
      <c r="U421" s="44" t="s">
        <v>1616</v>
      </c>
      <c r="V421" s="22">
        <v>45783</v>
      </c>
      <c r="W421" s="54" t="s">
        <v>91</v>
      </c>
      <c r="X421" s="23"/>
      <c r="Y421" s="23" t="s">
        <v>92</v>
      </c>
      <c r="Z421" s="56" t="s">
        <v>446</v>
      </c>
      <c r="AA421" s="24">
        <v>853636</v>
      </c>
      <c r="AB421" s="19"/>
      <c r="AC421" s="19"/>
      <c r="AD421" s="15" t="str">
        <f ca="1">IF(AND($D421&lt;&gt;"",COUNTIF(OFFSET(UFS!$E$2,MATCH($D421&amp;"",UFS!$A$2:$A$175,0)-1,0,COUNTIF(UFS!$A$2:$A$175,$D421&amp;""),1),M421)&gt;0),"Valide","Invalide")</f>
        <v>Valide</v>
      </c>
      <c r="AH421" s="15" t="str">
        <f t="shared" si="6"/>
        <v>En attente</v>
      </c>
    </row>
    <row r="422" spans="1:34" s="15" customFormat="1" ht="45" hidden="1" customHeight="1" x14ac:dyDescent="0.3">
      <c r="A422" s="42">
        <v>422</v>
      </c>
      <c r="B422" s="19" t="s">
        <v>6</v>
      </c>
      <c r="C422" s="19" t="s">
        <v>31</v>
      </c>
      <c r="D422" s="20" t="s">
        <v>260</v>
      </c>
      <c r="E422" s="20" t="s">
        <v>79</v>
      </c>
      <c r="F422" s="21" t="s">
        <v>80</v>
      </c>
      <c r="G422" s="38" t="s">
        <v>241</v>
      </c>
      <c r="H422" s="39" t="s">
        <v>242</v>
      </c>
      <c r="I422" s="39" t="s">
        <v>243</v>
      </c>
      <c r="J422" s="21" t="s">
        <v>84</v>
      </c>
      <c r="K422" s="21" t="s">
        <v>113</v>
      </c>
      <c r="L422" s="21" t="s">
        <v>86</v>
      </c>
      <c r="M422" s="21" t="s">
        <v>109</v>
      </c>
      <c r="N422" s="21" t="s">
        <v>109</v>
      </c>
      <c r="O422" s="20" t="s">
        <v>1617</v>
      </c>
      <c r="P422" s="45">
        <v>45764</v>
      </c>
      <c r="Q422" s="39" t="s">
        <v>1618</v>
      </c>
      <c r="R422" s="19">
        <v>2522.56</v>
      </c>
      <c r="S422" s="21">
        <v>0.1</v>
      </c>
      <c r="T422" s="21">
        <v>2774.8159999999998</v>
      </c>
      <c r="U422" s="44" t="s">
        <v>1619</v>
      </c>
      <c r="V422" s="22">
        <v>45783</v>
      </c>
      <c r="W422" s="54" t="s">
        <v>91</v>
      </c>
      <c r="X422" s="23"/>
      <c r="Y422" s="23" t="s">
        <v>92</v>
      </c>
      <c r="Z422" s="56" t="s">
        <v>446</v>
      </c>
      <c r="AA422" s="24">
        <v>853638</v>
      </c>
      <c r="AB422" s="19"/>
      <c r="AC422" s="19"/>
      <c r="AD422" s="15" t="str">
        <f ca="1">IF(AND($D422&lt;&gt;"",COUNTIF(OFFSET(UFS!$E$2,MATCH($D422&amp;"",UFS!$A$2:$A$175,0)-1,0,COUNTIF(UFS!$A$2:$A$175,$D422&amp;""),1),M422)&gt;0),"Valide","Invalide")</f>
        <v>Valide</v>
      </c>
      <c r="AH422" s="15" t="str">
        <f t="shared" si="6"/>
        <v>En attente</v>
      </c>
    </row>
    <row r="423" spans="1:34" s="15" customFormat="1" ht="45" hidden="1" customHeight="1" x14ac:dyDescent="0.3">
      <c r="A423" s="42">
        <v>423</v>
      </c>
      <c r="B423" s="19" t="s">
        <v>6</v>
      </c>
      <c r="C423" s="19" t="s">
        <v>21</v>
      </c>
      <c r="D423" s="20" t="s">
        <v>200</v>
      </c>
      <c r="E423" s="20" t="s">
        <v>79</v>
      </c>
      <c r="F423" s="21" t="s">
        <v>80</v>
      </c>
      <c r="G423" s="38" t="s">
        <v>533</v>
      </c>
      <c r="H423" s="39" t="s">
        <v>534</v>
      </c>
      <c r="I423" s="39" t="s">
        <v>535</v>
      </c>
      <c r="J423" s="21" t="s">
        <v>144</v>
      </c>
      <c r="K423" s="21" t="s">
        <v>145</v>
      </c>
      <c r="L423" s="21" t="s">
        <v>203</v>
      </c>
      <c r="M423" s="21" t="s">
        <v>109</v>
      </c>
      <c r="N423" s="21" t="s">
        <v>109</v>
      </c>
      <c r="O423" s="20" t="s">
        <v>1620</v>
      </c>
      <c r="P423" s="45">
        <v>45782</v>
      </c>
      <c r="Q423" s="39" t="s">
        <v>1621</v>
      </c>
      <c r="R423" s="53">
        <v>9344.5</v>
      </c>
      <c r="S423" s="21">
        <v>0.2</v>
      </c>
      <c r="T423" s="21">
        <v>11213.4</v>
      </c>
      <c r="U423" s="44" t="s">
        <v>1622</v>
      </c>
      <c r="V423" s="22">
        <v>45783</v>
      </c>
      <c r="W423" s="54" t="s">
        <v>91</v>
      </c>
      <c r="X423" s="23"/>
      <c r="Y423" s="23" t="s">
        <v>92</v>
      </c>
      <c r="Z423" s="56" t="s">
        <v>446</v>
      </c>
      <c r="AA423" s="24">
        <v>853644</v>
      </c>
      <c r="AB423" s="19"/>
      <c r="AC423" s="46" t="s">
        <v>94</v>
      </c>
      <c r="AD423" s="15" t="e">
        <f ca="1">IF(AND($D423&lt;&gt;"",COUNTIF(OFFSET(UFS!$E$2,MATCH($D423&amp;"",UFS!$A$2:$A$175,0)-1,0,COUNTIF(UFS!$A$2:$A$175,$D423&amp;""),1),M423)&gt;0),"Valide","Invalide")</f>
        <v>#N/A</v>
      </c>
      <c r="AH423" s="15" t="str">
        <f t="shared" si="6"/>
        <v>En attente</v>
      </c>
    </row>
    <row r="424" spans="1:34" s="15" customFormat="1" ht="45" hidden="1" customHeight="1" x14ac:dyDescent="0.3">
      <c r="A424" s="42">
        <v>424</v>
      </c>
      <c r="B424" s="19" t="s">
        <v>24</v>
      </c>
      <c r="C424" s="19" t="s">
        <v>15</v>
      </c>
      <c r="D424" s="20" t="s">
        <v>174</v>
      </c>
      <c r="E424" s="20" t="s">
        <v>96</v>
      </c>
      <c r="F424" s="21" t="s">
        <v>80</v>
      </c>
      <c r="G424" s="38" t="s">
        <v>81</v>
      </c>
      <c r="H424" s="39"/>
      <c r="I424" s="39" t="s">
        <v>176</v>
      </c>
      <c r="J424" s="21" t="s">
        <v>124</v>
      </c>
      <c r="K424" s="21" t="s">
        <v>125</v>
      </c>
      <c r="L424" s="21" t="s">
        <v>177</v>
      </c>
      <c r="M424" s="21" t="s">
        <v>136</v>
      </c>
      <c r="N424" s="21" t="s">
        <v>102</v>
      </c>
      <c r="O424" s="20" t="s">
        <v>1623</v>
      </c>
      <c r="P424" s="47">
        <v>45771</v>
      </c>
      <c r="Q424" s="39" t="s">
        <v>1624</v>
      </c>
      <c r="R424" s="19">
        <v>1643.81</v>
      </c>
      <c r="S424" s="21">
        <v>0.1</v>
      </c>
      <c r="T424" s="21">
        <v>1808.191</v>
      </c>
      <c r="U424" s="44" t="s">
        <v>180</v>
      </c>
      <c r="V424" s="22">
        <v>45783</v>
      </c>
      <c r="W424" s="54" t="s">
        <v>91</v>
      </c>
      <c r="X424" s="23"/>
      <c r="Y424" s="23" t="s">
        <v>92</v>
      </c>
      <c r="Z424" s="56" t="s">
        <v>446</v>
      </c>
      <c r="AA424" s="24">
        <v>852512</v>
      </c>
      <c r="AB424" s="19"/>
      <c r="AC424" s="46" t="s">
        <v>94</v>
      </c>
      <c r="AD424" s="15" t="str">
        <f ca="1">IF(AND($D424&lt;&gt;"",COUNTIF(OFFSET(UFS!$E$2,MATCH($D424&amp;"",UFS!$A$2:$A$175,0)-1,0,COUNTIF(UFS!$A$2:$A$175,$D424&amp;""),1),M424)&gt;0),"Valide","Invalide")</f>
        <v>Valide</v>
      </c>
      <c r="AH424" s="15" t="str">
        <f t="shared" si="6"/>
        <v>En attente</v>
      </c>
    </row>
    <row r="425" spans="1:34" s="15" customFormat="1" ht="45" customHeight="1" x14ac:dyDescent="0.3">
      <c r="A425" s="42">
        <v>425</v>
      </c>
      <c r="B425" s="19" t="s">
        <v>24</v>
      </c>
      <c r="C425" s="19" t="s">
        <v>25</v>
      </c>
      <c r="D425" s="20" t="s">
        <v>233</v>
      </c>
      <c r="E425" s="20" t="s">
        <v>79</v>
      </c>
      <c r="F425" s="21" t="s">
        <v>80</v>
      </c>
      <c r="G425" s="38" t="s">
        <v>320</v>
      </c>
      <c r="H425" s="39"/>
      <c r="I425" s="39"/>
      <c r="J425" s="21" t="s">
        <v>124</v>
      </c>
      <c r="K425" s="21" t="s">
        <v>235</v>
      </c>
      <c r="L425" s="21" t="s">
        <v>177</v>
      </c>
      <c r="M425" s="21" t="s">
        <v>109</v>
      </c>
      <c r="N425" s="21" t="s">
        <v>109</v>
      </c>
      <c r="O425" s="20" t="s">
        <v>1625</v>
      </c>
      <c r="P425" s="45">
        <v>45769</v>
      </c>
      <c r="Q425" s="39" t="s">
        <v>1626</v>
      </c>
      <c r="R425" s="19">
        <v>12320.09</v>
      </c>
      <c r="S425" s="21">
        <v>0.1</v>
      </c>
      <c r="T425" s="21">
        <v>13552.099</v>
      </c>
      <c r="U425" s="60"/>
      <c r="V425" s="22">
        <v>45783</v>
      </c>
      <c r="W425" s="54" t="s">
        <v>376</v>
      </c>
      <c r="X425" s="23"/>
      <c r="Y425" s="23" t="s">
        <v>376</v>
      </c>
      <c r="Z425" s="56" t="s">
        <v>1627</v>
      </c>
      <c r="AA425" s="24"/>
      <c r="AB425" s="19"/>
      <c r="AC425" s="19"/>
      <c r="AD425" s="15" t="str">
        <f ca="1">IF(AND($D425&lt;&gt;"",COUNTIF(OFFSET(UFS!$E$2,MATCH($D425&amp;"",UFS!$A$2:$A$175,0)-1,0,COUNTIF(UFS!$A$2:$A$175,$D425&amp;""),1),M425)&gt;0),"Valide","Invalide")</f>
        <v>Valide</v>
      </c>
      <c r="AH425" s="15" t="str">
        <f t="shared" si="6"/>
        <v>En attente</v>
      </c>
    </row>
    <row r="426" spans="1:34" s="15" customFormat="1" ht="45" hidden="1" customHeight="1" x14ac:dyDescent="0.3">
      <c r="A426" s="42">
        <v>426</v>
      </c>
      <c r="B426" s="19" t="s">
        <v>6</v>
      </c>
      <c r="C426" s="19" t="s">
        <v>31</v>
      </c>
      <c r="D426" s="20" t="s">
        <v>260</v>
      </c>
      <c r="E426" s="20" t="s">
        <v>79</v>
      </c>
      <c r="F426" s="21" t="s">
        <v>80</v>
      </c>
      <c r="G426" s="38" t="s">
        <v>241</v>
      </c>
      <c r="H426" s="39" t="s">
        <v>242</v>
      </c>
      <c r="I426" s="39" t="s">
        <v>243</v>
      </c>
      <c r="J426" s="21" t="s">
        <v>84</v>
      </c>
      <c r="K426" s="21" t="s">
        <v>113</v>
      </c>
      <c r="L426" s="21" t="s">
        <v>86</v>
      </c>
      <c r="M426" s="21" t="s">
        <v>109</v>
      </c>
      <c r="N426" s="21" t="s">
        <v>109</v>
      </c>
      <c r="O426" s="20" t="s">
        <v>1628</v>
      </c>
      <c r="P426" s="45">
        <v>45758</v>
      </c>
      <c r="Q426" s="39" t="s">
        <v>1629</v>
      </c>
      <c r="R426" s="19">
        <v>522.5</v>
      </c>
      <c r="S426" s="21">
        <v>0.1</v>
      </c>
      <c r="T426" s="21">
        <v>574.75</v>
      </c>
      <c r="U426" s="44" t="s">
        <v>1630</v>
      </c>
      <c r="V426" s="22">
        <v>45783</v>
      </c>
      <c r="W426" s="54" t="s">
        <v>91</v>
      </c>
      <c r="X426" s="23"/>
      <c r="Y426" s="23" t="s">
        <v>92</v>
      </c>
      <c r="Z426" s="56" t="s">
        <v>446</v>
      </c>
      <c r="AA426" s="24">
        <v>853654</v>
      </c>
      <c r="AB426" s="19"/>
      <c r="AC426" s="46" t="s">
        <v>94</v>
      </c>
      <c r="AD426" s="15" t="str">
        <f ca="1">IF(AND($D426&lt;&gt;"",COUNTIF(OFFSET(UFS!$E$2,MATCH($D426&amp;"",UFS!$A$2:$A$175,0)-1,0,COUNTIF(UFS!$A$2:$A$175,$D426&amp;""),1),M426)&gt;0),"Valide","Invalide")</f>
        <v>Valide</v>
      </c>
      <c r="AH426" s="15" t="str">
        <f t="shared" si="6"/>
        <v>En attente</v>
      </c>
    </row>
    <row r="427" spans="1:34" s="15" customFormat="1" ht="45" hidden="1" customHeight="1" x14ac:dyDescent="0.3">
      <c r="A427" s="42">
        <v>427</v>
      </c>
      <c r="B427" s="19" t="s">
        <v>22</v>
      </c>
      <c r="C427" s="19" t="s">
        <v>1631</v>
      </c>
      <c r="D427" s="20" t="s">
        <v>200</v>
      </c>
      <c r="E427" s="20" t="s">
        <v>79</v>
      </c>
      <c r="F427" s="21" t="s">
        <v>80</v>
      </c>
      <c r="G427" s="38" t="s">
        <v>1169</v>
      </c>
      <c r="H427" s="39"/>
      <c r="I427" s="39"/>
      <c r="J427" s="21" t="s">
        <v>144</v>
      </c>
      <c r="K427" s="21" t="s">
        <v>145</v>
      </c>
      <c r="L427" s="21" t="s">
        <v>203</v>
      </c>
      <c r="M427" s="21" t="s">
        <v>109</v>
      </c>
      <c r="N427" s="21" t="s">
        <v>109</v>
      </c>
      <c r="O427" s="20" t="s">
        <v>1632</v>
      </c>
      <c r="P427" s="45">
        <v>45783</v>
      </c>
      <c r="Q427" s="39" t="s">
        <v>1633</v>
      </c>
      <c r="R427" s="19">
        <v>850</v>
      </c>
      <c r="S427" s="21">
        <v>0.2</v>
      </c>
      <c r="T427" s="21">
        <v>1020</v>
      </c>
      <c r="U427" s="44" t="s">
        <v>429</v>
      </c>
      <c r="V427" s="22">
        <v>45784</v>
      </c>
      <c r="W427" s="54" t="s">
        <v>91</v>
      </c>
      <c r="X427" s="23"/>
      <c r="Y427" s="23" t="s">
        <v>92</v>
      </c>
      <c r="Z427" s="56"/>
      <c r="AA427" s="24">
        <v>853368</v>
      </c>
      <c r="AB427" s="19"/>
      <c r="AC427" s="19"/>
      <c r="AD427" s="15" t="e">
        <f ca="1">IF(AND($D427&lt;&gt;"",COUNTIF(OFFSET(UFS!$E$2,MATCH($D427&amp;"",UFS!$A$2:$A$175,0)-1,0,COUNTIF(UFS!$A$2:$A$175,$D427&amp;""),1),M427)&gt;0),"Valide","Invalide")</f>
        <v>#N/A</v>
      </c>
      <c r="AH427" s="15" t="str">
        <f t="shared" si="6"/>
        <v>En attente</v>
      </c>
    </row>
    <row r="428" spans="1:34" s="15" customFormat="1" ht="45" hidden="1" customHeight="1" x14ac:dyDescent="0.3">
      <c r="A428" s="42">
        <v>428</v>
      </c>
      <c r="B428" s="19" t="s">
        <v>16</v>
      </c>
      <c r="C428" s="19" t="s">
        <v>5</v>
      </c>
      <c r="D428" s="20" t="s">
        <v>935</v>
      </c>
      <c r="E428" s="20" t="s">
        <v>79</v>
      </c>
      <c r="F428" s="21" t="s">
        <v>80</v>
      </c>
      <c r="G428" s="38" t="s">
        <v>81</v>
      </c>
      <c r="H428" s="39" t="s">
        <v>82</v>
      </c>
      <c r="I428" s="39" t="s">
        <v>83</v>
      </c>
      <c r="J428" s="21" t="s">
        <v>144</v>
      </c>
      <c r="K428" s="21" t="s">
        <v>145</v>
      </c>
      <c r="L428" s="21" t="s">
        <v>936</v>
      </c>
      <c r="M428" s="21" t="s">
        <v>937</v>
      </c>
      <c r="N428" s="21" t="s">
        <v>937</v>
      </c>
      <c r="O428" s="20" t="s">
        <v>1634</v>
      </c>
      <c r="P428" s="45">
        <v>45786</v>
      </c>
      <c r="Q428" s="39" t="s">
        <v>1635</v>
      </c>
      <c r="R428" s="19">
        <v>2003.67</v>
      </c>
      <c r="S428" s="21">
        <v>0.2</v>
      </c>
      <c r="T428" s="21">
        <v>2404.404</v>
      </c>
      <c r="U428" s="44" t="s">
        <v>1636</v>
      </c>
      <c r="V428" s="22">
        <v>45788</v>
      </c>
      <c r="W428" s="54" t="s">
        <v>91</v>
      </c>
      <c r="X428" s="23"/>
      <c r="Y428" s="23" t="s">
        <v>92</v>
      </c>
      <c r="Z428" s="56" t="s">
        <v>446</v>
      </c>
      <c r="AA428" s="24">
        <v>852509</v>
      </c>
      <c r="AB428" s="19"/>
      <c r="AC428" s="46" t="s">
        <v>94</v>
      </c>
      <c r="AD428" s="15" t="e">
        <f ca="1">IF(AND($D428&lt;&gt;"",COUNTIF(OFFSET(UFS!$E$2,MATCH($D428&amp;"",UFS!$A$2:$A$175,0)-1,0,COUNTIF(UFS!$A$2:$A$175,$D428&amp;""),1),M428)&gt;0),"Valide","Invalide")</f>
        <v>#N/A</v>
      </c>
      <c r="AH428" s="15" t="str">
        <f t="shared" si="6"/>
        <v>En attente</v>
      </c>
    </row>
    <row r="429" spans="1:34" s="15" customFormat="1" ht="45" hidden="1" customHeight="1" x14ac:dyDescent="0.3">
      <c r="A429" s="42">
        <v>429</v>
      </c>
      <c r="B429" s="19" t="s">
        <v>16</v>
      </c>
      <c r="C429" s="19" t="s">
        <v>11</v>
      </c>
      <c r="D429" s="20" t="s">
        <v>251</v>
      </c>
      <c r="E429" s="20" t="s">
        <v>79</v>
      </c>
      <c r="F429" s="21" t="s">
        <v>80</v>
      </c>
      <c r="G429" s="38" t="s">
        <v>81</v>
      </c>
      <c r="H429" s="39" t="s">
        <v>82</v>
      </c>
      <c r="I429" s="39" t="s">
        <v>83</v>
      </c>
      <c r="J429" s="21" t="s">
        <v>144</v>
      </c>
      <c r="K429" s="21" t="s">
        <v>145</v>
      </c>
      <c r="L429" s="21" t="s">
        <v>254</v>
      </c>
      <c r="M429" s="21" t="s">
        <v>255</v>
      </c>
      <c r="N429" s="21" t="s">
        <v>256</v>
      </c>
      <c r="O429" s="20" t="s">
        <v>1637</v>
      </c>
      <c r="P429" s="45">
        <v>45784</v>
      </c>
      <c r="Q429" s="39" t="s">
        <v>1638</v>
      </c>
      <c r="R429" s="19">
        <v>431.86</v>
      </c>
      <c r="S429" s="21">
        <v>0.2</v>
      </c>
      <c r="T429" s="21">
        <v>518.23199999999997</v>
      </c>
      <c r="U429" s="44" t="s">
        <v>1639</v>
      </c>
      <c r="V429" s="22">
        <v>45788</v>
      </c>
      <c r="W429" s="54" t="s">
        <v>91</v>
      </c>
      <c r="X429" s="23"/>
      <c r="Y429" s="23" t="s">
        <v>92</v>
      </c>
      <c r="Z429" s="56" t="s">
        <v>446</v>
      </c>
      <c r="AA429" s="24">
        <v>852510</v>
      </c>
      <c r="AB429" s="19"/>
      <c r="AC429" s="46" t="s">
        <v>94</v>
      </c>
      <c r="AD429" s="15" t="str">
        <f ca="1">IF(AND($D429&lt;&gt;"",COUNTIF(OFFSET(UFS!$E$2,MATCH($D429&amp;"",UFS!$A$2:$A$175,0)-1,0,COUNTIF(UFS!$A$2:$A$175,$D429&amp;""),1),M429)&gt;0),"Valide","Invalide")</f>
        <v>Valide</v>
      </c>
      <c r="AH429" s="15" t="str">
        <f t="shared" si="6"/>
        <v>En attente</v>
      </c>
    </row>
    <row r="430" spans="1:34" s="15" customFormat="1" ht="45" hidden="1" customHeight="1" x14ac:dyDescent="0.3">
      <c r="A430" s="42">
        <v>430</v>
      </c>
      <c r="B430" s="19" t="s">
        <v>16</v>
      </c>
      <c r="C430" s="19" t="s">
        <v>35</v>
      </c>
      <c r="D430" s="20" t="s">
        <v>1246</v>
      </c>
      <c r="E430" s="20" t="s">
        <v>79</v>
      </c>
      <c r="F430" s="21" t="s">
        <v>80</v>
      </c>
      <c r="G430" s="38" t="s">
        <v>81</v>
      </c>
      <c r="H430" s="39"/>
      <c r="I430" s="39" t="s">
        <v>83</v>
      </c>
      <c r="J430" s="21" t="s">
        <v>144</v>
      </c>
      <c r="K430" s="21" t="s">
        <v>145</v>
      </c>
      <c r="L430" s="21" t="s">
        <v>203</v>
      </c>
      <c r="M430" s="21" t="s">
        <v>1247</v>
      </c>
      <c r="N430" s="21" t="s">
        <v>1247</v>
      </c>
      <c r="O430" s="20" t="s">
        <v>1640</v>
      </c>
      <c r="P430" s="45">
        <v>45784</v>
      </c>
      <c r="Q430" s="39" t="s">
        <v>1641</v>
      </c>
      <c r="R430" s="19">
        <v>12849.48</v>
      </c>
      <c r="S430" s="21">
        <v>0.2</v>
      </c>
      <c r="T430" s="21">
        <v>15419.376</v>
      </c>
      <c r="U430" s="44" t="s">
        <v>1642</v>
      </c>
      <c r="V430" s="22">
        <v>45788</v>
      </c>
      <c r="W430" s="54" t="s">
        <v>91</v>
      </c>
      <c r="X430" s="23"/>
      <c r="Y430" s="23" t="s">
        <v>92</v>
      </c>
      <c r="Z430" s="56" t="s">
        <v>446</v>
      </c>
      <c r="AA430" s="24">
        <v>852514</v>
      </c>
      <c r="AB430" s="19"/>
      <c r="AC430" s="46" t="s">
        <v>94</v>
      </c>
      <c r="AD430" s="15" t="str">
        <f ca="1">IF(AND($D430&lt;&gt;"",COUNTIF(OFFSET(UFS!$E$2,MATCH($D430&amp;"",UFS!$A$2:$A$175,0)-1,0,COUNTIF(UFS!$A$2:$A$175,$D430&amp;""),1),M430)&gt;0),"Valide","Invalide")</f>
        <v>Valide</v>
      </c>
      <c r="AH430" s="15" t="str">
        <f t="shared" si="6"/>
        <v>En attente</v>
      </c>
    </row>
    <row r="431" spans="1:34" s="15" customFormat="1" ht="45" hidden="1" customHeight="1" x14ac:dyDescent="0.3">
      <c r="A431" s="42">
        <v>431</v>
      </c>
      <c r="B431" s="19" t="s">
        <v>16</v>
      </c>
      <c r="C431" s="19" t="s">
        <v>30</v>
      </c>
      <c r="D431" s="20" t="s">
        <v>911</v>
      </c>
      <c r="E431" s="20" t="s">
        <v>79</v>
      </c>
      <c r="F431" s="21" t="s">
        <v>80</v>
      </c>
      <c r="G431" s="38" t="s">
        <v>81</v>
      </c>
      <c r="H431" s="39" t="s">
        <v>82</v>
      </c>
      <c r="I431" s="39" t="s">
        <v>83</v>
      </c>
      <c r="J431" s="21" t="s">
        <v>144</v>
      </c>
      <c r="K431" s="21" t="s">
        <v>145</v>
      </c>
      <c r="L431" s="21" t="s">
        <v>270</v>
      </c>
      <c r="M431" s="21" t="s">
        <v>912</v>
      </c>
      <c r="N431" s="21" t="s">
        <v>102</v>
      </c>
      <c r="O431" s="20" t="s">
        <v>1643</v>
      </c>
      <c r="P431" s="45">
        <v>45779</v>
      </c>
      <c r="Q431" s="39" t="s">
        <v>1644</v>
      </c>
      <c r="R431" s="19">
        <v>17956.849999999999</v>
      </c>
      <c r="S431" s="21">
        <v>0.1</v>
      </c>
      <c r="T431" s="21">
        <v>19752.535</v>
      </c>
      <c r="U431" s="44" t="s">
        <v>1645</v>
      </c>
      <c r="V431" s="22">
        <v>45788</v>
      </c>
      <c r="W431" s="54" t="s">
        <v>91</v>
      </c>
      <c r="X431" s="23"/>
      <c r="Y431" s="23" t="s">
        <v>376</v>
      </c>
      <c r="Z431" s="56" t="s">
        <v>1646</v>
      </c>
      <c r="AA431" s="24"/>
      <c r="AB431" s="19"/>
      <c r="AC431" s="19"/>
      <c r="AD431" s="15" t="str">
        <f ca="1">IF(AND($D431&lt;&gt;"",COUNTIF(OFFSET(UFS!$E$2,MATCH($D431&amp;"",UFS!$A$2:$A$175,0)-1,0,COUNTIF(UFS!$A$2:$A$175,$D431&amp;""),1),M431)&gt;0),"Valide","Invalide")</f>
        <v>Valide</v>
      </c>
      <c r="AH431" s="15" t="str">
        <f t="shared" si="6"/>
        <v>En attente</v>
      </c>
    </row>
    <row r="432" spans="1:34" s="15" customFormat="1" ht="45" hidden="1" customHeight="1" x14ac:dyDescent="0.3">
      <c r="A432" s="42">
        <v>432</v>
      </c>
      <c r="B432" s="19" t="s">
        <v>0</v>
      </c>
      <c r="C432" s="19" t="s">
        <v>11</v>
      </c>
      <c r="D432" s="20" t="s">
        <v>587</v>
      </c>
      <c r="E432" s="20" t="s">
        <v>79</v>
      </c>
      <c r="F432" s="21" t="s">
        <v>80</v>
      </c>
      <c r="G432" s="38" t="s">
        <v>81</v>
      </c>
      <c r="H432" s="39" t="s">
        <v>82</v>
      </c>
      <c r="I432" s="39" t="s">
        <v>83</v>
      </c>
      <c r="J432" s="21" t="s">
        <v>144</v>
      </c>
      <c r="K432" s="21" t="s">
        <v>145</v>
      </c>
      <c r="L432" s="21" t="s">
        <v>203</v>
      </c>
      <c r="M432" s="21" t="s">
        <v>589</v>
      </c>
      <c r="N432" s="21" t="s">
        <v>589</v>
      </c>
      <c r="O432" s="20" t="s">
        <v>1647</v>
      </c>
      <c r="P432" s="45">
        <v>45784</v>
      </c>
      <c r="Q432" s="39" t="s">
        <v>1648</v>
      </c>
      <c r="R432" s="19">
        <v>948.95</v>
      </c>
      <c r="S432" s="21">
        <v>0.2</v>
      </c>
      <c r="T432" s="21">
        <v>1138.74</v>
      </c>
      <c r="U432" s="39" t="s">
        <v>1649</v>
      </c>
      <c r="V432" s="22">
        <v>45789</v>
      </c>
      <c r="W432" s="54" t="s">
        <v>91</v>
      </c>
      <c r="X432" s="23"/>
      <c r="Y432" s="23" t="s">
        <v>92</v>
      </c>
      <c r="Z432" s="56" t="s">
        <v>446</v>
      </c>
      <c r="AA432" s="24">
        <v>852815</v>
      </c>
      <c r="AB432" s="19"/>
      <c r="AC432" s="19"/>
      <c r="AD432" s="15" t="str">
        <f ca="1">IF(AND($D432&lt;&gt;"",COUNTIF(OFFSET(UFS!$E$2,MATCH($D432&amp;"",UFS!$A$2:$A$175,0)-1,0,COUNTIF(UFS!$A$2:$A$175,$D432&amp;""),1),M432)&gt;0),"Valide","Invalide")</f>
        <v>Valide</v>
      </c>
      <c r="AH432" s="15" t="str">
        <f t="shared" si="6"/>
        <v>En attente</v>
      </c>
    </row>
    <row r="433" spans="1:34" s="15" customFormat="1" ht="45" hidden="1" customHeight="1" x14ac:dyDescent="0.3">
      <c r="A433" s="42">
        <v>433</v>
      </c>
      <c r="B433" s="19" t="s">
        <v>20</v>
      </c>
      <c r="C433" s="19" t="s">
        <v>676</v>
      </c>
      <c r="D433" s="20" t="s">
        <v>123</v>
      </c>
      <c r="E433" s="20" t="s">
        <v>79</v>
      </c>
      <c r="F433" s="21" t="s">
        <v>80</v>
      </c>
      <c r="G433" s="38" t="s">
        <v>241</v>
      </c>
      <c r="H433" s="39"/>
      <c r="I433" s="39" t="s">
        <v>677</v>
      </c>
      <c r="J433" s="21" t="s">
        <v>124</v>
      </c>
      <c r="K433" s="21" t="s">
        <v>125</v>
      </c>
      <c r="L433" s="21" t="s">
        <v>126</v>
      </c>
      <c r="M433" s="21" t="s">
        <v>109</v>
      </c>
      <c r="N433" s="21" t="s">
        <v>109</v>
      </c>
      <c r="O433" s="20" t="s">
        <v>1650</v>
      </c>
      <c r="P433" s="45">
        <v>45789</v>
      </c>
      <c r="Q433" s="39" t="s">
        <v>1651</v>
      </c>
      <c r="R433" s="19">
        <v>521.66</v>
      </c>
      <c r="S433" s="21">
        <v>0.1</v>
      </c>
      <c r="T433" s="21">
        <v>573.82600000000002</v>
      </c>
      <c r="U433" s="60" t="s">
        <v>1652</v>
      </c>
      <c r="V433" s="22">
        <v>45789</v>
      </c>
      <c r="W433" s="54" t="s">
        <v>91</v>
      </c>
      <c r="X433" s="23"/>
      <c r="Y433" s="23" t="s">
        <v>92</v>
      </c>
      <c r="Z433" s="56" t="s">
        <v>1338</v>
      </c>
      <c r="AA433" s="24">
        <v>852540</v>
      </c>
      <c r="AB433" s="19"/>
      <c r="AC433" s="19"/>
      <c r="AD433" s="15" t="str">
        <f ca="1">IF(AND($D433&lt;&gt;"",COUNTIF(OFFSET(UFS!$E$2,MATCH($D433&amp;"",UFS!$A$2:$A$175,0)-1,0,COUNTIF(UFS!$A$2:$A$175,$D433&amp;""),1),M433)&gt;0),"Valide","Invalide")</f>
        <v>Valide</v>
      </c>
      <c r="AH433" s="15" t="str">
        <f t="shared" si="6"/>
        <v>En attente</v>
      </c>
    </row>
    <row r="434" spans="1:34" s="15" customFormat="1" ht="45" hidden="1" customHeight="1" x14ac:dyDescent="0.3">
      <c r="A434" s="42">
        <v>434</v>
      </c>
      <c r="B434" s="19" t="s">
        <v>20</v>
      </c>
      <c r="C434" s="19" t="s">
        <v>676</v>
      </c>
      <c r="D434" s="20" t="s">
        <v>123</v>
      </c>
      <c r="E434" s="20" t="s">
        <v>79</v>
      </c>
      <c r="F434" s="21" t="s">
        <v>80</v>
      </c>
      <c r="G434" s="38" t="s">
        <v>241</v>
      </c>
      <c r="H434" s="39"/>
      <c r="I434" s="39" t="s">
        <v>677</v>
      </c>
      <c r="J434" s="21" t="s">
        <v>124</v>
      </c>
      <c r="K434" s="21" t="s">
        <v>125</v>
      </c>
      <c r="L434" s="21" t="s">
        <v>126</v>
      </c>
      <c r="M434" s="21" t="s">
        <v>109</v>
      </c>
      <c r="N434" s="21" t="s">
        <v>109</v>
      </c>
      <c r="O434" s="20" t="s">
        <v>1653</v>
      </c>
      <c r="P434" s="45">
        <v>45789</v>
      </c>
      <c r="Q434" s="39" t="s">
        <v>1654</v>
      </c>
      <c r="R434" s="19">
        <v>521.66</v>
      </c>
      <c r="S434" s="21">
        <v>0.1</v>
      </c>
      <c r="T434" s="21">
        <v>573.82600000000002</v>
      </c>
      <c r="U434" s="60" t="s">
        <v>1655</v>
      </c>
      <c r="V434" s="22">
        <v>45789</v>
      </c>
      <c r="W434" s="54" t="s">
        <v>91</v>
      </c>
      <c r="X434" s="23"/>
      <c r="Y434" s="23" t="s">
        <v>92</v>
      </c>
      <c r="Z434" s="56" t="s">
        <v>1338</v>
      </c>
      <c r="AA434" s="24">
        <v>852541</v>
      </c>
      <c r="AB434" s="19"/>
      <c r="AC434" s="19"/>
      <c r="AD434" s="15" t="str">
        <f ca="1">IF(AND($D434&lt;&gt;"",COUNTIF(OFFSET(UFS!$E$2,MATCH($D434&amp;"",UFS!$A$2:$A$175,0)-1,0,COUNTIF(UFS!$A$2:$A$175,$D434&amp;""),1),M434)&gt;0),"Valide","Invalide")</f>
        <v>Valide</v>
      </c>
      <c r="AH434" s="15" t="str">
        <f t="shared" si="6"/>
        <v>En attente</v>
      </c>
    </row>
    <row r="435" spans="1:34" s="15" customFormat="1" ht="45" hidden="1" customHeight="1" x14ac:dyDescent="0.3">
      <c r="A435" s="42">
        <v>435</v>
      </c>
      <c r="B435" s="19" t="s">
        <v>26</v>
      </c>
      <c r="C435" s="19" t="s">
        <v>28</v>
      </c>
      <c r="D435" s="20" t="s">
        <v>156</v>
      </c>
      <c r="E435" s="20" t="s">
        <v>79</v>
      </c>
      <c r="F435" s="21" t="s">
        <v>80</v>
      </c>
      <c r="G435" s="38" t="s">
        <v>81</v>
      </c>
      <c r="H435" s="39" t="s">
        <v>82</v>
      </c>
      <c r="I435" s="39" t="s">
        <v>83</v>
      </c>
      <c r="J435" s="21" t="s">
        <v>144</v>
      </c>
      <c r="K435" s="21" t="s">
        <v>145</v>
      </c>
      <c r="L435" s="21" t="s">
        <v>146</v>
      </c>
      <c r="M435" s="21" t="s">
        <v>146</v>
      </c>
      <c r="N435" s="21" t="s">
        <v>157</v>
      </c>
      <c r="O435" s="20" t="s">
        <v>1656</v>
      </c>
      <c r="P435" s="45">
        <v>45764</v>
      </c>
      <c r="Q435" s="39" t="s">
        <v>1657</v>
      </c>
      <c r="R435" s="19">
        <v>966.65</v>
      </c>
      <c r="S435" s="21">
        <v>0.2</v>
      </c>
      <c r="T435" s="21">
        <v>1159.98</v>
      </c>
      <c r="U435" s="60" t="s">
        <v>1658</v>
      </c>
      <c r="V435" s="22">
        <v>45789</v>
      </c>
      <c r="W435" s="54" t="s">
        <v>91</v>
      </c>
      <c r="X435" s="23"/>
      <c r="Y435" s="23" t="s">
        <v>92</v>
      </c>
      <c r="Z435" s="56" t="s">
        <v>446</v>
      </c>
      <c r="AA435" s="24">
        <v>852550</v>
      </c>
      <c r="AB435" s="19"/>
      <c r="AC435" s="19"/>
      <c r="AD435" s="15" t="str">
        <f ca="1">IF(AND($D435&lt;&gt;"",COUNTIF(OFFSET(UFS!$E$2,MATCH($D435&amp;"",UFS!$A$2:$A$175,0)-1,0,COUNTIF(UFS!$A$2:$A$175,$D435&amp;""),1),M435)&gt;0),"Valide","Invalide")</f>
        <v>Valide</v>
      </c>
      <c r="AH435" s="15" t="str">
        <f t="shared" si="6"/>
        <v>En attente</v>
      </c>
    </row>
    <row r="436" spans="1:34" s="15" customFormat="1" ht="45" hidden="1" customHeight="1" x14ac:dyDescent="0.3">
      <c r="A436" s="42">
        <v>436</v>
      </c>
      <c r="B436" s="19" t="s">
        <v>26</v>
      </c>
      <c r="C436" s="19" t="s">
        <v>28</v>
      </c>
      <c r="D436" s="20" t="s">
        <v>1659</v>
      </c>
      <c r="E436" s="20" t="s">
        <v>79</v>
      </c>
      <c r="F436" s="21" t="s">
        <v>80</v>
      </c>
      <c r="G436" s="38" t="s">
        <v>182</v>
      </c>
      <c r="H436" s="39" t="s">
        <v>82</v>
      </c>
      <c r="I436" s="39" t="s">
        <v>83</v>
      </c>
      <c r="J436" s="21" t="s">
        <v>144</v>
      </c>
      <c r="K436" s="21" t="s">
        <v>145</v>
      </c>
      <c r="L436" s="21" t="s">
        <v>1660</v>
      </c>
      <c r="M436" s="21" t="s">
        <v>1661</v>
      </c>
      <c r="N436" s="21" t="s">
        <v>1662</v>
      </c>
      <c r="O436" s="20" t="s">
        <v>1663</v>
      </c>
      <c r="P436" s="45">
        <v>45763</v>
      </c>
      <c r="Q436" s="39" t="s">
        <v>1664</v>
      </c>
      <c r="R436" s="19">
        <v>300.68</v>
      </c>
      <c r="S436" s="21">
        <v>0.2</v>
      </c>
      <c r="T436" s="21">
        <v>360.81600000000003</v>
      </c>
      <c r="U436" s="60" t="s">
        <v>1665</v>
      </c>
      <c r="V436" s="22">
        <v>45789</v>
      </c>
      <c r="W436" s="54" t="s">
        <v>91</v>
      </c>
      <c r="X436" s="23"/>
      <c r="Y436" s="23" t="s">
        <v>92</v>
      </c>
      <c r="Z436" s="56" t="s">
        <v>446</v>
      </c>
      <c r="AA436" s="24">
        <v>852796</v>
      </c>
      <c r="AB436" s="19"/>
      <c r="AC436" s="19"/>
      <c r="AD436" s="15" t="str">
        <f ca="1">IF(AND($D436&lt;&gt;"",COUNTIF(OFFSET(UFS!$E$2,MATCH($D436&amp;"",UFS!$A$2:$A$175,0)-1,0,COUNTIF(UFS!$A$2:$A$175,$D436&amp;""),1),M436)&gt;0),"Valide","Invalide")</f>
        <v>Valide</v>
      </c>
      <c r="AH436" s="15" t="str">
        <f t="shared" si="6"/>
        <v>En attente</v>
      </c>
    </row>
    <row r="437" spans="1:34" s="15" customFormat="1" ht="45" hidden="1" customHeight="1" x14ac:dyDescent="0.3">
      <c r="A437" s="42">
        <v>437</v>
      </c>
      <c r="B437" s="19" t="s">
        <v>26</v>
      </c>
      <c r="C437" s="19" t="s">
        <v>28</v>
      </c>
      <c r="D437" s="20" t="s">
        <v>156</v>
      </c>
      <c r="E437" s="20" t="s">
        <v>79</v>
      </c>
      <c r="F437" s="21" t="s">
        <v>80</v>
      </c>
      <c r="G437" s="38" t="s">
        <v>182</v>
      </c>
      <c r="H437" s="39" t="s">
        <v>82</v>
      </c>
      <c r="I437" s="39" t="s">
        <v>83</v>
      </c>
      <c r="J437" s="21" t="s">
        <v>144</v>
      </c>
      <c r="K437" s="21" t="s">
        <v>145</v>
      </c>
      <c r="L437" s="21" t="s">
        <v>146</v>
      </c>
      <c r="M437" s="21" t="s">
        <v>146</v>
      </c>
      <c r="N437" s="21" t="s">
        <v>157</v>
      </c>
      <c r="O437" s="20" t="s">
        <v>1666</v>
      </c>
      <c r="P437" s="45">
        <v>45705</v>
      </c>
      <c r="Q437" s="39" t="s">
        <v>1667</v>
      </c>
      <c r="R437" s="19">
        <v>793.6</v>
      </c>
      <c r="S437" s="21">
        <v>0.2</v>
      </c>
      <c r="T437" s="21">
        <v>952.32</v>
      </c>
      <c r="U437" s="60" t="s">
        <v>1668</v>
      </c>
      <c r="V437" s="22">
        <v>45789</v>
      </c>
      <c r="W437" s="54" t="s">
        <v>91</v>
      </c>
      <c r="X437" s="23"/>
      <c r="Y437" s="23" t="s">
        <v>92</v>
      </c>
      <c r="Z437" s="56" t="s">
        <v>928</v>
      </c>
      <c r="AA437" s="24">
        <v>852797</v>
      </c>
      <c r="AB437" s="19"/>
      <c r="AC437" s="19"/>
      <c r="AD437" s="15" t="str">
        <f ca="1">IF(AND($D437&lt;&gt;"",COUNTIF(OFFSET(UFS!$E$2,MATCH($D437&amp;"",UFS!$A$2:$A$175,0)-1,0,COUNTIF(UFS!$A$2:$A$175,$D437&amp;""),1),M437)&gt;0),"Valide","Invalide")</f>
        <v>Valide</v>
      </c>
      <c r="AH437" s="15" t="str">
        <f t="shared" si="6"/>
        <v>En attente</v>
      </c>
    </row>
    <row r="438" spans="1:34" s="15" customFormat="1" ht="45" hidden="1" customHeight="1" x14ac:dyDescent="0.3">
      <c r="A438" s="42">
        <v>438</v>
      </c>
      <c r="B438" s="19" t="s">
        <v>26</v>
      </c>
      <c r="C438" s="19" t="s">
        <v>30</v>
      </c>
      <c r="D438" s="20" t="s">
        <v>1669</v>
      </c>
      <c r="E438" s="20" t="s">
        <v>96</v>
      </c>
      <c r="F438" s="21" t="s">
        <v>80</v>
      </c>
      <c r="G438" s="38" t="s">
        <v>320</v>
      </c>
      <c r="H438" s="39"/>
      <c r="I438" s="39" t="s">
        <v>1670</v>
      </c>
      <c r="J438" s="21" t="s">
        <v>144</v>
      </c>
      <c r="K438" s="21" t="s">
        <v>145</v>
      </c>
      <c r="L438" s="21" t="s">
        <v>146</v>
      </c>
      <c r="M438" s="21" t="s">
        <v>1671</v>
      </c>
      <c r="N438" s="21" t="s">
        <v>813</v>
      </c>
      <c r="O438" s="20" t="s">
        <v>1672</v>
      </c>
      <c r="P438" s="45">
        <v>45789</v>
      </c>
      <c r="Q438" s="39" t="s">
        <v>1673</v>
      </c>
      <c r="R438" s="19">
        <v>46950.82</v>
      </c>
      <c r="S438" s="21">
        <v>0.1</v>
      </c>
      <c r="T438" s="21">
        <v>51645.902000000002</v>
      </c>
      <c r="U438" s="60" t="s">
        <v>1674</v>
      </c>
      <c r="V438" s="22">
        <v>45789</v>
      </c>
      <c r="W438" s="54" t="s">
        <v>91</v>
      </c>
      <c r="X438" s="23"/>
      <c r="Y438" s="23" t="s">
        <v>92</v>
      </c>
      <c r="Z438" s="56" t="s">
        <v>446</v>
      </c>
      <c r="AA438" s="24">
        <v>854002</v>
      </c>
      <c r="AB438" s="19"/>
      <c r="AC438" s="46" t="s">
        <v>94</v>
      </c>
      <c r="AD438" s="15" t="str">
        <f ca="1">IF(AND($D438&lt;&gt;"",COUNTIF(OFFSET(UFS!$E$2,MATCH($D438&amp;"",UFS!$A$2:$A$175,0)-1,0,COUNTIF(UFS!$A$2:$A$175,$D438&amp;""),1),M438)&gt;0),"Valide","Invalide")</f>
        <v>Valide</v>
      </c>
      <c r="AH438" s="15" t="str">
        <f t="shared" si="6"/>
        <v>En attente</v>
      </c>
    </row>
    <row r="439" spans="1:34" s="15" customFormat="1" ht="45" hidden="1" customHeight="1" x14ac:dyDescent="0.3">
      <c r="A439" s="42">
        <v>439</v>
      </c>
      <c r="B439" s="19" t="s">
        <v>26</v>
      </c>
      <c r="C439" s="19" t="s">
        <v>35</v>
      </c>
      <c r="D439" s="20" t="s">
        <v>1669</v>
      </c>
      <c r="E439" s="20" t="s">
        <v>96</v>
      </c>
      <c r="F439" s="21" t="s">
        <v>80</v>
      </c>
      <c r="G439" s="38" t="s">
        <v>175</v>
      </c>
      <c r="H439" s="39"/>
      <c r="I439" s="39" t="s">
        <v>1670</v>
      </c>
      <c r="J439" s="21" t="s">
        <v>144</v>
      </c>
      <c r="K439" s="21" t="s">
        <v>145</v>
      </c>
      <c r="L439" s="21" t="s">
        <v>146</v>
      </c>
      <c r="M439" s="21" t="s">
        <v>1671</v>
      </c>
      <c r="N439" s="21" t="s">
        <v>813</v>
      </c>
      <c r="O439" s="20" t="s">
        <v>1675</v>
      </c>
      <c r="P439" s="45">
        <v>45784</v>
      </c>
      <c r="Q439" s="39" t="s">
        <v>1673</v>
      </c>
      <c r="R439" s="19">
        <v>2333.88</v>
      </c>
      <c r="S439" s="21">
        <v>0.1</v>
      </c>
      <c r="T439" s="21">
        <v>2567.268</v>
      </c>
      <c r="U439" s="60" t="s">
        <v>1676</v>
      </c>
      <c r="V439" s="22">
        <v>45789</v>
      </c>
      <c r="W439" s="54" t="s">
        <v>91</v>
      </c>
      <c r="X439" s="23"/>
      <c r="Y439" s="23" t="s">
        <v>92</v>
      </c>
      <c r="Z439" s="80" t="s">
        <v>1677</v>
      </c>
      <c r="AA439" s="24">
        <v>855330</v>
      </c>
      <c r="AB439" s="19"/>
      <c r="AC439" s="46" t="s">
        <v>94</v>
      </c>
      <c r="AD439" s="15" t="str">
        <f ca="1">IF(AND($D439&lt;&gt;"",COUNTIF(OFFSET(UFS!$E$2,MATCH($D439&amp;"",UFS!$A$2:$A$175,0)-1,0,COUNTIF(UFS!$A$2:$A$175,$D439&amp;""),1),M439)&gt;0),"Valide","Invalide")</f>
        <v>Valide</v>
      </c>
      <c r="AH439" s="15" t="str">
        <f t="shared" si="6"/>
        <v>En attente</v>
      </c>
    </row>
    <row r="440" spans="1:34" s="15" customFormat="1" ht="45" hidden="1" customHeight="1" x14ac:dyDescent="0.3">
      <c r="A440" s="42">
        <v>440</v>
      </c>
      <c r="B440" s="19" t="s">
        <v>26</v>
      </c>
      <c r="C440" s="19" t="s">
        <v>28</v>
      </c>
      <c r="D440" s="20" t="s">
        <v>1669</v>
      </c>
      <c r="E440" s="20" t="s">
        <v>96</v>
      </c>
      <c r="F440" s="21" t="s">
        <v>80</v>
      </c>
      <c r="G440" s="38" t="s">
        <v>294</v>
      </c>
      <c r="H440" s="39"/>
      <c r="I440" s="39" t="s">
        <v>1670</v>
      </c>
      <c r="J440" s="21" t="s">
        <v>144</v>
      </c>
      <c r="K440" s="21" t="s">
        <v>145</v>
      </c>
      <c r="L440" s="21" t="s">
        <v>146</v>
      </c>
      <c r="M440" s="21" t="s">
        <v>1671</v>
      </c>
      <c r="N440" s="21" t="s">
        <v>813</v>
      </c>
      <c r="O440" s="20" t="s">
        <v>1678</v>
      </c>
      <c r="P440" s="45">
        <v>45790</v>
      </c>
      <c r="Q440" s="39" t="s">
        <v>1673</v>
      </c>
      <c r="R440" s="19">
        <v>4477.92</v>
      </c>
      <c r="S440" s="21">
        <v>0.1</v>
      </c>
      <c r="T440" s="21">
        <v>4925.7120000000004</v>
      </c>
      <c r="U440" s="44" t="s">
        <v>1679</v>
      </c>
      <c r="V440" s="22">
        <v>45793</v>
      </c>
      <c r="W440" s="54" t="s">
        <v>91</v>
      </c>
      <c r="X440" s="23"/>
      <c r="Y440" s="23" t="s">
        <v>92</v>
      </c>
      <c r="Z440" s="56" t="s">
        <v>1680</v>
      </c>
      <c r="AA440" s="24">
        <v>853986</v>
      </c>
      <c r="AB440" s="19"/>
      <c r="AC440" s="46" t="s">
        <v>94</v>
      </c>
      <c r="AD440" s="15" t="str">
        <f ca="1">IF(AND($D440&lt;&gt;"",COUNTIF(OFFSET(UFS!$E$2,MATCH($D440&amp;"",UFS!$A$2:$A$175,0)-1,0,COUNTIF(UFS!$A$2:$A$175,$D440&amp;""),1),M440)&gt;0),"Valide","Invalide")</f>
        <v>Valide</v>
      </c>
      <c r="AH440" s="15" t="str">
        <f t="shared" si="6"/>
        <v>En attente</v>
      </c>
    </row>
    <row r="441" spans="1:34" s="15" customFormat="1" ht="45" hidden="1" customHeight="1" x14ac:dyDescent="0.3">
      <c r="A441" s="42">
        <v>441</v>
      </c>
      <c r="B441" s="19" t="s">
        <v>26</v>
      </c>
      <c r="C441" s="19" t="s">
        <v>15</v>
      </c>
      <c r="D441" s="20" t="s">
        <v>1669</v>
      </c>
      <c r="E441" s="20" t="s">
        <v>96</v>
      </c>
      <c r="F441" s="21" t="s">
        <v>80</v>
      </c>
      <c r="G441" s="38" t="s">
        <v>1029</v>
      </c>
      <c r="H441" s="39"/>
      <c r="I441" s="39" t="s">
        <v>1670</v>
      </c>
      <c r="J441" s="21" t="s">
        <v>144</v>
      </c>
      <c r="K441" s="21" t="s">
        <v>145</v>
      </c>
      <c r="L441" s="21" t="s">
        <v>146</v>
      </c>
      <c r="M441" s="21" t="s">
        <v>1671</v>
      </c>
      <c r="N441" s="21" t="s">
        <v>813</v>
      </c>
      <c r="O441" s="20" t="s">
        <v>1681</v>
      </c>
      <c r="P441" s="45">
        <v>45793</v>
      </c>
      <c r="Q441" s="39" t="s">
        <v>1673</v>
      </c>
      <c r="R441" s="19">
        <v>8716.69</v>
      </c>
      <c r="S441" s="21">
        <v>0.1</v>
      </c>
      <c r="T441" s="21">
        <v>9588.3590000000004</v>
      </c>
      <c r="U441" s="44" t="s">
        <v>1682</v>
      </c>
      <c r="V441" s="22">
        <v>45791</v>
      </c>
      <c r="W441" s="54" t="s">
        <v>91</v>
      </c>
      <c r="X441" s="23"/>
      <c r="Y441" s="23" t="s">
        <v>92</v>
      </c>
      <c r="Z441" s="78" t="s">
        <v>1683</v>
      </c>
      <c r="AA441" s="24">
        <v>853992</v>
      </c>
      <c r="AB441" s="19"/>
      <c r="AC441" s="46" t="s">
        <v>94</v>
      </c>
      <c r="AD441" s="15" t="str">
        <f ca="1">IF(AND($D441&lt;&gt;"",COUNTIF(OFFSET(UFS!$E$2,MATCH($D441&amp;"",UFS!$A$2:$A$175,0)-1,0,COUNTIF(UFS!$A$2:$A$175,$D441&amp;""),1),M441)&gt;0),"Valide","Invalide")</f>
        <v>Valide</v>
      </c>
      <c r="AH441" s="15" t="str">
        <f t="shared" si="6"/>
        <v>En attente</v>
      </c>
    </row>
    <row r="442" spans="1:34" s="15" customFormat="1" ht="45" hidden="1" customHeight="1" x14ac:dyDescent="0.3">
      <c r="A442" s="42">
        <v>442</v>
      </c>
      <c r="B442" s="19" t="s">
        <v>26</v>
      </c>
      <c r="C442" s="19" t="s">
        <v>35</v>
      </c>
      <c r="D442" s="20" t="s">
        <v>1659</v>
      </c>
      <c r="E442" s="20" t="s">
        <v>79</v>
      </c>
      <c r="F442" s="21" t="s">
        <v>80</v>
      </c>
      <c r="G442" s="38" t="s">
        <v>182</v>
      </c>
      <c r="H442" s="39" t="s">
        <v>215</v>
      </c>
      <c r="I442" s="39" t="s">
        <v>83</v>
      </c>
      <c r="J442" s="21" t="s">
        <v>144</v>
      </c>
      <c r="K442" s="21" t="s">
        <v>145</v>
      </c>
      <c r="L442" s="21" t="s">
        <v>1660</v>
      </c>
      <c r="M442" s="21" t="s">
        <v>1661</v>
      </c>
      <c r="N442" s="21" t="s">
        <v>1662</v>
      </c>
      <c r="O442" s="20" t="s">
        <v>1684</v>
      </c>
      <c r="P442" s="45">
        <v>45776</v>
      </c>
      <c r="Q442" s="39" t="s">
        <v>1685</v>
      </c>
      <c r="R442" s="19">
        <v>1124.75</v>
      </c>
      <c r="S442" s="21">
        <v>0.2</v>
      </c>
      <c r="T442" s="21">
        <v>1349.7</v>
      </c>
      <c r="U442" s="60" t="s">
        <v>1686</v>
      </c>
      <c r="V442" s="22">
        <v>45789</v>
      </c>
      <c r="W442" s="54" t="s">
        <v>91</v>
      </c>
      <c r="X442" s="23"/>
      <c r="Y442" s="23" t="s">
        <v>92</v>
      </c>
      <c r="Z442" s="56" t="s">
        <v>446</v>
      </c>
      <c r="AA442" s="24">
        <v>852798</v>
      </c>
      <c r="AB442" s="19"/>
      <c r="AC442" s="19"/>
      <c r="AD442" s="15" t="str">
        <f ca="1">IF(AND($D442&lt;&gt;"",COUNTIF(OFFSET(UFS!$E$2,MATCH($D442&amp;"",UFS!$A$2:$A$175,0)-1,0,COUNTIF(UFS!$A$2:$A$175,$D442&amp;""),1),M442)&gt;0),"Valide","Invalide")</f>
        <v>Valide</v>
      </c>
      <c r="AH442" s="15" t="str">
        <f t="shared" si="6"/>
        <v>En attente</v>
      </c>
    </row>
    <row r="443" spans="1:34" s="15" customFormat="1" ht="45" hidden="1" customHeight="1" x14ac:dyDescent="0.3">
      <c r="A443" s="42">
        <v>443</v>
      </c>
      <c r="B443" s="19" t="s">
        <v>24</v>
      </c>
      <c r="C443" s="19" t="s">
        <v>35</v>
      </c>
      <c r="D443" s="20" t="s">
        <v>825</v>
      </c>
      <c r="E443" s="20" t="s">
        <v>96</v>
      </c>
      <c r="F443" s="21" t="s">
        <v>80</v>
      </c>
      <c r="G443" s="38" t="s">
        <v>175</v>
      </c>
      <c r="H443" s="39"/>
      <c r="I443" s="39"/>
      <c r="J443" s="21" t="s">
        <v>244</v>
      </c>
      <c r="K443" s="21" t="s">
        <v>827</v>
      </c>
      <c r="L443" s="21" t="s">
        <v>629</v>
      </c>
      <c r="M443" s="21" t="s">
        <v>828</v>
      </c>
      <c r="N443" s="21" t="s">
        <v>87</v>
      </c>
      <c r="O443" s="20" t="s">
        <v>1687</v>
      </c>
      <c r="P443" s="45">
        <v>45714</v>
      </c>
      <c r="Q443" s="39" t="s">
        <v>1688</v>
      </c>
      <c r="R443" s="19">
        <v>2912.77</v>
      </c>
      <c r="S443" s="21">
        <v>0.2</v>
      </c>
      <c r="T443" s="21">
        <v>3495.3240000000001</v>
      </c>
      <c r="U443" s="44" t="s">
        <v>1689</v>
      </c>
      <c r="V443" s="22">
        <v>45790</v>
      </c>
      <c r="W443" s="54" t="s">
        <v>91</v>
      </c>
      <c r="X443" s="23"/>
      <c r="Y443" s="23" t="s">
        <v>92</v>
      </c>
      <c r="Z443" s="56" t="s">
        <v>446</v>
      </c>
      <c r="AA443" s="24">
        <v>852800</v>
      </c>
      <c r="AB443" s="19"/>
      <c r="AC443" s="46" t="s">
        <v>94</v>
      </c>
      <c r="AD443" s="15" t="str">
        <f ca="1">IF(AND($D443&lt;&gt;"",COUNTIF(OFFSET(UFS!$E$2,MATCH($D443&amp;"",UFS!$A$2:$A$175,0)-1,0,COUNTIF(UFS!$A$2:$A$175,$D443&amp;""),1),M443)&gt;0),"Valide","Invalide")</f>
        <v>Valide</v>
      </c>
      <c r="AH443" s="15" t="str">
        <f t="shared" si="6"/>
        <v>En attente</v>
      </c>
    </row>
    <row r="444" spans="1:34" s="15" customFormat="1" ht="45" hidden="1" customHeight="1" x14ac:dyDescent="0.3">
      <c r="A444" s="42">
        <v>444</v>
      </c>
      <c r="B444" s="19" t="s">
        <v>24</v>
      </c>
      <c r="C444" s="19" t="s">
        <v>11</v>
      </c>
      <c r="D444" s="20" t="s">
        <v>1436</v>
      </c>
      <c r="E444" s="20" t="s">
        <v>79</v>
      </c>
      <c r="F444" s="21" t="s">
        <v>80</v>
      </c>
      <c r="G444" s="38" t="s">
        <v>182</v>
      </c>
      <c r="H444" s="39" t="s">
        <v>82</v>
      </c>
      <c r="I444" s="39" t="s">
        <v>83</v>
      </c>
      <c r="J444" s="21" t="s">
        <v>361</v>
      </c>
      <c r="K444" s="21" t="s">
        <v>1437</v>
      </c>
      <c r="L444" s="21" t="s">
        <v>114</v>
      </c>
      <c r="M444" s="21" t="s">
        <v>1437</v>
      </c>
      <c r="N444" s="21" t="s">
        <v>87</v>
      </c>
      <c r="O444" s="20" t="s">
        <v>1690</v>
      </c>
      <c r="P444" s="45">
        <v>45784</v>
      </c>
      <c r="Q444" s="39" t="s">
        <v>1691</v>
      </c>
      <c r="R444" s="19">
        <v>3051.25</v>
      </c>
      <c r="S444" s="21">
        <v>0.2</v>
      </c>
      <c r="T444" s="21">
        <v>3661.5</v>
      </c>
      <c r="U444" s="44" t="s">
        <v>1692</v>
      </c>
      <c r="V444" s="22">
        <v>45791</v>
      </c>
      <c r="W444" s="54" t="s">
        <v>91</v>
      </c>
      <c r="X444" s="23"/>
      <c r="Y444" s="23" t="s">
        <v>92</v>
      </c>
      <c r="Z444" s="56" t="s">
        <v>446</v>
      </c>
      <c r="AA444" s="24">
        <v>852818</v>
      </c>
      <c r="AB444" s="19"/>
      <c r="AC444" s="46" t="s">
        <v>94</v>
      </c>
      <c r="AD444" s="15" t="str">
        <f ca="1">IF(AND($D444&lt;&gt;"",COUNTIF(OFFSET(UFS!$E$2,MATCH($D444&amp;"",UFS!$A$2:$A$175,0)-1,0,COUNTIF(UFS!$A$2:$A$175,$D444&amp;""),1),M444)&gt;0),"Valide","Invalide")</f>
        <v>Valide</v>
      </c>
      <c r="AH444" s="15" t="str">
        <f t="shared" si="6"/>
        <v>En attente</v>
      </c>
    </row>
    <row r="445" spans="1:34" s="15" customFormat="1" ht="45" hidden="1" customHeight="1" x14ac:dyDescent="0.3">
      <c r="A445" s="42">
        <v>445</v>
      </c>
      <c r="B445" s="19" t="s">
        <v>10</v>
      </c>
      <c r="C445" s="19" t="s">
        <v>1693</v>
      </c>
      <c r="D445" s="20" t="s">
        <v>200</v>
      </c>
      <c r="E445" s="20" t="s">
        <v>96</v>
      </c>
      <c r="F445" s="21" t="s">
        <v>80</v>
      </c>
      <c r="G445" s="38" t="s">
        <v>681</v>
      </c>
      <c r="H445" s="39"/>
      <c r="I445" s="39"/>
      <c r="J445" s="21" t="s">
        <v>144</v>
      </c>
      <c r="K445" s="21" t="s">
        <v>145</v>
      </c>
      <c r="L445" s="21" t="s">
        <v>203</v>
      </c>
      <c r="M445" s="21" t="s">
        <v>109</v>
      </c>
      <c r="N445" s="21" t="s">
        <v>109</v>
      </c>
      <c r="O445" s="20" t="s">
        <v>1694</v>
      </c>
      <c r="P445" s="45">
        <v>45700</v>
      </c>
      <c r="Q445" s="39" t="s">
        <v>1695</v>
      </c>
      <c r="R445" s="19">
        <v>24400</v>
      </c>
      <c r="S445" s="21">
        <v>0.2</v>
      </c>
      <c r="T445" s="21">
        <v>29280</v>
      </c>
      <c r="U445" s="44" t="s">
        <v>1696</v>
      </c>
      <c r="V445" s="22">
        <v>45790</v>
      </c>
      <c r="W445" s="54" t="s">
        <v>91</v>
      </c>
      <c r="X445" s="23"/>
      <c r="Y445" s="23" t="s">
        <v>92</v>
      </c>
      <c r="Z445" s="56" t="s">
        <v>446</v>
      </c>
      <c r="AA445" s="24">
        <v>852877</v>
      </c>
      <c r="AB445" s="19"/>
      <c r="AC445" s="19"/>
      <c r="AD445" s="15" t="e">
        <f ca="1">IF(AND($D445&lt;&gt;"",COUNTIF(OFFSET(UFS!$E$2,MATCH($D445&amp;"",UFS!$A$2:$A$175,0)-1,0,COUNTIF(UFS!$A$2:$A$175,$D445&amp;""),1),M445)&gt;0),"Valide","Invalide")</f>
        <v>#N/A</v>
      </c>
      <c r="AH445" s="15" t="str">
        <f t="shared" si="6"/>
        <v>En attente</v>
      </c>
    </row>
    <row r="446" spans="1:34" s="15" customFormat="1" ht="45" hidden="1" customHeight="1" x14ac:dyDescent="0.3">
      <c r="A446" s="42">
        <v>446</v>
      </c>
      <c r="B446" s="19" t="s">
        <v>10</v>
      </c>
      <c r="C446" s="19" t="s">
        <v>1697</v>
      </c>
      <c r="D446" s="20" t="s">
        <v>200</v>
      </c>
      <c r="E446" s="20" t="s">
        <v>96</v>
      </c>
      <c r="F446" s="21" t="s">
        <v>80</v>
      </c>
      <c r="G446" s="38" t="s">
        <v>1698</v>
      </c>
      <c r="H446" s="39"/>
      <c r="I446" s="39" t="s">
        <v>1699</v>
      </c>
      <c r="J446" s="21" t="s">
        <v>144</v>
      </c>
      <c r="K446" s="21" t="s">
        <v>145</v>
      </c>
      <c r="L446" s="21" t="s">
        <v>203</v>
      </c>
      <c r="M446" s="21" t="s">
        <v>109</v>
      </c>
      <c r="N446" s="21" t="s">
        <v>109</v>
      </c>
      <c r="O446" s="20" t="s">
        <v>1700</v>
      </c>
      <c r="P446" s="45">
        <v>45785</v>
      </c>
      <c r="Q446" s="39" t="s">
        <v>1701</v>
      </c>
      <c r="R446" s="19">
        <v>2975</v>
      </c>
      <c r="S446" s="21">
        <v>0.2</v>
      </c>
      <c r="T446" s="21">
        <v>3570</v>
      </c>
      <c r="U446" s="44" t="s">
        <v>1702</v>
      </c>
      <c r="V446" s="22">
        <v>45790</v>
      </c>
      <c r="W446" s="54" t="s">
        <v>91</v>
      </c>
      <c r="X446" s="23"/>
      <c r="Y446" s="23" t="s">
        <v>92</v>
      </c>
      <c r="Z446" s="56" t="s">
        <v>1703</v>
      </c>
      <c r="AA446" s="24">
        <v>852954</v>
      </c>
      <c r="AB446" s="19"/>
      <c r="AC446" s="19"/>
      <c r="AD446" s="15" t="e">
        <f ca="1">IF(AND($D446&lt;&gt;"",COUNTIF(OFFSET(UFS!$E$2,MATCH($D446&amp;"",UFS!$A$2:$A$175,0)-1,0,COUNTIF(UFS!$A$2:$A$175,$D446&amp;""),1),M446)&gt;0),"Valide","Invalide")</f>
        <v>#N/A</v>
      </c>
      <c r="AH446" s="15" t="str">
        <f t="shared" si="6"/>
        <v>En attente</v>
      </c>
    </row>
    <row r="447" spans="1:34" s="15" customFormat="1" ht="45" hidden="1" customHeight="1" x14ac:dyDescent="0.3">
      <c r="A447" s="42">
        <v>447</v>
      </c>
      <c r="B447" s="19" t="s">
        <v>24</v>
      </c>
      <c r="C447" s="19" t="s">
        <v>30</v>
      </c>
      <c r="D447" s="20" t="s">
        <v>134</v>
      </c>
      <c r="E447" s="20" t="s">
        <v>79</v>
      </c>
      <c r="F447" s="21" t="s">
        <v>80</v>
      </c>
      <c r="G447" s="38" t="s">
        <v>81</v>
      </c>
      <c r="H447" s="39" t="s">
        <v>82</v>
      </c>
      <c r="I447" s="39" t="s">
        <v>83</v>
      </c>
      <c r="J447" s="21" t="s">
        <v>124</v>
      </c>
      <c r="K447" s="21" t="s">
        <v>125</v>
      </c>
      <c r="L447" s="21" t="s">
        <v>135</v>
      </c>
      <c r="M447" s="21" t="s">
        <v>136</v>
      </c>
      <c r="N447" s="21" t="s">
        <v>102</v>
      </c>
      <c r="O447" s="20" t="s">
        <v>1704</v>
      </c>
      <c r="P447" s="45">
        <v>45790</v>
      </c>
      <c r="Q447" s="39" t="s">
        <v>1705</v>
      </c>
      <c r="R447" s="19">
        <v>3597.27</v>
      </c>
      <c r="S447" s="21">
        <v>0.1</v>
      </c>
      <c r="T447" s="21">
        <v>3956.9969999999998</v>
      </c>
      <c r="U447" s="44" t="s">
        <v>1706</v>
      </c>
      <c r="V447" s="22">
        <v>45791</v>
      </c>
      <c r="W447" s="54" t="s">
        <v>91</v>
      </c>
      <c r="X447" s="23"/>
      <c r="Y447" s="23" t="s">
        <v>92</v>
      </c>
      <c r="Z447" s="56" t="s">
        <v>446</v>
      </c>
      <c r="AA447" s="24">
        <v>852820</v>
      </c>
      <c r="AB447" s="19"/>
      <c r="AC447" s="46" t="s">
        <v>94</v>
      </c>
      <c r="AD447" s="15" t="str">
        <f ca="1">IF(AND($D447&lt;&gt;"",COUNTIF(OFFSET(UFS!$E$2,MATCH($D447&amp;"",UFS!$A$2:$A$175,0)-1,0,COUNTIF(UFS!$A$2:$A$175,$D447&amp;""),1),M447)&gt;0),"Valide","Invalide")</f>
        <v>Valide</v>
      </c>
      <c r="AH447" s="15" t="str">
        <f t="shared" si="6"/>
        <v>En attente</v>
      </c>
    </row>
    <row r="448" spans="1:34" s="15" customFormat="1" ht="45" hidden="1" customHeight="1" x14ac:dyDescent="0.3">
      <c r="A448" s="42">
        <v>448</v>
      </c>
      <c r="B448" s="19" t="s">
        <v>709</v>
      </c>
      <c r="C448" s="19" t="s">
        <v>23</v>
      </c>
      <c r="D448" s="20" t="s">
        <v>123</v>
      </c>
      <c r="E448" s="20" t="s">
        <v>79</v>
      </c>
      <c r="F448" s="21" t="s">
        <v>80</v>
      </c>
      <c r="G448" s="38" t="s">
        <v>241</v>
      </c>
      <c r="H448" s="39" t="s">
        <v>643</v>
      </c>
      <c r="I448" s="39" t="s">
        <v>644</v>
      </c>
      <c r="J448" s="21" t="s">
        <v>124</v>
      </c>
      <c r="K448" s="21" t="s">
        <v>125</v>
      </c>
      <c r="L448" s="21" t="s">
        <v>203</v>
      </c>
      <c r="M448" s="21" t="s">
        <v>131</v>
      </c>
      <c r="N448" s="21" t="s">
        <v>711</v>
      </c>
      <c r="O448" s="20" t="s">
        <v>1707</v>
      </c>
      <c r="P448" s="45">
        <v>45790</v>
      </c>
      <c r="Q448" s="39" t="s">
        <v>1708</v>
      </c>
      <c r="R448" s="19">
        <v>425.75</v>
      </c>
      <c r="S448" s="21">
        <v>0.1</v>
      </c>
      <c r="T448" s="21">
        <v>468.33</v>
      </c>
      <c r="U448" s="60" t="s">
        <v>714</v>
      </c>
      <c r="V448" s="22">
        <v>45791</v>
      </c>
      <c r="W448" s="54" t="s">
        <v>91</v>
      </c>
      <c r="X448" s="23"/>
      <c r="Y448" s="23" t="s">
        <v>92</v>
      </c>
      <c r="Z448" s="56" t="s">
        <v>446</v>
      </c>
      <c r="AA448" s="24">
        <v>852822</v>
      </c>
      <c r="AB448" s="19"/>
      <c r="AC448" s="19" t="s">
        <v>94</v>
      </c>
      <c r="AD448" s="15" t="str">
        <f ca="1">IF(AND($D448&lt;&gt;"",COUNTIF(OFFSET(UFS!$E$2,MATCH($D448&amp;"",UFS!$A$2:$A$175,0)-1,0,COUNTIF(UFS!$A$2:$A$175,$D448&amp;""),1),M448)&gt;0),"Valide","Invalide")</f>
        <v>Invalide</v>
      </c>
      <c r="AH448" s="15" t="str">
        <f t="shared" si="6"/>
        <v>En attente</v>
      </c>
    </row>
    <row r="449" spans="1:34" s="15" customFormat="1" ht="45" hidden="1" customHeight="1" x14ac:dyDescent="0.3">
      <c r="A449" s="42">
        <v>449</v>
      </c>
      <c r="B449" s="19" t="s">
        <v>20</v>
      </c>
      <c r="C449" s="19" t="s">
        <v>676</v>
      </c>
      <c r="D449" s="20" t="s">
        <v>413</v>
      </c>
      <c r="E449" s="20" t="s">
        <v>79</v>
      </c>
      <c r="F449" s="21" t="s">
        <v>80</v>
      </c>
      <c r="G449" s="38" t="s">
        <v>241</v>
      </c>
      <c r="H449" s="39"/>
      <c r="I449" s="39" t="s">
        <v>677</v>
      </c>
      <c r="J449" s="21" t="s">
        <v>183</v>
      </c>
      <c r="K449" s="21" t="s">
        <v>184</v>
      </c>
      <c r="L449" s="21" t="s">
        <v>185</v>
      </c>
      <c r="M449" s="21" t="s">
        <v>109</v>
      </c>
      <c r="N449" s="21" t="s">
        <v>109</v>
      </c>
      <c r="O449" s="20" t="s">
        <v>1709</v>
      </c>
      <c r="P449" s="45">
        <v>45789</v>
      </c>
      <c r="Q449" s="39" t="s">
        <v>1710</v>
      </c>
      <c r="R449" s="19">
        <v>1131.1600000000001</v>
      </c>
      <c r="S449" s="21">
        <v>0.1</v>
      </c>
      <c r="T449" s="21">
        <v>1244.2760000000001</v>
      </c>
      <c r="U449" s="44" t="s">
        <v>1711</v>
      </c>
      <c r="V449" s="22">
        <v>45791</v>
      </c>
      <c r="W449" s="54" t="s">
        <v>91</v>
      </c>
      <c r="X449" s="23"/>
      <c r="Y449" s="23" t="s">
        <v>92</v>
      </c>
      <c r="Z449" s="56" t="s">
        <v>1712</v>
      </c>
      <c r="AA449" s="24">
        <v>853868</v>
      </c>
      <c r="AB449" s="19"/>
      <c r="AC449" s="49" t="s">
        <v>161</v>
      </c>
      <c r="AD449" s="15" t="str">
        <f ca="1">IF(AND($D449&lt;&gt;"",COUNTIF(OFFSET(UFS!$E$2,MATCH($D449&amp;"",UFS!$A$2:$A$175,0)-1,0,COUNTIF(UFS!$A$2:$A$175,$D449&amp;""),1),M449)&gt;0),"Valide","Invalide")</f>
        <v>Valide</v>
      </c>
      <c r="AH449" s="15" t="str">
        <f t="shared" si="6"/>
        <v>En attente</v>
      </c>
    </row>
    <row r="450" spans="1:34" s="15" customFormat="1" ht="72" hidden="1" x14ac:dyDescent="0.3">
      <c r="A450" s="42">
        <v>450</v>
      </c>
      <c r="B450" s="19" t="s">
        <v>24</v>
      </c>
      <c r="C450" s="19" t="s">
        <v>11</v>
      </c>
      <c r="D450" s="20" t="s">
        <v>174</v>
      </c>
      <c r="E450" s="20" t="s">
        <v>79</v>
      </c>
      <c r="F450" s="21" t="s">
        <v>80</v>
      </c>
      <c r="G450" s="38" t="s">
        <v>81</v>
      </c>
      <c r="H450" s="39" t="s">
        <v>82</v>
      </c>
      <c r="I450" s="39" t="s">
        <v>83</v>
      </c>
      <c r="J450" s="21" t="s">
        <v>124</v>
      </c>
      <c r="K450" s="21" t="s">
        <v>125</v>
      </c>
      <c r="L450" s="21" t="s">
        <v>177</v>
      </c>
      <c r="M450" s="21" t="s">
        <v>136</v>
      </c>
      <c r="N450" s="21" t="s">
        <v>102</v>
      </c>
      <c r="O450" s="20" t="s">
        <v>1713</v>
      </c>
      <c r="P450" s="45">
        <v>45786</v>
      </c>
      <c r="Q450" s="39" t="s">
        <v>1714</v>
      </c>
      <c r="R450" s="19">
        <v>372.87</v>
      </c>
      <c r="S450" s="21">
        <v>0.1</v>
      </c>
      <c r="T450" s="21">
        <v>410.15699999999998</v>
      </c>
      <c r="U450" s="60" t="s">
        <v>1715</v>
      </c>
      <c r="V450" s="22">
        <v>45791</v>
      </c>
      <c r="W450" s="54" t="s">
        <v>91</v>
      </c>
      <c r="X450" s="23"/>
      <c r="Y450" s="23" t="s">
        <v>92</v>
      </c>
      <c r="Z450" s="56" t="s">
        <v>446</v>
      </c>
      <c r="AA450" s="24">
        <v>852825</v>
      </c>
      <c r="AB450" s="19"/>
      <c r="AC450" s="46" t="s">
        <v>94</v>
      </c>
      <c r="AD450" s="15" t="str">
        <f ca="1">IF(AND($D450&lt;&gt;"",COUNTIF(OFFSET(UFS!$E$2,MATCH($D450&amp;"",UFS!$A$2:$A$175,0)-1,0,COUNTIF(UFS!$A$2:$A$175,$D450&amp;""),1),M450)&gt;0),"Valide","Invalide")</f>
        <v>Valide</v>
      </c>
      <c r="AH450" s="15" t="str">
        <f t="shared" si="6"/>
        <v>En attente</v>
      </c>
    </row>
    <row r="451" spans="1:34" s="15" customFormat="1" ht="45" hidden="1" customHeight="1" x14ac:dyDescent="0.3">
      <c r="A451" s="42">
        <v>451</v>
      </c>
      <c r="B451" s="19" t="s">
        <v>24</v>
      </c>
      <c r="C451" s="19" t="s">
        <v>11</v>
      </c>
      <c r="D451" s="20" t="s">
        <v>699</v>
      </c>
      <c r="E451" s="20" t="s">
        <v>79</v>
      </c>
      <c r="F451" s="21" t="s">
        <v>80</v>
      </c>
      <c r="G451" s="38" t="s">
        <v>81</v>
      </c>
      <c r="H451" s="39" t="s">
        <v>82</v>
      </c>
      <c r="I451" s="39" t="s">
        <v>83</v>
      </c>
      <c r="J451" s="21" t="s">
        <v>700</v>
      </c>
      <c r="K451" s="21" t="s">
        <v>701</v>
      </c>
      <c r="L451" s="21" t="s">
        <v>114</v>
      </c>
      <c r="M451" s="21" t="s">
        <v>702</v>
      </c>
      <c r="N451" s="21" t="s">
        <v>151</v>
      </c>
      <c r="O451" s="20" t="s">
        <v>1716</v>
      </c>
      <c r="P451" s="45">
        <v>45790</v>
      </c>
      <c r="Q451" s="39" t="s">
        <v>1717</v>
      </c>
      <c r="R451" s="19">
        <v>1777.73</v>
      </c>
      <c r="S451" s="21">
        <v>0.2</v>
      </c>
      <c r="T451" s="21">
        <v>2133.2759999999998</v>
      </c>
      <c r="U451" s="60" t="s">
        <v>1718</v>
      </c>
      <c r="V451" s="22">
        <v>45791</v>
      </c>
      <c r="W451" s="54" t="s">
        <v>91</v>
      </c>
      <c r="X451" s="23"/>
      <c r="Y451" s="23" t="s">
        <v>92</v>
      </c>
      <c r="Z451" s="56" t="s">
        <v>446</v>
      </c>
      <c r="AA451" s="24">
        <v>852826</v>
      </c>
      <c r="AB451" s="19"/>
      <c r="AC451" s="46" t="s">
        <v>94</v>
      </c>
      <c r="AD451" s="15" t="str">
        <f ca="1">IF(AND($D451&lt;&gt;"",COUNTIF(OFFSET(UFS!$E$2,MATCH($D451&amp;"",UFS!$A$2:$A$175,0)-1,0,COUNTIF(UFS!$A$2:$A$175,$D451&amp;""),1),M451)&gt;0),"Valide","Invalide")</f>
        <v>Valide</v>
      </c>
      <c r="AH451" s="15" t="str">
        <f t="shared" ref="AH451:AH514" si="7">IF(T451&lt;&gt;"","En attente","")</f>
        <v>En attente</v>
      </c>
    </row>
    <row r="452" spans="1:34" s="15" customFormat="1" ht="45" hidden="1" customHeight="1" x14ac:dyDescent="0.3">
      <c r="A452" s="42">
        <v>452</v>
      </c>
      <c r="B452" s="19" t="s">
        <v>709</v>
      </c>
      <c r="C452" s="19" t="s">
        <v>23</v>
      </c>
      <c r="D452" s="20" t="s">
        <v>1593</v>
      </c>
      <c r="E452" s="20" t="s">
        <v>79</v>
      </c>
      <c r="F452" s="21" t="s">
        <v>80</v>
      </c>
      <c r="G452" s="38" t="s">
        <v>241</v>
      </c>
      <c r="H452" s="39" t="s">
        <v>643</v>
      </c>
      <c r="I452" s="39" t="s">
        <v>644</v>
      </c>
      <c r="J452" s="21" t="s">
        <v>1719</v>
      </c>
      <c r="K452" s="21" t="s">
        <v>1298</v>
      </c>
      <c r="L452" s="21" t="s">
        <v>192</v>
      </c>
      <c r="M452" s="21" t="s">
        <v>1720</v>
      </c>
      <c r="N452" s="21" t="s">
        <v>102</v>
      </c>
      <c r="O452" s="20" t="s">
        <v>1721</v>
      </c>
      <c r="P452" s="45">
        <v>45789</v>
      </c>
      <c r="Q452" s="39" t="s">
        <v>1722</v>
      </c>
      <c r="R452" s="19">
        <v>11400.23</v>
      </c>
      <c r="S452" s="21">
        <v>0.1</v>
      </c>
      <c r="T452" s="21">
        <v>12540.25</v>
      </c>
      <c r="U452" s="60" t="s">
        <v>714</v>
      </c>
      <c r="V452" s="22">
        <v>45792</v>
      </c>
      <c r="W452" s="54" t="s">
        <v>91</v>
      </c>
      <c r="X452" s="23"/>
      <c r="Y452" s="23" t="s">
        <v>92</v>
      </c>
      <c r="Z452" s="56" t="s">
        <v>446</v>
      </c>
      <c r="AA452" s="24">
        <v>852828</v>
      </c>
      <c r="AB452" s="19"/>
      <c r="AC452" s="19"/>
      <c r="AD452" s="15" t="str">
        <f ca="1">IF(AND($D452&lt;&gt;"",COUNTIF(OFFSET(UFS!$E$2,MATCH($D452&amp;"",UFS!$A$2:$A$175,0)-1,0,COUNTIF(UFS!$A$2:$A$175,$D452&amp;""),1),M452)&gt;0),"Valide","Invalide")</f>
        <v>Invalide</v>
      </c>
      <c r="AH452" s="15" t="str">
        <f t="shared" si="7"/>
        <v>En attente</v>
      </c>
    </row>
    <row r="453" spans="1:34" s="15" customFormat="1" ht="48" hidden="1" customHeight="1" x14ac:dyDescent="0.3">
      <c r="A453" s="42">
        <v>453</v>
      </c>
      <c r="B453" s="19" t="s">
        <v>26</v>
      </c>
      <c r="C453" s="19" t="s">
        <v>11</v>
      </c>
      <c r="D453" s="20" t="s">
        <v>1513</v>
      </c>
      <c r="E453" s="20" t="s">
        <v>79</v>
      </c>
      <c r="F453" s="21" t="s">
        <v>80</v>
      </c>
      <c r="G453" s="38" t="s">
        <v>182</v>
      </c>
      <c r="H453" s="39" t="s">
        <v>82</v>
      </c>
      <c r="I453" s="39" t="s">
        <v>83</v>
      </c>
      <c r="J453" s="21" t="s">
        <v>144</v>
      </c>
      <c r="K453" s="21" t="s">
        <v>145</v>
      </c>
      <c r="L453" s="21" t="s">
        <v>499</v>
      </c>
      <c r="M453" s="21" t="s">
        <v>1514</v>
      </c>
      <c r="N453" s="21" t="s">
        <v>529</v>
      </c>
      <c r="O453" s="20" t="s">
        <v>1723</v>
      </c>
      <c r="P453" s="45">
        <v>45757</v>
      </c>
      <c r="Q453" s="39" t="s">
        <v>1724</v>
      </c>
      <c r="R453" s="19">
        <v>2153.12</v>
      </c>
      <c r="S453" s="21">
        <v>0.1</v>
      </c>
      <c r="T453" s="21">
        <v>2368.4319999999998</v>
      </c>
      <c r="U453" s="60" t="s">
        <v>1725</v>
      </c>
      <c r="V453" s="22">
        <v>45792</v>
      </c>
      <c r="W453" s="54" t="s">
        <v>91</v>
      </c>
      <c r="X453" s="23"/>
      <c r="Y453" s="23" t="s">
        <v>92</v>
      </c>
      <c r="Z453" s="81" t="s">
        <v>446</v>
      </c>
      <c r="AA453" s="24">
        <v>854179</v>
      </c>
      <c r="AB453" s="19"/>
      <c r="AC453" s="19"/>
      <c r="AD453" s="15" t="str">
        <f ca="1">IF(AND($D453&lt;&gt;"",COUNTIF(OFFSET(UFS!$E$2,MATCH($D453&amp;"",UFS!$A$2:$A$175,0)-1,0,COUNTIF(UFS!$A$2:$A$175,$D453&amp;""),1),M453)&gt;0),"Valide","Invalide")</f>
        <v>Valide</v>
      </c>
      <c r="AH453" s="15" t="str">
        <f t="shared" si="7"/>
        <v>En attente</v>
      </c>
    </row>
    <row r="454" spans="1:34" s="15" customFormat="1" ht="45" hidden="1" customHeight="1" x14ac:dyDescent="0.3">
      <c r="A454" s="42">
        <v>454</v>
      </c>
      <c r="B454" s="19" t="s">
        <v>20</v>
      </c>
      <c r="C454" s="19" t="s">
        <v>1</v>
      </c>
      <c r="D454" s="20" t="s">
        <v>1726</v>
      </c>
      <c r="E454" s="20" t="s">
        <v>79</v>
      </c>
      <c r="F454" s="21" t="s">
        <v>80</v>
      </c>
      <c r="G454" s="38" t="s">
        <v>182</v>
      </c>
      <c r="H454" s="39" t="s">
        <v>82</v>
      </c>
      <c r="I454" s="39" t="s">
        <v>83</v>
      </c>
      <c r="J454" s="21" t="s">
        <v>124</v>
      </c>
      <c r="K454" s="21" t="s">
        <v>235</v>
      </c>
      <c r="L454" s="21" t="s">
        <v>246</v>
      </c>
      <c r="M454" s="21" t="s">
        <v>284</v>
      </c>
      <c r="N454" s="21" t="s">
        <v>1727</v>
      </c>
      <c r="O454" s="20" t="s">
        <v>1728</v>
      </c>
      <c r="P454" s="45">
        <v>45789</v>
      </c>
      <c r="Q454" s="39" t="s">
        <v>1729</v>
      </c>
      <c r="R454" s="19">
        <v>189.34</v>
      </c>
      <c r="S454" s="21">
        <v>0.2</v>
      </c>
      <c r="T454" s="21">
        <v>208.274</v>
      </c>
      <c r="U454" s="60" t="s">
        <v>1730</v>
      </c>
      <c r="V454" s="22">
        <v>45792</v>
      </c>
      <c r="W454" s="54" t="s">
        <v>91</v>
      </c>
      <c r="X454" s="23"/>
      <c r="Y454" s="23" t="s">
        <v>92</v>
      </c>
      <c r="Z454" s="56" t="s">
        <v>446</v>
      </c>
      <c r="AA454" s="24">
        <v>852887</v>
      </c>
      <c r="AB454" s="19"/>
      <c r="AC454" s="46" t="s">
        <v>94</v>
      </c>
      <c r="AD454" s="15" t="str">
        <f ca="1">IF(AND($D454&lt;&gt;"",COUNTIF(OFFSET(UFS!$E$2,MATCH($D454&amp;"",UFS!$A$2:$A$175,0)-1,0,COUNTIF(UFS!$A$2:$A$175,$D454&amp;""),1),M454)&gt;0),"Valide","Invalide")</f>
        <v>Valide</v>
      </c>
      <c r="AH454" s="15" t="str">
        <f t="shared" si="7"/>
        <v>En attente</v>
      </c>
    </row>
    <row r="455" spans="1:34" s="15" customFormat="1" ht="45" hidden="1" customHeight="1" x14ac:dyDescent="0.3">
      <c r="A455" s="42">
        <v>455</v>
      </c>
      <c r="B455" s="19" t="s">
        <v>24</v>
      </c>
      <c r="C455" s="19" t="s">
        <v>30</v>
      </c>
      <c r="D455" s="20" t="s">
        <v>699</v>
      </c>
      <c r="E455" s="20" t="s">
        <v>79</v>
      </c>
      <c r="F455" s="21" t="s">
        <v>80</v>
      </c>
      <c r="G455" s="38" t="s">
        <v>81</v>
      </c>
      <c r="H455" s="39" t="s">
        <v>82</v>
      </c>
      <c r="I455" s="39" t="s">
        <v>83</v>
      </c>
      <c r="J455" s="21" t="s">
        <v>700</v>
      </c>
      <c r="K455" s="21" t="s">
        <v>701</v>
      </c>
      <c r="L455" s="21" t="s">
        <v>114</v>
      </c>
      <c r="M455" s="21" t="s">
        <v>702</v>
      </c>
      <c r="N455" s="21" t="s">
        <v>151</v>
      </c>
      <c r="O455" s="20" t="s">
        <v>1731</v>
      </c>
      <c r="P455" s="45">
        <v>45733</v>
      </c>
      <c r="Q455" s="39" t="s">
        <v>1732</v>
      </c>
      <c r="R455" s="19">
        <v>1915.9</v>
      </c>
      <c r="S455" s="21">
        <v>0.2</v>
      </c>
      <c r="T455" s="21">
        <v>2299.08</v>
      </c>
      <c r="U455" s="60" t="s">
        <v>1733</v>
      </c>
      <c r="V455" s="22">
        <v>45793</v>
      </c>
      <c r="W455" s="54" t="s">
        <v>91</v>
      </c>
      <c r="X455" s="23"/>
      <c r="Y455" s="23" t="s">
        <v>92</v>
      </c>
      <c r="Z455" s="56" t="s">
        <v>446</v>
      </c>
      <c r="AA455" s="24">
        <v>853590</v>
      </c>
      <c r="AB455" s="19"/>
      <c r="AC455" s="46" t="s">
        <v>94</v>
      </c>
      <c r="AD455" s="15" t="str">
        <f ca="1">IF(AND($D455&lt;&gt;"",COUNTIF(OFFSET(UFS!$E$2,MATCH($D455&amp;"",UFS!$A$2:$A$175,0)-1,0,COUNTIF(UFS!$A$2:$A$175,$D455&amp;""),1),M455)&gt;0),"Valide","Invalide")</f>
        <v>Valide</v>
      </c>
      <c r="AH455" s="15" t="str">
        <f t="shared" si="7"/>
        <v>En attente</v>
      </c>
    </row>
    <row r="456" spans="1:34" s="15" customFormat="1" ht="45" hidden="1" customHeight="1" x14ac:dyDescent="0.3">
      <c r="A456" s="42">
        <v>456</v>
      </c>
      <c r="B456" s="19" t="s">
        <v>24</v>
      </c>
      <c r="C456" s="19" t="s">
        <v>35</v>
      </c>
      <c r="D456" s="20" t="s">
        <v>134</v>
      </c>
      <c r="E456" s="20" t="s">
        <v>79</v>
      </c>
      <c r="F456" s="21" t="s">
        <v>80</v>
      </c>
      <c r="G456" s="38" t="s">
        <v>81</v>
      </c>
      <c r="H456" s="39" t="s">
        <v>215</v>
      </c>
      <c r="I456" s="39" t="s">
        <v>83</v>
      </c>
      <c r="J456" s="21" t="s">
        <v>124</v>
      </c>
      <c r="K456" s="21" t="s">
        <v>125</v>
      </c>
      <c r="L456" s="21" t="s">
        <v>135</v>
      </c>
      <c r="M456" s="21" t="s">
        <v>136</v>
      </c>
      <c r="N456" s="21" t="s">
        <v>102</v>
      </c>
      <c r="O456" s="20" t="s">
        <v>1734</v>
      </c>
      <c r="P456" s="45">
        <v>45792</v>
      </c>
      <c r="Q456" s="39" t="s">
        <v>1735</v>
      </c>
      <c r="R456" s="19">
        <v>4345.05</v>
      </c>
      <c r="S456" s="21">
        <v>0.1</v>
      </c>
      <c r="T456" s="21">
        <v>4779.5550000000003</v>
      </c>
      <c r="U456" s="44" t="s">
        <v>1736</v>
      </c>
      <c r="V456" s="22">
        <v>45793</v>
      </c>
      <c r="W456" s="54" t="s">
        <v>91</v>
      </c>
      <c r="X456" s="23"/>
      <c r="Y456" s="23" t="s">
        <v>92</v>
      </c>
      <c r="Z456" s="56" t="s">
        <v>446</v>
      </c>
      <c r="AA456" s="24">
        <v>853497</v>
      </c>
      <c r="AB456" s="47">
        <v>45810</v>
      </c>
      <c r="AC456" s="46" t="s">
        <v>94</v>
      </c>
      <c r="AD456" s="15" t="str">
        <f ca="1">IF(AND($D456&lt;&gt;"",COUNTIF(OFFSET(UFS!$E$2,MATCH($D456&amp;"",UFS!$A$2:$A$175,0)-1,0,COUNTIF(UFS!$A$2:$A$175,$D456&amp;""),1),M456)&gt;0),"Valide","Invalide")</f>
        <v>Valide</v>
      </c>
      <c r="AH456" s="15" t="str">
        <f t="shared" si="7"/>
        <v>En attente</v>
      </c>
    </row>
    <row r="457" spans="1:34" s="15" customFormat="1" ht="45" hidden="1" customHeight="1" x14ac:dyDescent="0.3">
      <c r="A457" s="42">
        <v>457</v>
      </c>
      <c r="B457" s="19" t="s">
        <v>16</v>
      </c>
      <c r="C457" s="19" t="s">
        <v>35</v>
      </c>
      <c r="D457" s="20" t="s">
        <v>276</v>
      </c>
      <c r="E457" s="20" t="s">
        <v>79</v>
      </c>
      <c r="F457" s="21" t="s">
        <v>80</v>
      </c>
      <c r="G457" s="38" t="s">
        <v>81</v>
      </c>
      <c r="H457" s="39" t="s">
        <v>215</v>
      </c>
      <c r="I457" s="39" t="s">
        <v>83</v>
      </c>
      <c r="J457" s="21" t="s">
        <v>144</v>
      </c>
      <c r="K457" s="21" t="s">
        <v>277</v>
      </c>
      <c r="L457" s="21" t="s">
        <v>278</v>
      </c>
      <c r="M457" s="21" t="s">
        <v>279</v>
      </c>
      <c r="N457" s="21" t="s">
        <v>151</v>
      </c>
      <c r="O457" s="20" t="s">
        <v>1737</v>
      </c>
      <c r="P457" s="45">
        <v>45782</v>
      </c>
      <c r="Q457" s="39" t="s">
        <v>1738</v>
      </c>
      <c r="R457" s="19">
        <v>1671.06</v>
      </c>
      <c r="S457" s="21">
        <v>0.2</v>
      </c>
      <c r="T457" s="21">
        <v>2005.2719999999999</v>
      </c>
      <c r="U457" s="60" t="s">
        <v>1739</v>
      </c>
      <c r="V457" s="22">
        <v>45793</v>
      </c>
      <c r="W457" s="54" t="s">
        <v>91</v>
      </c>
      <c r="X457" s="23"/>
      <c r="Y457" s="23" t="s">
        <v>92</v>
      </c>
      <c r="Z457" s="56" t="s">
        <v>446</v>
      </c>
      <c r="AA457" s="24">
        <v>853498</v>
      </c>
      <c r="AB457" s="19"/>
      <c r="AC457" s="46" t="s">
        <v>94</v>
      </c>
      <c r="AD457" s="15" t="str">
        <f ca="1">IF(AND($D457&lt;&gt;"",COUNTIF(OFFSET(UFS!$E$2,MATCH($D457&amp;"",UFS!$A$2:$A$175,0)-1,0,COUNTIF(UFS!$A$2:$A$175,$D457&amp;""),1),M457)&gt;0),"Valide","Invalide")</f>
        <v>Valide</v>
      </c>
      <c r="AH457" s="15" t="str">
        <f t="shared" si="7"/>
        <v>En attente</v>
      </c>
    </row>
    <row r="458" spans="1:34" s="15" customFormat="1" ht="45" hidden="1" customHeight="1" x14ac:dyDescent="0.3">
      <c r="A458" s="42">
        <v>458</v>
      </c>
      <c r="B458" s="19" t="s">
        <v>16</v>
      </c>
      <c r="C458" s="19" t="s">
        <v>30</v>
      </c>
      <c r="D458" s="20" t="s">
        <v>1740</v>
      </c>
      <c r="E458" s="20" t="s">
        <v>79</v>
      </c>
      <c r="F458" s="21" t="s">
        <v>80</v>
      </c>
      <c r="G458" s="38" t="s">
        <v>81</v>
      </c>
      <c r="H458" s="39" t="s">
        <v>82</v>
      </c>
      <c r="I458" s="39" t="s">
        <v>83</v>
      </c>
      <c r="J458" s="21" t="s">
        <v>144</v>
      </c>
      <c r="K458" s="21" t="s">
        <v>145</v>
      </c>
      <c r="L458" s="21" t="s">
        <v>342</v>
      </c>
      <c r="M458" s="21" t="s">
        <v>1741</v>
      </c>
      <c r="N458" s="21" t="s">
        <v>87</v>
      </c>
      <c r="O458" s="20" t="s">
        <v>1742</v>
      </c>
      <c r="P458" s="45">
        <v>45789</v>
      </c>
      <c r="Q458" s="39" t="s">
        <v>1743</v>
      </c>
      <c r="R458" s="19">
        <v>6122.43</v>
      </c>
      <c r="S458" s="21">
        <v>0.2</v>
      </c>
      <c r="T458" s="21">
        <v>7346.9160000000002</v>
      </c>
      <c r="U458" s="60" t="s">
        <v>1744</v>
      </c>
      <c r="V458" s="22">
        <v>45793</v>
      </c>
      <c r="W458" s="54" t="s">
        <v>91</v>
      </c>
      <c r="X458" s="23"/>
      <c r="Y458" s="23" t="s">
        <v>376</v>
      </c>
      <c r="Z458" s="56" t="s">
        <v>1444</v>
      </c>
      <c r="AA458" s="24"/>
      <c r="AB458" s="19" t="s">
        <v>1745</v>
      </c>
      <c r="AC458" s="49" t="s">
        <v>161</v>
      </c>
      <c r="AD458" s="15" t="str">
        <f ca="1">IF(AND($D458&lt;&gt;"",COUNTIF(OFFSET(UFS!$E$2,MATCH($D458&amp;"",UFS!$A$2:$A$175,0)-1,0,COUNTIF(UFS!$A$2:$A$175,$D458&amp;""),1),M458)&gt;0),"Valide","Invalide")</f>
        <v>Valide</v>
      </c>
      <c r="AH458" s="15" t="str">
        <f t="shared" si="7"/>
        <v>En attente</v>
      </c>
    </row>
    <row r="459" spans="1:34" s="15" customFormat="1" ht="45" hidden="1" customHeight="1" x14ac:dyDescent="0.3">
      <c r="A459" s="42">
        <v>459</v>
      </c>
      <c r="B459" s="19" t="s">
        <v>16</v>
      </c>
      <c r="C459" s="19" t="s">
        <v>30</v>
      </c>
      <c r="D459" s="20" t="s">
        <v>810</v>
      </c>
      <c r="E459" s="20" t="s">
        <v>96</v>
      </c>
      <c r="F459" s="21" t="s">
        <v>80</v>
      </c>
      <c r="G459" s="38" t="s">
        <v>169</v>
      </c>
      <c r="H459" s="39"/>
      <c r="I459" s="39" t="s">
        <v>1746</v>
      </c>
      <c r="J459" s="21" t="s">
        <v>144</v>
      </c>
      <c r="K459" s="21" t="s">
        <v>145</v>
      </c>
      <c r="L459" s="21" t="s">
        <v>146</v>
      </c>
      <c r="M459" s="21" t="s">
        <v>812</v>
      </c>
      <c r="N459" s="21" t="s">
        <v>813</v>
      </c>
      <c r="O459" s="20" t="s">
        <v>1747</v>
      </c>
      <c r="P459" s="45">
        <v>45792</v>
      </c>
      <c r="Q459" s="39" t="s">
        <v>1748</v>
      </c>
      <c r="R459" s="19">
        <v>6029.45</v>
      </c>
      <c r="S459" s="21">
        <v>0.1</v>
      </c>
      <c r="T459" s="21">
        <v>6632.3949999999995</v>
      </c>
      <c r="U459" s="44" t="s">
        <v>1749</v>
      </c>
      <c r="V459" s="22">
        <v>45793</v>
      </c>
      <c r="W459" s="54" t="s">
        <v>91</v>
      </c>
      <c r="X459" s="23"/>
      <c r="Y459" s="23" t="s">
        <v>92</v>
      </c>
      <c r="Z459" s="56" t="s">
        <v>446</v>
      </c>
      <c r="AA459" s="24">
        <v>853499</v>
      </c>
      <c r="AB459" s="19"/>
      <c r="AC459" s="46" t="s">
        <v>94</v>
      </c>
      <c r="AD459" s="15" t="str">
        <f ca="1">IF(AND($D459&lt;&gt;"",COUNTIF(OFFSET(UFS!$E$2,MATCH($D459&amp;"",UFS!$A$2:$A$175,0)-1,0,COUNTIF(UFS!$A$2:$A$175,$D459&amp;""),1),M459)&gt;0),"Valide","Invalide")</f>
        <v>Valide</v>
      </c>
      <c r="AH459" s="15" t="str">
        <f t="shared" si="7"/>
        <v>En attente</v>
      </c>
    </row>
    <row r="460" spans="1:34" s="15" customFormat="1" ht="45" hidden="1" customHeight="1" x14ac:dyDescent="0.3">
      <c r="A460" s="42">
        <v>460</v>
      </c>
      <c r="B460" s="19" t="s">
        <v>26</v>
      </c>
      <c r="C460" s="19" t="s">
        <v>11</v>
      </c>
      <c r="D460" s="20" t="s">
        <v>582</v>
      </c>
      <c r="E460" s="20" t="s">
        <v>79</v>
      </c>
      <c r="F460" s="21" t="s">
        <v>80</v>
      </c>
      <c r="G460" s="38" t="s">
        <v>182</v>
      </c>
      <c r="H460" s="39" t="s">
        <v>82</v>
      </c>
      <c r="I460" s="39" t="s">
        <v>83</v>
      </c>
      <c r="J460" s="21" t="s">
        <v>144</v>
      </c>
      <c r="K460" s="21" t="s">
        <v>145</v>
      </c>
      <c r="L460" s="21" t="s">
        <v>328</v>
      </c>
      <c r="M460" s="21" t="s">
        <v>1750</v>
      </c>
      <c r="N460" s="21" t="s">
        <v>102</v>
      </c>
      <c r="O460" s="20" t="s">
        <v>1751</v>
      </c>
      <c r="P460" s="45">
        <v>45790</v>
      </c>
      <c r="Q460" s="39" t="s">
        <v>1752</v>
      </c>
      <c r="R460" s="19">
        <v>1777.8</v>
      </c>
      <c r="S460" s="21">
        <v>0.1</v>
      </c>
      <c r="T460" s="21">
        <v>1955.58</v>
      </c>
      <c r="U460" s="44" t="s">
        <v>1753</v>
      </c>
      <c r="V460" s="22">
        <v>45793</v>
      </c>
      <c r="W460" s="54" t="s">
        <v>91</v>
      </c>
      <c r="X460" s="23"/>
      <c r="Y460" s="23" t="s">
        <v>92</v>
      </c>
      <c r="Z460" s="146" t="s">
        <v>928</v>
      </c>
      <c r="AA460" s="24">
        <v>863938</v>
      </c>
      <c r="AB460" s="19"/>
      <c r="AC460" s="19"/>
      <c r="AD460" s="15" t="str">
        <f ca="1">IF(AND($D460&lt;&gt;"",COUNTIF(OFFSET(UFS!$E$2,MATCH($D460&amp;"",UFS!$A$2:$A$175,0)-1,0,COUNTIF(UFS!$A$2:$A$175,$D460&amp;""),1),M460)&gt;0),"Valide","Invalide")</f>
        <v>Invalide</v>
      </c>
      <c r="AH460" s="15" t="str">
        <f t="shared" si="7"/>
        <v>En attente</v>
      </c>
    </row>
    <row r="461" spans="1:34" s="15" customFormat="1" ht="45" hidden="1" customHeight="1" x14ac:dyDescent="0.3">
      <c r="A461" s="42">
        <v>461</v>
      </c>
      <c r="B461" s="19" t="s">
        <v>26</v>
      </c>
      <c r="C461" s="19" t="s">
        <v>35</v>
      </c>
      <c r="D461" s="20" t="s">
        <v>1076</v>
      </c>
      <c r="E461" s="20" t="s">
        <v>79</v>
      </c>
      <c r="F461" s="21" t="s">
        <v>80</v>
      </c>
      <c r="G461" s="38" t="s">
        <v>182</v>
      </c>
      <c r="H461" s="39" t="s">
        <v>426</v>
      </c>
      <c r="I461" s="39" t="s">
        <v>83</v>
      </c>
      <c r="J461" s="21" t="s">
        <v>144</v>
      </c>
      <c r="K461" s="21" t="s">
        <v>145</v>
      </c>
      <c r="L461" s="21" t="s">
        <v>120</v>
      </c>
      <c r="M461" s="21" t="s">
        <v>1077</v>
      </c>
      <c r="N461" s="21" t="s">
        <v>165</v>
      </c>
      <c r="O461" s="20" t="s">
        <v>1754</v>
      </c>
      <c r="P461" s="45">
        <v>45783</v>
      </c>
      <c r="Q461" s="39" t="s">
        <v>1755</v>
      </c>
      <c r="R461" s="19">
        <v>2667.61</v>
      </c>
      <c r="S461" s="21">
        <v>0.2</v>
      </c>
      <c r="T461" s="21">
        <v>3201.1320000000001</v>
      </c>
      <c r="U461" s="44" t="s">
        <v>1756</v>
      </c>
      <c r="V461" s="22">
        <v>45793</v>
      </c>
      <c r="W461" s="54" t="s">
        <v>91</v>
      </c>
      <c r="X461" s="23"/>
      <c r="Y461" s="23" t="s">
        <v>92</v>
      </c>
      <c r="Z461" s="56" t="s">
        <v>446</v>
      </c>
      <c r="AA461" s="24">
        <v>853596</v>
      </c>
      <c r="AB461" s="19"/>
      <c r="AC461" s="19"/>
      <c r="AD461" s="15" t="str">
        <f ca="1">IF(AND($D461&lt;&gt;"",COUNTIF(OFFSET(UFS!$E$2,MATCH($D461&amp;"",UFS!$A$2:$A$175,0)-1,0,COUNTIF(UFS!$A$2:$A$175,$D461&amp;""),1),M461)&gt;0),"Valide","Invalide")</f>
        <v>Valide</v>
      </c>
      <c r="AH461" s="15" t="str">
        <f t="shared" si="7"/>
        <v>En attente</v>
      </c>
    </row>
    <row r="462" spans="1:34" s="15" customFormat="1" ht="45" hidden="1" customHeight="1" x14ac:dyDescent="0.3">
      <c r="A462" s="42">
        <v>462</v>
      </c>
      <c r="B462" s="19" t="s">
        <v>2</v>
      </c>
      <c r="C462" s="19" t="s">
        <v>1757</v>
      </c>
      <c r="D462" s="20" t="s">
        <v>200</v>
      </c>
      <c r="E462" s="20" t="s">
        <v>79</v>
      </c>
      <c r="F462" s="21" t="s">
        <v>80</v>
      </c>
      <c r="G462" s="38" t="s">
        <v>1169</v>
      </c>
      <c r="H462" s="39" t="s">
        <v>1085</v>
      </c>
      <c r="I462" s="39"/>
      <c r="J462" s="21" t="s">
        <v>144</v>
      </c>
      <c r="K462" s="21" t="s">
        <v>145</v>
      </c>
      <c r="L462" s="21" t="s">
        <v>203</v>
      </c>
      <c r="M462" s="21" t="s">
        <v>109</v>
      </c>
      <c r="N462" s="21" t="s">
        <v>109</v>
      </c>
      <c r="O462" s="20" t="s">
        <v>1758</v>
      </c>
      <c r="P462" s="45">
        <v>45764</v>
      </c>
      <c r="Q462" s="39" t="s">
        <v>1759</v>
      </c>
      <c r="R462" s="19">
        <v>1500</v>
      </c>
      <c r="S462" s="21">
        <v>0.2</v>
      </c>
      <c r="T462" s="21">
        <v>1800</v>
      </c>
      <c r="U462" s="44" t="s">
        <v>1760</v>
      </c>
      <c r="V462" s="22">
        <v>45795</v>
      </c>
      <c r="W462" s="54" t="s">
        <v>91</v>
      </c>
      <c r="X462" s="23"/>
      <c r="Y462" s="23" t="s">
        <v>92</v>
      </c>
      <c r="Z462" s="56" t="s">
        <v>1761</v>
      </c>
      <c r="AA462" s="24">
        <v>853366</v>
      </c>
      <c r="AB462" s="19"/>
      <c r="AC462" s="19"/>
      <c r="AD462" s="15" t="e">
        <f ca="1">IF(AND($D462&lt;&gt;"",COUNTIF(OFFSET(UFS!$E$2,MATCH($D462&amp;"",UFS!$A$2:$A$175,0)-1,0,COUNTIF(UFS!$A$2:$A$175,$D462&amp;""),1),M462)&gt;0),"Valide","Invalide")</f>
        <v>#N/A</v>
      </c>
      <c r="AH462" s="15" t="str">
        <f t="shared" si="7"/>
        <v>En attente</v>
      </c>
    </row>
    <row r="463" spans="1:34" s="15" customFormat="1" ht="45" hidden="1" customHeight="1" x14ac:dyDescent="0.3">
      <c r="A463" s="42">
        <v>463</v>
      </c>
      <c r="B463" s="19" t="s">
        <v>709</v>
      </c>
      <c r="C463" s="19" t="s">
        <v>23</v>
      </c>
      <c r="D463" s="20" t="s">
        <v>130</v>
      </c>
      <c r="E463" s="20" t="s">
        <v>79</v>
      </c>
      <c r="F463" s="21" t="s">
        <v>80</v>
      </c>
      <c r="G463" s="38" t="s">
        <v>241</v>
      </c>
      <c r="H463" s="39" t="s">
        <v>643</v>
      </c>
      <c r="I463" s="39" t="s">
        <v>644</v>
      </c>
      <c r="J463" s="21" t="s">
        <v>124</v>
      </c>
      <c r="K463" s="21" t="s">
        <v>125</v>
      </c>
      <c r="L463" s="21" t="s">
        <v>203</v>
      </c>
      <c r="M463" s="21" t="s">
        <v>131</v>
      </c>
      <c r="N463" s="21" t="s">
        <v>711</v>
      </c>
      <c r="O463" s="20" t="s">
        <v>1762</v>
      </c>
      <c r="P463" s="45">
        <v>45793</v>
      </c>
      <c r="Q463" s="39" t="s">
        <v>1763</v>
      </c>
      <c r="R463" s="19">
        <v>379.8</v>
      </c>
      <c r="S463" s="21">
        <v>0.1</v>
      </c>
      <c r="T463" s="21">
        <v>417.78</v>
      </c>
      <c r="U463" s="60" t="s">
        <v>714</v>
      </c>
      <c r="V463" s="22">
        <v>45796</v>
      </c>
      <c r="W463" s="54" t="s">
        <v>91</v>
      </c>
      <c r="X463" s="23"/>
      <c r="Y463" s="23" t="s">
        <v>92</v>
      </c>
      <c r="Z463" s="56" t="s">
        <v>446</v>
      </c>
      <c r="AA463" s="24">
        <v>853501</v>
      </c>
      <c r="AB463" s="19"/>
      <c r="AC463" s="19" t="s">
        <v>94</v>
      </c>
      <c r="AD463" s="15" t="str">
        <f ca="1">IF(AND($D463&lt;&gt;"",COUNTIF(OFFSET(UFS!$E$2,MATCH($D463&amp;"",UFS!$A$2:$A$175,0)-1,0,COUNTIF(UFS!$A$2:$A$175,$D463&amp;""),1),M463)&gt;0),"Valide","Invalide")</f>
        <v>Valide</v>
      </c>
      <c r="AH463" s="15" t="str">
        <f t="shared" si="7"/>
        <v>En attente</v>
      </c>
    </row>
    <row r="464" spans="1:34" s="15" customFormat="1" ht="45" hidden="1" customHeight="1" x14ac:dyDescent="0.3">
      <c r="A464" s="42">
        <v>464</v>
      </c>
      <c r="B464" s="19" t="s">
        <v>24</v>
      </c>
      <c r="C464" s="19" t="s">
        <v>35</v>
      </c>
      <c r="D464" s="20" t="s">
        <v>233</v>
      </c>
      <c r="E464" s="20" t="s">
        <v>79</v>
      </c>
      <c r="F464" s="21" t="s">
        <v>80</v>
      </c>
      <c r="G464" s="38" t="s">
        <v>81</v>
      </c>
      <c r="H464" s="39"/>
      <c r="I464" s="39" t="s">
        <v>83</v>
      </c>
      <c r="J464" s="21" t="s">
        <v>124</v>
      </c>
      <c r="K464" s="21" t="s">
        <v>235</v>
      </c>
      <c r="L464" s="21" t="s">
        <v>177</v>
      </c>
      <c r="M464" s="21" t="s">
        <v>109</v>
      </c>
      <c r="N464" s="21" t="s">
        <v>109</v>
      </c>
      <c r="O464" s="20" t="s">
        <v>1764</v>
      </c>
      <c r="P464" s="45">
        <v>45796</v>
      </c>
      <c r="Q464" s="39" t="s">
        <v>1765</v>
      </c>
      <c r="R464" s="19">
        <v>1187.96</v>
      </c>
      <c r="S464" s="21">
        <v>0.1</v>
      </c>
      <c r="T464" s="21">
        <v>1306.7560000000001</v>
      </c>
      <c r="U464" s="60" t="s">
        <v>1766</v>
      </c>
      <c r="V464" s="22">
        <v>45798</v>
      </c>
      <c r="W464" s="54" t="s">
        <v>91</v>
      </c>
      <c r="X464" s="23"/>
      <c r="Y464" s="23" t="s">
        <v>92</v>
      </c>
      <c r="Z464" s="56" t="s">
        <v>446</v>
      </c>
      <c r="AA464" s="24">
        <v>853502</v>
      </c>
      <c r="AB464" s="19"/>
      <c r="AC464" s="46" t="s">
        <v>94</v>
      </c>
      <c r="AD464" s="15" t="str">
        <f ca="1">IF(AND($D464&lt;&gt;"",COUNTIF(OFFSET(UFS!$E$2,MATCH($D464&amp;"",UFS!$A$2:$A$175,0)-1,0,COUNTIF(UFS!$A$2:$A$175,$D464&amp;""),1),M464)&gt;0),"Valide","Invalide")</f>
        <v>Valide</v>
      </c>
      <c r="AH464" s="15" t="str">
        <f t="shared" si="7"/>
        <v>En attente</v>
      </c>
    </row>
    <row r="465" spans="1:34" s="15" customFormat="1" ht="45" hidden="1" customHeight="1" x14ac:dyDescent="0.3">
      <c r="A465" s="42">
        <v>465</v>
      </c>
      <c r="B465" s="19" t="s">
        <v>20</v>
      </c>
      <c r="C465" s="19" t="s">
        <v>1</v>
      </c>
      <c r="D465" s="20" t="s">
        <v>432</v>
      </c>
      <c r="E465" s="20" t="s">
        <v>79</v>
      </c>
      <c r="F465" s="21" t="s">
        <v>433</v>
      </c>
      <c r="G465" s="38" t="s">
        <v>81</v>
      </c>
      <c r="H465" s="39" t="s">
        <v>82</v>
      </c>
      <c r="I465" s="39" t="s">
        <v>83</v>
      </c>
      <c r="J465" s="21" t="s">
        <v>144</v>
      </c>
      <c r="K465" s="21" t="s">
        <v>145</v>
      </c>
      <c r="L465" s="21" t="s">
        <v>434</v>
      </c>
      <c r="M465" s="21" t="s">
        <v>435</v>
      </c>
      <c r="N465" s="21" t="s">
        <v>436</v>
      </c>
      <c r="O465" s="20" t="s">
        <v>1767</v>
      </c>
      <c r="P465" s="45">
        <v>45796</v>
      </c>
      <c r="Q465" s="39" t="s">
        <v>1768</v>
      </c>
      <c r="R465" s="19">
        <v>184.83</v>
      </c>
      <c r="S465" s="21">
        <v>0.1</v>
      </c>
      <c r="T465" s="21">
        <v>203.31300000000002</v>
      </c>
      <c r="U465" s="60" t="s">
        <v>1769</v>
      </c>
      <c r="V465" s="22">
        <v>45798</v>
      </c>
      <c r="W465" s="54" t="s">
        <v>91</v>
      </c>
      <c r="X465" s="23"/>
      <c r="Y465" s="23" t="s">
        <v>92</v>
      </c>
      <c r="Z465" s="56" t="s">
        <v>446</v>
      </c>
      <c r="AA465" s="24">
        <v>853504</v>
      </c>
      <c r="AB465" s="19"/>
      <c r="AC465" s="46" t="s">
        <v>94</v>
      </c>
      <c r="AD465" s="15" t="str">
        <f ca="1">IF(AND($D465&lt;&gt;"",COUNTIF(OFFSET(UFS!$E$2,MATCH($D465&amp;"",UFS!$A$2:$A$175,0)-1,0,COUNTIF(UFS!$A$2:$A$175,$D465&amp;""),1),M465)&gt;0),"Valide","Invalide")</f>
        <v>Valide</v>
      </c>
      <c r="AH465" s="15" t="str">
        <f t="shared" si="7"/>
        <v>En attente</v>
      </c>
    </row>
    <row r="466" spans="1:34" s="15" customFormat="1" ht="45" hidden="1" customHeight="1" x14ac:dyDescent="0.3">
      <c r="A466" s="42">
        <v>466</v>
      </c>
      <c r="B466" s="19" t="s">
        <v>24</v>
      </c>
      <c r="C466" s="19" t="s">
        <v>35</v>
      </c>
      <c r="D466" s="20" t="s">
        <v>1436</v>
      </c>
      <c r="E466" s="20" t="s">
        <v>79</v>
      </c>
      <c r="F466" s="21" t="s">
        <v>80</v>
      </c>
      <c r="G466" s="38" t="s">
        <v>81</v>
      </c>
      <c r="H466" s="39" t="s">
        <v>426</v>
      </c>
      <c r="I466" s="39" t="s">
        <v>83</v>
      </c>
      <c r="J466" s="21" t="s">
        <v>361</v>
      </c>
      <c r="K466" s="21" t="s">
        <v>1437</v>
      </c>
      <c r="L466" s="21" t="s">
        <v>114</v>
      </c>
      <c r="M466" s="21" t="s">
        <v>1437</v>
      </c>
      <c r="N466" s="21" t="s">
        <v>87</v>
      </c>
      <c r="O466" s="20" t="s">
        <v>1770</v>
      </c>
      <c r="P466" s="45">
        <v>45792</v>
      </c>
      <c r="Q466" s="39" t="s">
        <v>1771</v>
      </c>
      <c r="R466" s="19">
        <v>2945.31</v>
      </c>
      <c r="S466" s="21">
        <v>0.2</v>
      </c>
      <c r="T466" s="21">
        <v>3534.3719999999998</v>
      </c>
      <c r="U466" s="44" t="s">
        <v>1772</v>
      </c>
      <c r="V466" s="22">
        <v>45798</v>
      </c>
      <c r="W466" s="54" t="s">
        <v>91</v>
      </c>
      <c r="X466" s="23"/>
      <c r="Y466" s="23" t="s">
        <v>92</v>
      </c>
      <c r="Z466" s="56" t="s">
        <v>446</v>
      </c>
      <c r="AA466" s="24">
        <v>853508</v>
      </c>
      <c r="AB466" s="19"/>
      <c r="AC466" s="46" t="s">
        <v>94</v>
      </c>
      <c r="AD466" s="15" t="str">
        <f ca="1">IF(AND($D466&lt;&gt;"",COUNTIF(OFFSET(UFS!$E$2,MATCH($D466&amp;"",UFS!$A$2:$A$175,0)-1,0,COUNTIF(UFS!$A$2:$A$175,$D466&amp;""),1),M466)&gt;0),"Valide","Invalide")</f>
        <v>Valide</v>
      </c>
      <c r="AH466" s="15" t="str">
        <f t="shared" si="7"/>
        <v>En attente</v>
      </c>
    </row>
    <row r="467" spans="1:34" s="15" customFormat="1" ht="45" hidden="1" customHeight="1" x14ac:dyDescent="0.3">
      <c r="A467" s="42">
        <v>467</v>
      </c>
      <c r="B467" s="19" t="s">
        <v>16</v>
      </c>
      <c r="C467" s="19" t="s">
        <v>30</v>
      </c>
      <c r="D467" s="20" t="s">
        <v>633</v>
      </c>
      <c r="E467" s="20" t="s">
        <v>79</v>
      </c>
      <c r="F467" s="21" t="s">
        <v>80</v>
      </c>
      <c r="G467" s="38" t="s">
        <v>81</v>
      </c>
      <c r="H467" s="39" t="s">
        <v>82</v>
      </c>
      <c r="I467" s="39" t="s">
        <v>83</v>
      </c>
      <c r="J467" s="21" t="s">
        <v>634</v>
      </c>
      <c r="K467" s="21" t="s">
        <v>635</v>
      </c>
      <c r="L467" s="21" t="s">
        <v>636</v>
      </c>
      <c r="M467" s="21" t="s">
        <v>637</v>
      </c>
      <c r="N467" s="21" t="s">
        <v>151</v>
      </c>
      <c r="O467" s="20" t="s">
        <v>1773</v>
      </c>
      <c r="P467" s="45">
        <v>45797</v>
      </c>
      <c r="Q467" s="39" t="s">
        <v>1774</v>
      </c>
      <c r="R467" s="19">
        <v>1256.6099999999999</v>
      </c>
      <c r="S467" s="21">
        <v>0.2</v>
      </c>
      <c r="T467" s="21">
        <v>1507.9319999999998</v>
      </c>
      <c r="U467" s="44" t="s">
        <v>1775</v>
      </c>
      <c r="V467" s="22">
        <v>45798</v>
      </c>
      <c r="W467" s="54" t="s">
        <v>91</v>
      </c>
      <c r="X467" s="23"/>
      <c r="Y467" s="23" t="s">
        <v>92</v>
      </c>
      <c r="Z467" s="56" t="s">
        <v>446</v>
      </c>
      <c r="AA467" s="24">
        <v>853510</v>
      </c>
      <c r="AB467" s="19"/>
      <c r="AC467" s="46" t="s">
        <v>94</v>
      </c>
      <c r="AD467" s="15" t="str">
        <f ca="1">IF(AND($D467&lt;&gt;"",COUNTIF(OFFSET(UFS!$E$2,MATCH($D467&amp;"",UFS!$A$2:$A$175,0)-1,0,COUNTIF(UFS!$A$2:$A$175,$D467&amp;""),1),M467)&gt;0),"Valide","Invalide")</f>
        <v>Valide</v>
      </c>
      <c r="AH467" s="15" t="str">
        <f t="shared" si="7"/>
        <v>En attente</v>
      </c>
    </row>
    <row r="468" spans="1:34" s="15" customFormat="1" ht="45" hidden="1" customHeight="1" x14ac:dyDescent="0.3">
      <c r="A468" s="42">
        <v>468</v>
      </c>
      <c r="B468" s="19" t="s">
        <v>16</v>
      </c>
      <c r="C468" s="19" t="s">
        <v>30</v>
      </c>
      <c r="D468" s="20" t="s">
        <v>902</v>
      </c>
      <c r="E468" s="20" t="s">
        <v>79</v>
      </c>
      <c r="F468" s="21" t="s">
        <v>80</v>
      </c>
      <c r="G468" s="38" t="s">
        <v>81</v>
      </c>
      <c r="H468" s="39" t="s">
        <v>82</v>
      </c>
      <c r="I468" s="39" t="s">
        <v>83</v>
      </c>
      <c r="J468" s="21" t="s">
        <v>144</v>
      </c>
      <c r="K468" s="21" t="s">
        <v>145</v>
      </c>
      <c r="L468" s="21" t="s">
        <v>192</v>
      </c>
      <c r="M468" s="21" t="s">
        <v>903</v>
      </c>
      <c r="N468" s="21" t="s">
        <v>102</v>
      </c>
      <c r="O468" s="20" t="s">
        <v>1776</v>
      </c>
      <c r="P468" s="45">
        <v>45797</v>
      </c>
      <c r="Q468" s="39" t="s">
        <v>1777</v>
      </c>
      <c r="R468" s="19">
        <v>3852.09</v>
      </c>
      <c r="S468" s="21">
        <v>0.1</v>
      </c>
      <c r="T468" s="21">
        <v>4237.299</v>
      </c>
      <c r="U468" s="44" t="s">
        <v>1778</v>
      </c>
      <c r="V468" s="22">
        <v>45798</v>
      </c>
      <c r="W468" s="54" t="s">
        <v>91</v>
      </c>
      <c r="X468" s="23"/>
      <c r="Y468" s="23" t="s">
        <v>92</v>
      </c>
      <c r="Z468" s="56" t="s">
        <v>1779</v>
      </c>
      <c r="AA468" s="24">
        <v>855786</v>
      </c>
      <c r="AB468" s="19"/>
      <c r="AC468" s="46" t="s">
        <v>94</v>
      </c>
      <c r="AD468" s="15" t="str">
        <f ca="1">IF(AND($D468&lt;&gt;"",COUNTIF(OFFSET(UFS!$E$2,MATCH($D468&amp;"",UFS!$A$2:$A$175,0)-1,0,COUNTIF(UFS!$A$2:$A$175,$D468&amp;""),1),M468)&gt;0),"Valide","Invalide")</f>
        <v>Valide</v>
      </c>
      <c r="AH468" s="15" t="str">
        <f t="shared" si="7"/>
        <v>En attente</v>
      </c>
    </row>
    <row r="469" spans="1:34" s="15" customFormat="1" ht="45" hidden="1" customHeight="1" x14ac:dyDescent="0.3">
      <c r="A469" s="42">
        <v>469</v>
      </c>
      <c r="B469" s="19" t="s">
        <v>26</v>
      </c>
      <c r="C469" s="19" t="s">
        <v>35</v>
      </c>
      <c r="D469" s="20" t="s">
        <v>1076</v>
      </c>
      <c r="E469" s="20" t="s">
        <v>96</v>
      </c>
      <c r="F469" s="21" t="s">
        <v>80</v>
      </c>
      <c r="G469" s="38" t="s">
        <v>175</v>
      </c>
      <c r="H469" s="39"/>
      <c r="I469" s="39" t="s">
        <v>1320</v>
      </c>
      <c r="J469" s="21" t="s">
        <v>144</v>
      </c>
      <c r="K469" s="21" t="s">
        <v>145</v>
      </c>
      <c r="L469" s="21" t="s">
        <v>120</v>
      </c>
      <c r="M469" s="21" t="s">
        <v>1077</v>
      </c>
      <c r="N469" s="21" t="s">
        <v>165</v>
      </c>
      <c r="O469" s="20" t="s">
        <v>1780</v>
      </c>
      <c r="P469" s="45">
        <v>45798</v>
      </c>
      <c r="Q469" s="39" t="s">
        <v>1781</v>
      </c>
      <c r="R469" s="19">
        <v>1149.75</v>
      </c>
      <c r="S469" s="21">
        <v>0.2</v>
      </c>
      <c r="T469" s="21">
        <v>1379.7</v>
      </c>
      <c r="U469" s="60" t="s">
        <v>1782</v>
      </c>
      <c r="V469" s="22">
        <v>45798</v>
      </c>
      <c r="W469" s="54" t="s">
        <v>91</v>
      </c>
      <c r="X469" s="23"/>
      <c r="Y469" s="23" t="s">
        <v>92</v>
      </c>
      <c r="Z469" s="56" t="s">
        <v>446</v>
      </c>
      <c r="AA469" s="24">
        <v>853519</v>
      </c>
      <c r="AB469" s="19"/>
      <c r="AC469" s="46" t="s">
        <v>94</v>
      </c>
      <c r="AD469" s="15" t="str">
        <f ca="1">IF(AND($D469&lt;&gt;"",COUNTIF(OFFSET(UFS!$E$2,MATCH($D469&amp;"",UFS!$A$2:$A$175,0)-1,0,COUNTIF(UFS!$A$2:$A$175,$D469&amp;""),1),M469)&gt;0),"Valide","Invalide")</f>
        <v>Valide</v>
      </c>
      <c r="AH469" s="15" t="str">
        <f t="shared" si="7"/>
        <v>En attente</v>
      </c>
    </row>
    <row r="470" spans="1:34" s="15" customFormat="1" ht="45" hidden="1" customHeight="1" x14ac:dyDescent="0.3">
      <c r="A470" s="42">
        <v>470</v>
      </c>
      <c r="B470" s="19" t="s">
        <v>24</v>
      </c>
      <c r="C470" s="19" t="s">
        <v>28</v>
      </c>
      <c r="D470" s="20" t="s">
        <v>123</v>
      </c>
      <c r="E470" s="20" t="s">
        <v>96</v>
      </c>
      <c r="F470" s="21" t="s">
        <v>80</v>
      </c>
      <c r="G470" s="38" t="s">
        <v>294</v>
      </c>
      <c r="H470" s="39"/>
      <c r="I470" s="39" t="s">
        <v>1783</v>
      </c>
      <c r="J470" s="21" t="s">
        <v>124</v>
      </c>
      <c r="K470" s="21" t="s">
        <v>125</v>
      </c>
      <c r="L470" s="21" t="s">
        <v>126</v>
      </c>
      <c r="M470" s="21" t="s">
        <v>109</v>
      </c>
      <c r="N470" s="21" t="s">
        <v>109</v>
      </c>
      <c r="O470" s="20" t="s">
        <v>1784</v>
      </c>
      <c r="P470" s="45">
        <v>45775</v>
      </c>
      <c r="Q470" s="39" t="s">
        <v>1785</v>
      </c>
      <c r="R470" s="19">
        <v>12176.05</v>
      </c>
      <c r="S470" s="21">
        <v>0.1</v>
      </c>
      <c r="T470" s="21">
        <v>13393.654999999999</v>
      </c>
      <c r="U470" s="60" t="s">
        <v>1786</v>
      </c>
      <c r="V470" s="22">
        <v>45812</v>
      </c>
      <c r="W470" s="54" t="s">
        <v>91</v>
      </c>
      <c r="X470" s="23"/>
      <c r="Y470" s="23" t="s">
        <v>92</v>
      </c>
      <c r="Z470" s="56" t="s">
        <v>446</v>
      </c>
      <c r="AA470" s="24">
        <v>853892</v>
      </c>
      <c r="AB470" s="19"/>
      <c r="AC470" s="46" t="s">
        <v>94</v>
      </c>
      <c r="AD470" s="15" t="str">
        <f ca="1">IF(AND($D470&lt;&gt;"",COUNTIF(OFFSET(UFS!$E$2,MATCH($D470&amp;"",UFS!$A$2:$A$175,0)-1,0,COUNTIF(UFS!$A$2:$A$175,$D470&amp;""),1),M470)&gt;0),"Valide","Invalide")</f>
        <v>Valide</v>
      </c>
      <c r="AH470" s="15" t="str">
        <f t="shared" si="7"/>
        <v>En attente</v>
      </c>
    </row>
    <row r="471" spans="1:34" s="15" customFormat="1" ht="45" hidden="1" customHeight="1" x14ac:dyDescent="0.3">
      <c r="A471" s="42">
        <v>471</v>
      </c>
      <c r="B471" s="19" t="s">
        <v>24</v>
      </c>
      <c r="C471" s="19" t="s">
        <v>11</v>
      </c>
      <c r="D471" s="20" t="s">
        <v>123</v>
      </c>
      <c r="E471" s="20" t="s">
        <v>96</v>
      </c>
      <c r="F471" s="21" t="s">
        <v>80</v>
      </c>
      <c r="G471" s="38" t="s">
        <v>294</v>
      </c>
      <c r="H471" s="39"/>
      <c r="I471" s="39" t="s">
        <v>1783</v>
      </c>
      <c r="J471" s="21" t="s">
        <v>124</v>
      </c>
      <c r="K471" s="21" t="s">
        <v>125</v>
      </c>
      <c r="L471" s="21" t="s">
        <v>126</v>
      </c>
      <c r="M471" s="21" t="s">
        <v>109</v>
      </c>
      <c r="N471" s="21" t="s">
        <v>109</v>
      </c>
      <c r="O471" s="20" t="s">
        <v>1787</v>
      </c>
      <c r="P471" s="45">
        <v>45786</v>
      </c>
      <c r="Q471" s="39" t="s">
        <v>1788</v>
      </c>
      <c r="R471" s="53">
        <v>3262.19</v>
      </c>
      <c r="S471" s="21">
        <v>0.1</v>
      </c>
      <c r="T471" s="21">
        <v>3588.4090000000001</v>
      </c>
      <c r="U471" s="44" t="s">
        <v>1789</v>
      </c>
      <c r="V471" s="22">
        <v>45799</v>
      </c>
      <c r="W471" s="54" t="s">
        <v>91</v>
      </c>
      <c r="X471" s="23"/>
      <c r="Y471" s="23" t="s">
        <v>92</v>
      </c>
      <c r="Z471" s="56" t="s">
        <v>446</v>
      </c>
      <c r="AA471" s="24">
        <v>853604</v>
      </c>
      <c r="AB471" s="19"/>
      <c r="AC471" s="46" t="s">
        <v>94</v>
      </c>
      <c r="AD471" s="15" t="str">
        <f ca="1">IF(AND($D471&lt;&gt;"",COUNTIF(OFFSET(UFS!$E$2,MATCH($D471&amp;"",UFS!$A$2:$A$175,0)-1,0,COUNTIF(UFS!$A$2:$A$175,$D471&amp;""),1),M471)&gt;0),"Valide","Invalide")</f>
        <v>Valide</v>
      </c>
      <c r="AH471" s="15" t="str">
        <f t="shared" si="7"/>
        <v>En attente</v>
      </c>
    </row>
    <row r="472" spans="1:34" s="15" customFormat="1" ht="45" hidden="1" customHeight="1" x14ac:dyDescent="0.3">
      <c r="A472" s="42">
        <v>472</v>
      </c>
      <c r="B472" s="19" t="s">
        <v>24</v>
      </c>
      <c r="C472" s="19" t="s">
        <v>35</v>
      </c>
      <c r="D472" s="20" t="s">
        <v>123</v>
      </c>
      <c r="E472" s="20" t="s">
        <v>96</v>
      </c>
      <c r="F472" s="21" t="s">
        <v>80</v>
      </c>
      <c r="G472" s="38" t="s">
        <v>294</v>
      </c>
      <c r="H472" s="39"/>
      <c r="I472" s="39" t="s">
        <v>1783</v>
      </c>
      <c r="J472" s="21" t="s">
        <v>124</v>
      </c>
      <c r="K472" s="21" t="s">
        <v>125</v>
      </c>
      <c r="L472" s="21" t="s">
        <v>126</v>
      </c>
      <c r="M472" s="21" t="s">
        <v>109</v>
      </c>
      <c r="N472" s="21" t="s">
        <v>109</v>
      </c>
      <c r="O472" s="20" t="s">
        <v>1790</v>
      </c>
      <c r="P472" s="45">
        <v>45786</v>
      </c>
      <c r="Q472" s="97" t="s">
        <v>1791</v>
      </c>
      <c r="R472" s="19">
        <v>2002.37</v>
      </c>
      <c r="S472" s="21">
        <v>0.1</v>
      </c>
      <c r="T472" s="21">
        <v>2202.607</v>
      </c>
      <c r="U472" s="44" t="s">
        <v>1789</v>
      </c>
      <c r="V472" s="22">
        <v>45799</v>
      </c>
      <c r="W472" s="54" t="s">
        <v>91</v>
      </c>
      <c r="X472" s="23"/>
      <c r="Y472" s="23" t="s">
        <v>92</v>
      </c>
      <c r="Z472" s="56" t="s">
        <v>446</v>
      </c>
      <c r="AA472" s="24">
        <v>853605</v>
      </c>
      <c r="AB472" s="19"/>
      <c r="AC472" s="46" t="s">
        <v>94</v>
      </c>
      <c r="AD472" s="15" t="str">
        <f ca="1">IF(AND($D472&lt;&gt;"",COUNTIF(OFFSET(UFS!$E$2,MATCH($D472&amp;"",UFS!$A$2:$A$175,0)-1,0,COUNTIF(UFS!$A$2:$A$175,$D472&amp;""),1),M472)&gt;0),"Valide","Invalide")</f>
        <v>Valide</v>
      </c>
      <c r="AH472" s="15" t="str">
        <f t="shared" si="7"/>
        <v>En attente</v>
      </c>
    </row>
    <row r="473" spans="1:34" s="15" customFormat="1" ht="45" hidden="1" customHeight="1" x14ac:dyDescent="0.3">
      <c r="A473" s="42">
        <v>473</v>
      </c>
      <c r="B473" s="19" t="s">
        <v>24</v>
      </c>
      <c r="C473" s="19" t="s">
        <v>1</v>
      </c>
      <c r="D473" s="20" t="s">
        <v>123</v>
      </c>
      <c r="E473" s="20" t="s">
        <v>96</v>
      </c>
      <c r="F473" s="21" t="s">
        <v>80</v>
      </c>
      <c r="G473" s="38" t="s">
        <v>288</v>
      </c>
      <c r="H473" s="39"/>
      <c r="I473" s="39" t="s">
        <v>1783</v>
      </c>
      <c r="J473" s="21" t="s">
        <v>124</v>
      </c>
      <c r="K473" s="21" t="s">
        <v>125</v>
      </c>
      <c r="L473" s="21" t="s">
        <v>126</v>
      </c>
      <c r="M473" s="21" t="s">
        <v>109</v>
      </c>
      <c r="N473" s="21" t="s">
        <v>109</v>
      </c>
      <c r="O473" s="20"/>
      <c r="P473" s="45">
        <v>45765</v>
      </c>
      <c r="Q473" s="129" t="s">
        <v>1792</v>
      </c>
      <c r="R473" s="19">
        <v>2809.05</v>
      </c>
      <c r="S473" s="21">
        <v>0.1</v>
      </c>
      <c r="T473" s="21">
        <v>3089.9550000000004</v>
      </c>
      <c r="U473" s="44" t="s">
        <v>1789</v>
      </c>
      <c r="V473" s="22">
        <v>45799</v>
      </c>
      <c r="W473" s="54" t="s">
        <v>91</v>
      </c>
      <c r="X473" s="23"/>
      <c r="Y473" s="23" t="s">
        <v>92</v>
      </c>
      <c r="Z473" s="56" t="s">
        <v>446</v>
      </c>
      <c r="AA473" s="24">
        <v>853607</v>
      </c>
      <c r="AB473" s="19"/>
      <c r="AC473" s="46" t="s">
        <v>94</v>
      </c>
      <c r="AD473" s="15" t="str">
        <f ca="1">IF(AND($D473&lt;&gt;"",COUNTIF(OFFSET(UFS!$E$2,MATCH($D473&amp;"",UFS!$A$2:$A$175,0)-1,0,COUNTIF(UFS!$A$2:$A$175,$D473&amp;""),1),M473)&gt;0),"Valide","Invalide")</f>
        <v>Valide</v>
      </c>
      <c r="AH473" s="15" t="str">
        <f t="shared" si="7"/>
        <v>En attente</v>
      </c>
    </row>
    <row r="474" spans="1:34" s="15" customFormat="1" ht="45" hidden="1" customHeight="1" x14ac:dyDescent="0.3">
      <c r="A474" s="42">
        <v>474</v>
      </c>
      <c r="B474" s="19" t="s">
        <v>24</v>
      </c>
      <c r="C474" s="19" t="s">
        <v>15</v>
      </c>
      <c r="D474" s="20" t="s">
        <v>123</v>
      </c>
      <c r="E474" s="20" t="s">
        <v>96</v>
      </c>
      <c r="F474" s="21" t="s">
        <v>80</v>
      </c>
      <c r="G474" s="38" t="s">
        <v>294</v>
      </c>
      <c r="H474" s="39"/>
      <c r="I474" s="39" t="s">
        <v>1783</v>
      </c>
      <c r="J474" s="21" t="s">
        <v>124</v>
      </c>
      <c r="K474" s="21" t="s">
        <v>125</v>
      </c>
      <c r="L474" s="21" t="s">
        <v>126</v>
      </c>
      <c r="M474" s="21" t="s">
        <v>109</v>
      </c>
      <c r="N474" s="21" t="s">
        <v>109</v>
      </c>
      <c r="O474" s="20" t="s">
        <v>1793</v>
      </c>
      <c r="P474" s="45">
        <v>45771</v>
      </c>
      <c r="Q474" s="39" t="s">
        <v>1794</v>
      </c>
      <c r="R474" s="53">
        <v>5395.42</v>
      </c>
      <c r="S474" s="21">
        <v>0.1</v>
      </c>
      <c r="T474" s="21">
        <v>5934.9620000000004</v>
      </c>
      <c r="U474" s="44" t="s">
        <v>1789</v>
      </c>
      <c r="V474" s="22">
        <v>45799</v>
      </c>
      <c r="W474" s="54" t="s">
        <v>91</v>
      </c>
      <c r="X474" s="23"/>
      <c r="Y474" s="23" t="s">
        <v>92</v>
      </c>
      <c r="Z474" s="56" t="s">
        <v>446</v>
      </c>
      <c r="AA474" s="24">
        <v>853609</v>
      </c>
      <c r="AB474" s="19"/>
      <c r="AC474" s="46" t="s">
        <v>94</v>
      </c>
      <c r="AD474" s="15" t="str">
        <f ca="1">IF(AND($D474&lt;&gt;"",COUNTIF(OFFSET(UFS!$E$2,MATCH($D474&amp;"",UFS!$A$2:$A$175,0)-1,0,COUNTIF(UFS!$A$2:$A$175,$D474&amp;""),1),M474)&gt;0),"Valide","Invalide")</f>
        <v>Valide</v>
      </c>
      <c r="AH474" s="15" t="str">
        <f t="shared" si="7"/>
        <v>En attente</v>
      </c>
    </row>
    <row r="475" spans="1:34" s="15" customFormat="1" ht="45" hidden="1" customHeight="1" x14ac:dyDescent="0.3">
      <c r="A475" s="42">
        <v>475</v>
      </c>
      <c r="B475" s="19" t="s">
        <v>26</v>
      </c>
      <c r="C475" s="19" t="s">
        <v>11</v>
      </c>
      <c r="D475" s="20" t="s">
        <v>1669</v>
      </c>
      <c r="E475" s="20" t="s">
        <v>96</v>
      </c>
      <c r="F475" s="21" t="s">
        <v>80</v>
      </c>
      <c r="G475" s="38" t="s">
        <v>320</v>
      </c>
      <c r="H475" s="39"/>
      <c r="I475" s="39"/>
      <c r="J475" s="21" t="s">
        <v>144</v>
      </c>
      <c r="K475" s="21" t="s">
        <v>145</v>
      </c>
      <c r="L475" s="21" t="s">
        <v>146</v>
      </c>
      <c r="M475" s="21" t="s">
        <v>1671</v>
      </c>
      <c r="N475" s="21" t="s">
        <v>813</v>
      </c>
      <c r="O475" s="20" t="s">
        <v>1795</v>
      </c>
      <c r="P475" s="45">
        <v>45791</v>
      </c>
      <c r="Q475" s="39" t="s">
        <v>1673</v>
      </c>
      <c r="R475" s="19">
        <v>9222.5</v>
      </c>
      <c r="S475" s="21">
        <v>0.1</v>
      </c>
      <c r="T475" s="21">
        <v>10144.75</v>
      </c>
      <c r="U475" s="44" t="s">
        <v>1796</v>
      </c>
      <c r="V475" s="22">
        <v>45799</v>
      </c>
      <c r="W475" s="54" t="s">
        <v>91</v>
      </c>
      <c r="X475" s="23"/>
      <c r="Y475" s="23" t="s">
        <v>92</v>
      </c>
      <c r="Z475" s="102" t="s">
        <v>1797</v>
      </c>
      <c r="AA475" s="24">
        <v>855292</v>
      </c>
      <c r="AB475" s="19"/>
      <c r="AC475" s="46" t="s">
        <v>94</v>
      </c>
      <c r="AD475" s="15" t="str">
        <f ca="1">IF(AND($D475&lt;&gt;"",COUNTIF(OFFSET(UFS!$E$2,MATCH($D475&amp;"",UFS!$A$2:$A$175,0)-1,0,COUNTIF(UFS!$A$2:$A$175,$D475&amp;""),1),M475)&gt;0),"Valide","Invalide")</f>
        <v>Valide</v>
      </c>
      <c r="AH475" s="15" t="str">
        <f t="shared" si="7"/>
        <v>En attente</v>
      </c>
    </row>
    <row r="476" spans="1:34" s="15" customFormat="1" ht="45" hidden="1" customHeight="1" x14ac:dyDescent="0.3">
      <c r="A476" s="42">
        <v>476</v>
      </c>
      <c r="B476" s="19" t="s">
        <v>26</v>
      </c>
      <c r="C476" s="19" t="s">
        <v>30</v>
      </c>
      <c r="D476" s="20" t="s">
        <v>95</v>
      </c>
      <c r="E476" s="20" t="s">
        <v>79</v>
      </c>
      <c r="F476" s="21" t="s">
        <v>80</v>
      </c>
      <c r="G476" s="38" t="s">
        <v>182</v>
      </c>
      <c r="H476" s="39"/>
      <c r="I476" s="39" t="s">
        <v>83</v>
      </c>
      <c r="J476" s="21" t="s">
        <v>98</v>
      </c>
      <c r="K476" s="21" t="s">
        <v>99</v>
      </c>
      <c r="L476" s="21" t="s">
        <v>100</v>
      </c>
      <c r="M476" s="21" t="s">
        <v>101</v>
      </c>
      <c r="N476" s="21" t="s">
        <v>102</v>
      </c>
      <c r="O476" s="20" t="s">
        <v>1798</v>
      </c>
      <c r="P476" s="45">
        <v>45799</v>
      </c>
      <c r="Q476" s="39" t="s">
        <v>1799</v>
      </c>
      <c r="R476" s="19">
        <v>873.43</v>
      </c>
      <c r="S476" s="21">
        <v>0.1</v>
      </c>
      <c r="T476" s="21">
        <v>960.77299999999991</v>
      </c>
      <c r="U476" s="44" t="s">
        <v>1800</v>
      </c>
      <c r="V476" s="22">
        <v>45799</v>
      </c>
      <c r="W476" s="54" t="s">
        <v>91</v>
      </c>
      <c r="X476" s="23"/>
      <c r="Y476" s="23" t="s">
        <v>92</v>
      </c>
      <c r="Z476" s="56" t="s">
        <v>446</v>
      </c>
      <c r="AA476" s="24">
        <v>853612</v>
      </c>
      <c r="AB476" s="19"/>
      <c r="AC476" s="46" t="s">
        <v>94</v>
      </c>
      <c r="AD476" s="15" t="str">
        <f ca="1">IF(AND($D476&lt;&gt;"",COUNTIF(OFFSET(UFS!$E$2,MATCH($D476&amp;"",UFS!$A$2:$A$175,0)-1,0,COUNTIF(UFS!$A$2:$A$175,$D476&amp;""),1),M476)&gt;0),"Valide","Invalide")</f>
        <v>Valide</v>
      </c>
      <c r="AH476" s="15" t="str">
        <f t="shared" si="7"/>
        <v>En attente</v>
      </c>
    </row>
    <row r="477" spans="1:34" s="15" customFormat="1" ht="45" hidden="1" customHeight="1" x14ac:dyDescent="0.3">
      <c r="A477" s="42">
        <v>477</v>
      </c>
      <c r="B477" s="19" t="s">
        <v>26</v>
      </c>
      <c r="C477" s="19" t="s">
        <v>30</v>
      </c>
      <c r="D477" s="20" t="s">
        <v>95</v>
      </c>
      <c r="E477" s="20" t="s">
        <v>96</v>
      </c>
      <c r="F477" s="21" t="s">
        <v>80</v>
      </c>
      <c r="G477" s="38" t="s">
        <v>169</v>
      </c>
      <c r="H477" s="39"/>
      <c r="I477" s="39">
        <v>2025016</v>
      </c>
      <c r="J477" s="21" t="s">
        <v>98</v>
      </c>
      <c r="K477" s="21" t="s">
        <v>99</v>
      </c>
      <c r="L477" s="21" t="s">
        <v>100</v>
      </c>
      <c r="M477" s="21" t="s">
        <v>101</v>
      </c>
      <c r="N477" s="21" t="s">
        <v>102</v>
      </c>
      <c r="O477" s="20" t="s">
        <v>1801</v>
      </c>
      <c r="P477" s="45">
        <v>45775</v>
      </c>
      <c r="Q477" s="39" t="s">
        <v>1802</v>
      </c>
      <c r="R477" s="19">
        <v>6830.86</v>
      </c>
      <c r="S477" s="21">
        <v>0.1</v>
      </c>
      <c r="T477" s="21">
        <v>7513.9459999999999</v>
      </c>
      <c r="U477" s="44" t="s">
        <v>1803</v>
      </c>
      <c r="V477" s="22">
        <v>45799</v>
      </c>
      <c r="W477" s="54" t="s">
        <v>91</v>
      </c>
      <c r="X477" s="23"/>
      <c r="Y477" s="23" t="s">
        <v>92</v>
      </c>
      <c r="Z477" s="56" t="s">
        <v>446</v>
      </c>
      <c r="AA477" s="24">
        <v>853620</v>
      </c>
      <c r="AB477" s="19"/>
      <c r="AC477" s="46" t="s">
        <v>94</v>
      </c>
      <c r="AD477" s="15" t="str">
        <f ca="1">IF(AND($D477&lt;&gt;"",COUNTIF(OFFSET(UFS!$E$2,MATCH($D477&amp;"",UFS!$A$2:$A$175,0)-1,0,COUNTIF(UFS!$A$2:$A$175,$D477&amp;""),1),M477)&gt;0),"Valide","Invalide")</f>
        <v>Valide</v>
      </c>
      <c r="AH477" s="15" t="str">
        <f t="shared" si="7"/>
        <v>En attente</v>
      </c>
    </row>
    <row r="478" spans="1:34" s="15" customFormat="1" ht="45" hidden="1" customHeight="1" x14ac:dyDescent="0.3">
      <c r="A478" s="42">
        <v>478</v>
      </c>
      <c r="B478" s="19" t="s">
        <v>26</v>
      </c>
      <c r="C478" s="19" t="s">
        <v>15</v>
      </c>
      <c r="D478" s="20" t="s">
        <v>95</v>
      </c>
      <c r="E478" s="20" t="s">
        <v>96</v>
      </c>
      <c r="F478" s="21" t="s">
        <v>80</v>
      </c>
      <c r="G478" s="38" t="s">
        <v>294</v>
      </c>
      <c r="H478" s="39"/>
      <c r="I478" s="39">
        <v>2025016</v>
      </c>
      <c r="J478" s="21" t="s">
        <v>98</v>
      </c>
      <c r="K478" s="21" t="s">
        <v>99</v>
      </c>
      <c r="L478" s="21" t="s">
        <v>100</v>
      </c>
      <c r="M478" s="21" t="s">
        <v>101</v>
      </c>
      <c r="N478" s="21" t="s">
        <v>102</v>
      </c>
      <c r="O478" s="20" t="s">
        <v>1804</v>
      </c>
      <c r="P478" s="45">
        <v>45770</v>
      </c>
      <c r="Q478" s="39" t="s">
        <v>1802</v>
      </c>
      <c r="R478" s="19">
        <v>6364.32</v>
      </c>
      <c r="S478" s="21">
        <v>0.1</v>
      </c>
      <c r="T478" s="21">
        <v>7000.7519999999995</v>
      </c>
      <c r="U478" s="60" t="s">
        <v>1803</v>
      </c>
      <c r="V478" s="22">
        <v>45799</v>
      </c>
      <c r="W478" s="54" t="s">
        <v>91</v>
      </c>
      <c r="X478" s="23"/>
      <c r="Y478" s="23" t="s">
        <v>92</v>
      </c>
      <c r="Z478" s="56" t="s">
        <v>446</v>
      </c>
      <c r="AA478" s="24">
        <v>853699</v>
      </c>
      <c r="AB478" s="19"/>
      <c r="AC478" s="46" t="s">
        <v>94</v>
      </c>
      <c r="AD478" s="15" t="str">
        <f ca="1">IF(AND($D478&lt;&gt;"",COUNTIF(OFFSET(UFS!$E$2,MATCH($D478&amp;"",UFS!$A$2:$A$175,0)-1,0,COUNTIF(UFS!$A$2:$A$175,$D478&amp;""),1),M478)&gt;0),"Valide","Invalide")</f>
        <v>Valide</v>
      </c>
      <c r="AH478" s="15" t="str">
        <f t="shared" si="7"/>
        <v>En attente</v>
      </c>
    </row>
    <row r="479" spans="1:34" s="15" customFormat="1" ht="45" hidden="1" customHeight="1" x14ac:dyDescent="0.3">
      <c r="A479" s="42">
        <v>479</v>
      </c>
      <c r="B479" s="19" t="s">
        <v>26</v>
      </c>
      <c r="C479" s="19" t="s">
        <v>35</v>
      </c>
      <c r="D479" s="20" t="s">
        <v>95</v>
      </c>
      <c r="E479" s="20" t="s">
        <v>96</v>
      </c>
      <c r="F479" s="21" t="s">
        <v>80</v>
      </c>
      <c r="G479" s="38" t="s">
        <v>294</v>
      </c>
      <c r="H479" s="39"/>
      <c r="I479" s="39">
        <v>2025016</v>
      </c>
      <c r="J479" s="21" t="s">
        <v>98</v>
      </c>
      <c r="K479" s="21" t="s">
        <v>99</v>
      </c>
      <c r="L479" s="21" t="s">
        <v>100</v>
      </c>
      <c r="M479" s="21" t="s">
        <v>101</v>
      </c>
      <c r="N479" s="21" t="s">
        <v>102</v>
      </c>
      <c r="O479" s="20" t="s">
        <v>1805</v>
      </c>
      <c r="P479" s="45">
        <v>45799</v>
      </c>
      <c r="Q479" s="39" t="s">
        <v>1802</v>
      </c>
      <c r="R479" s="19">
        <v>1181.52</v>
      </c>
      <c r="S479" s="21">
        <v>0.1</v>
      </c>
      <c r="T479" s="21">
        <v>1299.672</v>
      </c>
      <c r="U479" s="44" t="s">
        <v>1803</v>
      </c>
      <c r="V479" s="22">
        <v>45799</v>
      </c>
      <c r="W479" s="54" t="s">
        <v>91</v>
      </c>
      <c r="X479" s="23"/>
      <c r="Y479" s="23" t="s">
        <v>92</v>
      </c>
      <c r="Z479" s="56" t="s">
        <v>446</v>
      </c>
      <c r="AA479" s="24">
        <v>853700</v>
      </c>
      <c r="AB479" s="19"/>
      <c r="AC479" s="46" t="s">
        <v>94</v>
      </c>
      <c r="AD479" s="15" t="str">
        <f ca="1">IF(AND($D479&lt;&gt;"",COUNTIF(OFFSET(UFS!$E$2,MATCH($D479&amp;"",UFS!$A$2:$A$175,0)-1,0,COUNTIF(UFS!$A$2:$A$175,$D479&amp;""),1),M479)&gt;0),"Valide","Invalide")</f>
        <v>Valide</v>
      </c>
      <c r="AH479" s="15" t="str">
        <f t="shared" si="7"/>
        <v>En attente</v>
      </c>
    </row>
    <row r="480" spans="1:34" s="15" customFormat="1" ht="45" hidden="1" customHeight="1" x14ac:dyDescent="0.3">
      <c r="A480" s="42">
        <v>480</v>
      </c>
      <c r="B480" s="19" t="s">
        <v>26</v>
      </c>
      <c r="C480" s="19" t="s">
        <v>28</v>
      </c>
      <c r="D480" s="20" t="s">
        <v>95</v>
      </c>
      <c r="E480" s="20" t="s">
        <v>96</v>
      </c>
      <c r="F480" s="21" t="s">
        <v>80</v>
      </c>
      <c r="G480" s="38" t="s">
        <v>294</v>
      </c>
      <c r="H480" s="39"/>
      <c r="I480" s="39">
        <v>2025016</v>
      </c>
      <c r="J480" s="21" t="s">
        <v>98</v>
      </c>
      <c r="K480" s="21" t="s">
        <v>99</v>
      </c>
      <c r="L480" s="21" t="s">
        <v>100</v>
      </c>
      <c r="M480" s="21" t="s">
        <v>101</v>
      </c>
      <c r="N480" s="21" t="s">
        <v>102</v>
      </c>
      <c r="O480" s="20" t="s">
        <v>1806</v>
      </c>
      <c r="P480" s="45">
        <v>45779</v>
      </c>
      <c r="Q480" s="39" t="s">
        <v>1802</v>
      </c>
      <c r="R480" s="19">
        <v>1961.3</v>
      </c>
      <c r="S480" s="21">
        <v>0.1</v>
      </c>
      <c r="T480" s="21">
        <v>2157.4299999999998</v>
      </c>
      <c r="U480" s="44" t="s">
        <v>1807</v>
      </c>
      <c r="V480" s="22">
        <v>45799</v>
      </c>
      <c r="W480" s="54" t="s">
        <v>91</v>
      </c>
      <c r="X480" s="23"/>
      <c r="Y480" s="23" t="s">
        <v>92</v>
      </c>
      <c r="Z480" s="81" t="s">
        <v>446</v>
      </c>
      <c r="AA480" s="24">
        <v>853997</v>
      </c>
      <c r="AB480" s="19"/>
      <c r="AC480" s="46" t="s">
        <v>94</v>
      </c>
      <c r="AD480" s="15" t="str">
        <f ca="1">IF(AND($D480&lt;&gt;"",COUNTIF(OFFSET(UFS!$E$2,MATCH($D480&amp;"",UFS!$A$2:$A$175,0)-1,0,COUNTIF(UFS!$A$2:$A$175,$D480&amp;""),1),M480)&gt;0),"Valide","Invalide")</f>
        <v>Valide</v>
      </c>
      <c r="AH480" s="15" t="str">
        <f t="shared" si="7"/>
        <v>En attente</v>
      </c>
    </row>
    <row r="481" spans="1:34" s="15" customFormat="1" ht="45" hidden="1" customHeight="1" x14ac:dyDescent="0.3">
      <c r="A481" s="42">
        <v>481</v>
      </c>
      <c r="B481" s="19" t="s">
        <v>26</v>
      </c>
      <c r="C481" s="19" t="s">
        <v>1</v>
      </c>
      <c r="D481" s="20" t="s">
        <v>95</v>
      </c>
      <c r="E481" s="20" t="s">
        <v>96</v>
      </c>
      <c r="F481" s="21" t="s">
        <v>80</v>
      </c>
      <c r="G481" s="38" t="s">
        <v>288</v>
      </c>
      <c r="H481" s="39"/>
      <c r="I481" s="39">
        <v>2025016</v>
      </c>
      <c r="J481" s="21" t="s">
        <v>98</v>
      </c>
      <c r="K481" s="21" t="s">
        <v>99</v>
      </c>
      <c r="L481" s="21" t="s">
        <v>100</v>
      </c>
      <c r="M481" s="21" t="s">
        <v>101</v>
      </c>
      <c r="N481" s="21" t="s">
        <v>102</v>
      </c>
      <c r="O481" s="20" t="s">
        <v>1808</v>
      </c>
      <c r="P481" s="45">
        <v>45797</v>
      </c>
      <c r="Q481" s="39" t="s">
        <v>1802</v>
      </c>
      <c r="R481" s="19">
        <v>1749.1</v>
      </c>
      <c r="S481" s="21">
        <v>0.1</v>
      </c>
      <c r="T481" s="21">
        <v>1924.01</v>
      </c>
      <c r="U481" s="60" t="s">
        <v>1803</v>
      </c>
      <c r="V481" s="22">
        <v>45799</v>
      </c>
      <c r="W481" s="54" t="s">
        <v>91</v>
      </c>
      <c r="X481" s="23"/>
      <c r="Y481" s="23" t="s">
        <v>92</v>
      </c>
      <c r="Z481" s="56" t="s">
        <v>446</v>
      </c>
      <c r="AA481" s="24">
        <v>853702</v>
      </c>
      <c r="AB481" s="19"/>
      <c r="AC481" s="46" t="s">
        <v>94</v>
      </c>
      <c r="AD481" s="15" t="str">
        <f ca="1">IF(AND($D481&lt;&gt;"",COUNTIF(OFFSET(UFS!$E$2,MATCH($D481&amp;"",UFS!$A$2:$A$175,0)-1,0,COUNTIF(UFS!$A$2:$A$175,$D481&amp;""),1),M481)&gt;0),"Valide","Invalide")</f>
        <v>Valide</v>
      </c>
      <c r="AH481" s="15" t="str">
        <f t="shared" si="7"/>
        <v>En attente</v>
      </c>
    </row>
    <row r="482" spans="1:34" s="15" customFormat="1" ht="45" hidden="1" customHeight="1" x14ac:dyDescent="0.3">
      <c r="A482" s="42">
        <v>482</v>
      </c>
      <c r="B482" s="19" t="s">
        <v>26</v>
      </c>
      <c r="C482" s="19" t="s">
        <v>11</v>
      </c>
      <c r="D482" s="20" t="s">
        <v>156</v>
      </c>
      <c r="E482" s="20" t="s">
        <v>79</v>
      </c>
      <c r="F482" s="21" t="s">
        <v>80</v>
      </c>
      <c r="G482" s="38" t="s">
        <v>81</v>
      </c>
      <c r="H482" s="39"/>
      <c r="I482" s="39" t="s">
        <v>83</v>
      </c>
      <c r="J482" s="21" t="s">
        <v>144</v>
      </c>
      <c r="K482" s="21" t="s">
        <v>145</v>
      </c>
      <c r="L482" s="21" t="s">
        <v>146</v>
      </c>
      <c r="M482" s="21" t="s">
        <v>146</v>
      </c>
      <c r="N482" s="21" t="s">
        <v>157</v>
      </c>
      <c r="O482" s="20" t="s">
        <v>1809</v>
      </c>
      <c r="P482" s="45">
        <v>45800</v>
      </c>
      <c r="Q482" s="39" t="s">
        <v>1810</v>
      </c>
      <c r="R482" s="19">
        <v>6528.79</v>
      </c>
      <c r="S482" s="21">
        <v>0.2</v>
      </c>
      <c r="T482" s="21">
        <v>7834.5479999999998</v>
      </c>
      <c r="U482" s="44" t="s">
        <v>1811</v>
      </c>
      <c r="V482" s="22">
        <v>45800</v>
      </c>
      <c r="W482" s="54" t="s">
        <v>91</v>
      </c>
      <c r="X482" s="23"/>
      <c r="Y482" s="23" t="s">
        <v>92</v>
      </c>
      <c r="Z482" s="78"/>
      <c r="AA482" s="24">
        <v>853864</v>
      </c>
      <c r="AB482" s="19"/>
      <c r="AC482" s="49" t="s">
        <v>161</v>
      </c>
      <c r="AD482" s="15" t="str">
        <f ca="1">IF(AND($D482&lt;&gt;"",COUNTIF(OFFSET(UFS!$E$2,MATCH($D482&amp;"",UFS!$A$2:$A$175,0)-1,0,COUNTIF(UFS!$A$2:$A$175,$D482&amp;""),1),M482)&gt;0),"Valide","Invalide")</f>
        <v>Valide</v>
      </c>
      <c r="AH482" s="15" t="str">
        <f t="shared" si="7"/>
        <v>En attente</v>
      </c>
    </row>
    <row r="483" spans="1:34" s="15" customFormat="1" ht="45" hidden="1" customHeight="1" x14ac:dyDescent="0.3">
      <c r="A483" s="42">
        <v>483</v>
      </c>
      <c r="B483" s="19" t="s">
        <v>16</v>
      </c>
      <c r="C483" s="19" t="s">
        <v>19</v>
      </c>
      <c r="D483" s="20" t="s">
        <v>464</v>
      </c>
      <c r="E483" s="20" t="s">
        <v>79</v>
      </c>
      <c r="F483" s="21" t="s">
        <v>80</v>
      </c>
      <c r="G483" s="38" t="s">
        <v>81</v>
      </c>
      <c r="H483" s="39" t="s">
        <v>211</v>
      </c>
      <c r="I483" s="39" t="s">
        <v>83</v>
      </c>
      <c r="J483" s="21" t="s">
        <v>144</v>
      </c>
      <c r="K483" s="21" t="s">
        <v>350</v>
      </c>
      <c r="L483" s="21" t="s">
        <v>278</v>
      </c>
      <c r="M483" s="21" t="s">
        <v>351</v>
      </c>
      <c r="N483" s="21" t="s">
        <v>151</v>
      </c>
      <c r="O483" s="20" t="s">
        <v>1812</v>
      </c>
      <c r="P483" s="45">
        <v>45803</v>
      </c>
      <c r="Q483" s="39" t="s">
        <v>1813</v>
      </c>
      <c r="R483" s="19">
        <v>2481.64</v>
      </c>
      <c r="S483" s="21">
        <v>0.2</v>
      </c>
      <c r="T483" s="21">
        <v>2977.9679999999998</v>
      </c>
      <c r="U483" s="44" t="s">
        <v>1814</v>
      </c>
      <c r="V483" s="22">
        <v>45803</v>
      </c>
      <c r="W483" s="54" t="s">
        <v>91</v>
      </c>
      <c r="X483" s="23"/>
      <c r="Y483" s="23" t="s">
        <v>92</v>
      </c>
      <c r="Z483" s="56" t="s">
        <v>446</v>
      </c>
      <c r="AA483" s="24">
        <v>853704</v>
      </c>
      <c r="AB483" s="19"/>
      <c r="AC483" s="46" t="s">
        <v>94</v>
      </c>
      <c r="AD483" s="15" t="str">
        <f ca="1">IF(AND($D483&lt;&gt;"",COUNTIF(OFFSET(UFS!$E$2,MATCH($D483&amp;"",UFS!$A$2:$A$175,0)-1,0,COUNTIF(UFS!$A$2:$A$175,$D483&amp;""),1),M483)&gt;0),"Valide","Invalide")</f>
        <v>Valide</v>
      </c>
      <c r="AH483" s="15" t="str">
        <f t="shared" si="7"/>
        <v>En attente</v>
      </c>
    </row>
    <row r="484" spans="1:34" s="15" customFormat="1" ht="45" hidden="1" customHeight="1" x14ac:dyDescent="0.3">
      <c r="A484" s="42">
        <v>484</v>
      </c>
      <c r="B484" s="19" t="s">
        <v>20</v>
      </c>
      <c r="C484" s="19" t="s">
        <v>37</v>
      </c>
      <c r="D484" s="20" t="s">
        <v>123</v>
      </c>
      <c r="E484" s="20" t="s">
        <v>79</v>
      </c>
      <c r="F484" s="21" t="s">
        <v>80</v>
      </c>
      <c r="G484" s="38" t="s">
        <v>241</v>
      </c>
      <c r="H484" s="39" t="s">
        <v>367</v>
      </c>
      <c r="I484" s="39" t="s">
        <v>368</v>
      </c>
      <c r="J484" s="21" t="s">
        <v>124</v>
      </c>
      <c r="K484" s="21" t="s">
        <v>125</v>
      </c>
      <c r="L484" s="21" t="s">
        <v>126</v>
      </c>
      <c r="M484" s="21" t="s">
        <v>109</v>
      </c>
      <c r="N484" s="21" t="s">
        <v>109</v>
      </c>
      <c r="O484" s="20" t="s">
        <v>1815</v>
      </c>
      <c r="P484" s="45">
        <v>45803</v>
      </c>
      <c r="Q484" s="39" t="s">
        <v>1816</v>
      </c>
      <c r="R484" s="19">
        <v>6201.51</v>
      </c>
      <c r="S484" s="21">
        <v>0.1</v>
      </c>
      <c r="T484" s="21">
        <v>6821.6610000000001</v>
      </c>
      <c r="U484" s="60" t="s">
        <v>1817</v>
      </c>
      <c r="V484" s="22">
        <v>45803</v>
      </c>
      <c r="W484" s="54" t="s">
        <v>91</v>
      </c>
      <c r="X484" s="23"/>
      <c r="Y484" s="23" t="s">
        <v>92</v>
      </c>
      <c r="Z484" s="56" t="s">
        <v>446</v>
      </c>
      <c r="AA484" s="24">
        <v>853722</v>
      </c>
      <c r="AB484" s="19"/>
      <c r="AC484" s="46" t="s">
        <v>94</v>
      </c>
      <c r="AD484" s="15" t="str">
        <f ca="1">IF(AND($D484&lt;&gt;"",COUNTIF(OFFSET(UFS!$E$2,MATCH($D484&amp;"",UFS!$A$2:$A$175,0)-1,0,COUNTIF(UFS!$A$2:$A$175,$D484&amp;""),1),M484)&gt;0),"Valide","Invalide")</f>
        <v>Valide</v>
      </c>
      <c r="AH484" s="15" t="str">
        <f t="shared" si="7"/>
        <v>En attente</v>
      </c>
    </row>
    <row r="485" spans="1:34" s="15" customFormat="1" ht="45" hidden="1" customHeight="1" x14ac:dyDescent="0.3">
      <c r="A485" s="42">
        <v>485</v>
      </c>
      <c r="B485" s="19" t="s">
        <v>26</v>
      </c>
      <c r="C485" s="19" t="s">
        <v>35</v>
      </c>
      <c r="D485" s="20" t="s">
        <v>1513</v>
      </c>
      <c r="E485" s="20" t="s">
        <v>79</v>
      </c>
      <c r="F485" s="21" t="s">
        <v>80</v>
      </c>
      <c r="G485" s="38" t="s">
        <v>182</v>
      </c>
      <c r="H485" s="39" t="s">
        <v>215</v>
      </c>
      <c r="I485" s="39" t="s">
        <v>83</v>
      </c>
      <c r="J485" s="21" t="s">
        <v>144</v>
      </c>
      <c r="K485" s="21" t="s">
        <v>145</v>
      </c>
      <c r="L485" s="21" t="s">
        <v>499</v>
      </c>
      <c r="M485" s="21" t="s">
        <v>1514</v>
      </c>
      <c r="N485" s="21" t="s">
        <v>529</v>
      </c>
      <c r="O485" s="20" t="s">
        <v>1818</v>
      </c>
      <c r="P485" s="45">
        <v>45803</v>
      </c>
      <c r="Q485" s="39" t="s">
        <v>1819</v>
      </c>
      <c r="R485" s="19">
        <v>641.79</v>
      </c>
      <c r="S485" s="21">
        <v>0.1</v>
      </c>
      <c r="T485" s="21">
        <v>705.96899999999994</v>
      </c>
      <c r="U485" s="44" t="s">
        <v>1820</v>
      </c>
      <c r="V485" s="22">
        <v>45803</v>
      </c>
      <c r="W485" s="54" t="s">
        <v>91</v>
      </c>
      <c r="X485" s="23"/>
      <c r="Y485" s="23" t="s">
        <v>92</v>
      </c>
      <c r="Z485" s="81" t="s">
        <v>446</v>
      </c>
      <c r="AA485" s="24">
        <v>853978</v>
      </c>
      <c r="AB485" s="19"/>
      <c r="AC485" s="49" t="s">
        <v>161</v>
      </c>
      <c r="AD485" s="15" t="str">
        <f ca="1">IF(AND($D485&lt;&gt;"",COUNTIF(OFFSET(UFS!$E$2,MATCH($D485&amp;"",UFS!$A$2:$A$175,0)-1,0,COUNTIF(UFS!$A$2:$A$175,$D485&amp;""),1),M485)&gt;0),"Valide","Invalide")</f>
        <v>Valide</v>
      </c>
      <c r="AH485" s="15" t="str">
        <f t="shared" si="7"/>
        <v>En attente</v>
      </c>
    </row>
    <row r="486" spans="1:34" s="15" customFormat="1" ht="45" hidden="1" customHeight="1" x14ac:dyDescent="0.3">
      <c r="A486" s="42">
        <v>486</v>
      </c>
      <c r="B486" s="19" t="s">
        <v>4</v>
      </c>
      <c r="C486" s="19" t="s">
        <v>33</v>
      </c>
      <c r="D486" s="20" t="s">
        <v>123</v>
      </c>
      <c r="E486" s="20" t="s">
        <v>79</v>
      </c>
      <c r="F486" s="21" t="s">
        <v>80</v>
      </c>
      <c r="G486" s="38" t="s">
        <v>81</v>
      </c>
      <c r="H486" s="39" t="s">
        <v>234</v>
      </c>
      <c r="I486" s="39" t="s">
        <v>83</v>
      </c>
      <c r="J486" s="21" t="s">
        <v>124</v>
      </c>
      <c r="K486" s="21" t="s">
        <v>125</v>
      </c>
      <c r="L486" s="21" t="s">
        <v>126</v>
      </c>
      <c r="M486" s="21" t="s">
        <v>109</v>
      </c>
      <c r="N486" s="21" t="s">
        <v>109</v>
      </c>
      <c r="O486" s="20" t="s">
        <v>1821</v>
      </c>
      <c r="P486" s="45">
        <v>45803</v>
      </c>
      <c r="Q486" s="39" t="s">
        <v>1822</v>
      </c>
      <c r="R486" s="19">
        <v>337.48</v>
      </c>
      <c r="S486" s="21">
        <v>0.1</v>
      </c>
      <c r="T486" s="21">
        <v>371.22800000000001</v>
      </c>
      <c r="U486" s="44" t="s">
        <v>1823</v>
      </c>
      <c r="V486" s="22">
        <v>45804</v>
      </c>
      <c r="W486" s="54" t="s">
        <v>91</v>
      </c>
      <c r="X486" s="23"/>
      <c r="Y486" s="23" t="s">
        <v>92</v>
      </c>
      <c r="Z486" s="56" t="s">
        <v>1824</v>
      </c>
      <c r="AA486" s="24">
        <v>853724</v>
      </c>
      <c r="AB486" s="19"/>
      <c r="AC486" s="19"/>
      <c r="AD486" s="15" t="str">
        <f ca="1">IF(AND($D486&lt;&gt;"",COUNTIF(OFFSET(UFS!$E$2,MATCH($D486&amp;"",UFS!$A$2:$A$175,0)-1,0,COUNTIF(UFS!$A$2:$A$175,$D486&amp;""),1),M486)&gt;0),"Valide","Invalide")</f>
        <v>Valide</v>
      </c>
      <c r="AH486" s="15" t="str">
        <f t="shared" si="7"/>
        <v>En attente</v>
      </c>
    </row>
    <row r="487" spans="1:34" s="15" customFormat="1" ht="45" hidden="1" customHeight="1" x14ac:dyDescent="0.3">
      <c r="A487" s="42">
        <v>487</v>
      </c>
      <c r="B487" s="19" t="s">
        <v>709</v>
      </c>
      <c r="C487" s="19" t="s">
        <v>23</v>
      </c>
      <c r="D487" s="20" t="s">
        <v>130</v>
      </c>
      <c r="E487" s="20" t="s">
        <v>79</v>
      </c>
      <c r="F487" s="21" t="s">
        <v>80</v>
      </c>
      <c r="G487" s="38" t="s">
        <v>241</v>
      </c>
      <c r="H487" s="39" t="s">
        <v>643</v>
      </c>
      <c r="I487" s="39" t="s">
        <v>644</v>
      </c>
      <c r="J487" s="21" t="s">
        <v>124</v>
      </c>
      <c r="K487" s="21" t="s">
        <v>125</v>
      </c>
      <c r="L487" s="21" t="s">
        <v>203</v>
      </c>
      <c r="M487" s="21" t="s">
        <v>131</v>
      </c>
      <c r="N487" s="21" t="s">
        <v>102</v>
      </c>
      <c r="O487" s="20" t="s">
        <v>1825</v>
      </c>
      <c r="P487" s="45">
        <v>45803</v>
      </c>
      <c r="Q487" s="39" t="s">
        <v>1826</v>
      </c>
      <c r="R487" s="19">
        <v>724.34</v>
      </c>
      <c r="S487" s="21">
        <v>0.1</v>
      </c>
      <c r="T487" s="21">
        <v>796.77</v>
      </c>
      <c r="U487" s="60" t="s">
        <v>714</v>
      </c>
      <c r="V487" s="22">
        <v>45804</v>
      </c>
      <c r="W487" s="54" t="s">
        <v>91</v>
      </c>
      <c r="X487" s="23"/>
      <c r="Y487" s="23" t="s">
        <v>92</v>
      </c>
      <c r="Z487" s="56" t="s">
        <v>446</v>
      </c>
      <c r="AA487" s="24">
        <v>853726</v>
      </c>
      <c r="AB487" s="19"/>
      <c r="AC487" s="19" t="s">
        <v>94</v>
      </c>
      <c r="AD487" s="15" t="str">
        <f ca="1">IF(AND($D487&lt;&gt;"",COUNTIF(OFFSET(UFS!$E$2,MATCH($D487&amp;"",UFS!$A$2:$A$175,0)-1,0,COUNTIF(UFS!$A$2:$A$175,$D487&amp;""),1),M487)&gt;0),"Valide","Invalide")</f>
        <v>Valide</v>
      </c>
      <c r="AH487" s="15" t="str">
        <f t="shared" si="7"/>
        <v>En attente</v>
      </c>
    </row>
    <row r="488" spans="1:34" s="15" customFormat="1" ht="45" hidden="1" customHeight="1" x14ac:dyDescent="0.3">
      <c r="A488" s="42">
        <v>488</v>
      </c>
      <c r="B488" s="19" t="s">
        <v>10</v>
      </c>
      <c r="C488" s="19" t="s">
        <v>1693</v>
      </c>
      <c r="D488" s="20" t="s">
        <v>200</v>
      </c>
      <c r="E488" s="20" t="s">
        <v>96</v>
      </c>
      <c r="F488" s="21" t="s">
        <v>80</v>
      </c>
      <c r="G488" s="38" t="s">
        <v>1827</v>
      </c>
      <c r="H488" s="39"/>
      <c r="I488" s="39"/>
      <c r="J488" s="21" t="s">
        <v>144</v>
      </c>
      <c r="K488" s="21" t="s">
        <v>145</v>
      </c>
      <c r="L488" s="21" t="s">
        <v>203</v>
      </c>
      <c r="M488" s="21" t="s">
        <v>109</v>
      </c>
      <c r="N488" s="21" t="s">
        <v>109</v>
      </c>
      <c r="O488" s="20" t="s">
        <v>1828</v>
      </c>
      <c r="P488" s="45">
        <v>45735</v>
      </c>
      <c r="Q488" s="39" t="s">
        <v>1829</v>
      </c>
      <c r="R488" s="19">
        <v>12800</v>
      </c>
      <c r="S488" s="21">
        <v>0.2</v>
      </c>
      <c r="T488" s="21">
        <v>15360</v>
      </c>
      <c r="U488" s="60" t="s">
        <v>1830</v>
      </c>
      <c r="V488" s="22">
        <v>45804</v>
      </c>
      <c r="W488" s="54"/>
      <c r="X488" s="23"/>
      <c r="Y488" s="23" t="s">
        <v>92</v>
      </c>
      <c r="Z488" s="79" t="s">
        <v>1831</v>
      </c>
      <c r="AA488" s="24">
        <v>853887</v>
      </c>
      <c r="AB488" s="19"/>
      <c r="AC488" s="19"/>
      <c r="AD488" s="15" t="e">
        <f ca="1">IF(AND($D488&lt;&gt;"",COUNTIF(OFFSET(UFS!$E$2,MATCH($D488&amp;"",UFS!$A$2:$A$175,0)-1,0,COUNTIF(UFS!$A$2:$A$175,$D488&amp;""),1),M488)&gt;0),"Valide","Invalide")</f>
        <v>#N/A</v>
      </c>
      <c r="AH488" s="15" t="str">
        <f t="shared" si="7"/>
        <v>En attente</v>
      </c>
    </row>
    <row r="489" spans="1:34" s="15" customFormat="1" ht="45" hidden="1" customHeight="1" x14ac:dyDescent="0.3">
      <c r="A489" s="42">
        <v>489</v>
      </c>
      <c r="B489" s="19" t="s">
        <v>26</v>
      </c>
      <c r="C489" s="19" t="s">
        <v>35</v>
      </c>
      <c r="D489" s="20" t="s">
        <v>156</v>
      </c>
      <c r="E489" s="20" t="s">
        <v>96</v>
      </c>
      <c r="F489" s="21" t="s">
        <v>80</v>
      </c>
      <c r="G489" s="38" t="s">
        <v>1422</v>
      </c>
      <c r="H489" s="39"/>
      <c r="I489" s="39" t="s">
        <v>43</v>
      </c>
      <c r="J489" s="21" t="s">
        <v>144</v>
      </c>
      <c r="K489" s="21" t="s">
        <v>145</v>
      </c>
      <c r="L489" s="21" t="s">
        <v>146</v>
      </c>
      <c r="M489" s="21" t="s">
        <v>146</v>
      </c>
      <c r="N489" s="21" t="s">
        <v>157</v>
      </c>
      <c r="O489" s="20" t="s">
        <v>1832</v>
      </c>
      <c r="P489" s="45">
        <v>45803</v>
      </c>
      <c r="Q489" s="39" t="s">
        <v>1833</v>
      </c>
      <c r="R489" s="19">
        <v>2972.75</v>
      </c>
      <c r="S489" s="21">
        <v>0.2</v>
      </c>
      <c r="T489" s="21">
        <v>3567.3</v>
      </c>
      <c r="U489" s="60" t="s">
        <v>1284</v>
      </c>
      <c r="V489" s="22">
        <v>45804</v>
      </c>
      <c r="W489" s="54" t="s">
        <v>91</v>
      </c>
      <c r="X489" s="23"/>
      <c r="Y489" s="23" t="s">
        <v>92</v>
      </c>
      <c r="Z489" s="56" t="s">
        <v>446</v>
      </c>
      <c r="AA489" s="24">
        <v>853727</v>
      </c>
      <c r="AB489" s="19"/>
      <c r="AC489" s="46" t="s">
        <v>94</v>
      </c>
      <c r="AD489" s="15" t="str">
        <f ca="1">IF(AND($D489&lt;&gt;"",COUNTIF(OFFSET(UFS!$E$2,MATCH($D489&amp;"",UFS!$A$2:$A$175,0)-1,0,COUNTIF(UFS!$A$2:$A$175,$D489&amp;""),1),M489)&gt;0),"Valide","Invalide")</f>
        <v>Valide</v>
      </c>
      <c r="AH489" s="15" t="str">
        <f t="shared" si="7"/>
        <v>En attente</v>
      </c>
    </row>
    <row r="490" spans="1:34" s="15" customFormat="1" ht="45" hidden="1" customHeight="1" x14ac:dyDescent="0.3">
      <c r="A490" s="42">
        <v>490</v>
      </c>
      <c r="B490" s="19" t="s">
        <v>0</v>
      </c>
      <c r="C490" s="19" t="s">
        <v>1</v>
      </c>
      <c r="D490" s="20" t="s">
        <v>587</v>
      </c>
      <c r="E490" s="20" t="s">
        <v>79</v>
      </c>
      <c r="F490" s="21" t="s">
        <v>80</v>
      </c>
      <c r="G490" s="38"/>
      <c r="H490" s="39"/>
      <c r="I490" s="39"/>
      <c r="J490" s="21" t="s">
        <v>144</v>
      </c>
      <c r="K490" s="21" t="s">
        <v>145</v>
      </c>
      <c r="L490" s="21" t="s">
        <v>203</v>
      </c>
      <c r="M490" s="21" t="s">
        <v>589</v>
      </c>
      <c r="N490" s="21" t="s">
        <v>589</v>
      </c>
      <c r="O490" s="20" t="s">
        <v>1834</v>
      </c>
      <c r="P490" s="45">
        <v>45803</v>
      </c>
      <c r="Q490" s="39" t="s">
        <v>1835</v>
      </c>
      <c r="R490" s="19">
        <v>5164.4799999999996</v>
      </c>
      <c r="S490" s="21">
        <v>0.2</v>
      </c>
      <c r="T490" s="21">
        <v>6197.3759999999993</v>
      </c>
      <c r="U490" s="60" t="s">
        <v>1836</v>
      </c>
      <c r="V490" s="22">
        <v>45804</v>
      </c>
      <c r="W490" s="54" t="s">
        <v>91</v>
      </c>
      <c r="X490" s="23"/>
      <c r="Y490" s="23" t="s">
        <v>376</v>
      </c>
      <c r="Z490" s="56"/>
      <c r="AA490" s="24"/>
      <c r="AB490" s="19"/>
      <c r="AC490" s="19"/>
      <c r="AD490" s="15" t="str">
        <f ca="1">IF(AND($D490&lt;&gt;"",COUNTIF(OFFSET(UFS!$E$2,MATCH($D490&amp;"",UFS!$A$2:$A$175,0)-1,0,COUNTIF(UFS!$A$2:$A$175,$D490&amp;""),1),M490)&gt;0),"Valide","Invalide")</f>
        <v>Valide</v>
      </c>
      <c r="AH490" s="15" t="str">
        <f t="shared" si="7"/>
        <v>En attente</v>
      </c>
    </row>
    <row r="491" spans="1:34" s="15" customFormat="1" ht="45" hidden="1" customHeight="1" x14ac:dyDescent="0.3">
      <c r="A491" s="42">
        <v>491</v>
      </c>
      <c r="B491" s="19" t="s">
        <v>20</v>
      </c>
      <c r="C491" s="19" t="s">
        <v>37</v>
      </c>
      <c r="D491" s="20" t="s">
        <v>233</v>
      </c>
      <c r="E491" s="20" t="s">
        <v>79</v>
      </c>
      <c r="F491" s="21" t="s">
        <v>80</v>
      </c>
      <c r="G491" s="38" t="s">
        <v>241</v>
      </c>
      <c r="H491" s="39" t="s">
        <v>367</v>
      </c>
      <c r="I491" s="39" t="s">
        <v>368</v>
      </c>
      <c r="J491" s="21" t="s">
        <v>124</v>
      </c>
      <c r="K491" s="21" t="s">
        <v>235</v>
      </c>
      <c r="L491" s="21" t="s">
        <v>177</v>
      </c>
      <c r="M491" s="21" t="s">
        <v>109</v>
      </c>
      <c r="N491" s="21" t="s">
        <v>109</v>
      </c>
      <c r="O491" s="20" t="s">
        <v>1837</v>
      </c>
      <c r="P491" s="45">
        <v>45796</v>
      </c>
      <c r="Q491" s="39" t="s">
        <v>1838</v>
      </c>
      <c r="R491" s="19">
        <v>90</v>
      </c>
      <c r="S491" s="21">
        <v>0.1</v>
      </c>
      <c r="T491" s="21">
        <v>99</v>
      </c>
      <c r="U491" s="44" t="s">
        <v>1839</v>
      </c>
      <c r="V491" s="22">
        <v>45804</v>
      </c>
      <c r="W491" s="54" t="s">
        <v>91</v>
      </c>
      <c r="X491" s="23"/>
      <c r="Y491" s="23" t="s">
        <v>92</v>
      </c>
      <c r="Z491" s="56" t="s">
        <v>446</v>
      </c>
      <c r="AA491" s="24">
        <v>853729</v>
      </c>
      <c r="AB491" s="19"/>
      <c r="AC491" s="46" t="s">
        <v>94</v>
      </c>
      <c r="AD491" s="15" t="str">
        <f ca="1">IF(AND($D491&lt;&gt;"",COUNTIF(OFFSET(UFS!$E$2,MATCH($D491&amp;"",UFS!$A$2:$A$175,0)-1,0,COUNTIF(UFS!$A$2:$A$175,$D491&amp;""),1),M491)&gt;0),"Valide","Invalide")</f>
        <v>Valide</v>
      </c>
      <c r="AH491" s="15" t="str">
        <f t="shared" si="7"/>
        <v>En attente</v>
      </c>
    </row>
    <row r="492" spans="1:34" s="15" customFormat="1" ht="45" hidden="1" customHeight="1" x14ac:dyDescent="0.3">
      <c r="A492" s="42">
        <v>492</v>
      </c>
      <c r="B492" s="19" t="s">
        <v>20</v>
      </c>
      <c r="C492" s="19" t="s">
        <v>37</v>
      </c>
      <c r="D492" s="20" t="s">
        <v>260</v>
      </c>
      <c r="E492" s="20" t="s">
        <v>79</v>
      </c>
      <c r="F492" s="21" t="s">
        <v>80</v>
      </c>
      <c r="G492" s="38" t="s">
        <v>241</v>
      </c>
      <c r="H492" s="39" t="s">
        <v>367</v>
      </c>
      <c r="I492" s="39" t="s">
        <v>368</v>
      </c>
      <c r="J492" s="21" t="s">
        <v>84</v>
      </c>
      <c r="K492" s="21" t="s">
        <v>113</v>
      </c>
      <c r="L492" s="21" t="s">
        <v>86</v>
      </c>
      <c r="M492" s="21" t="s">
        <v>109</v>
      </c>
      <c r="N492" s="21" t="s">
        <v>109</v>
      </c>
      <c r="O492" s="20" t="s">
        <v>1840</v>
      </c>
      <c r="P492" s="45">
        <v>45798</v>
      </c>
      <c r="Q492" s="39" t="s">
        <v>1841</v>
      </c>
      <c r="R492" s="19">
        <v>551.45000000000005</v>
      </c>
      <c r="S492" s="21">
        <v>0.1</v>
      </c>
      <c r="T492" s="21">
        <v>606.59500000000003</v>
      </c>
      <c r="U492" s="60" t="s">
        <v>1842</v>
      </c>
      <c r="V492" s="22">
        <v>45804</v>
      </c>
      <c r="W492" s="54" t="s">
        <v>91</v>
      </c>
      <c r="X492" s="23"/>
      <c r="Y492" s="23" t="s">
        <v>92</v>
      </c>
      <c r="Z492" s="56" t="s">
        <v>446</v>
      </c>
      <c r="AA492" s="24">
        <v>853870</v>
      </c>
      <c r="AB492" s="19"/>
      <c r="AC492" s="46" t="s">
        <v>94</v>
      </c>
      <c r="AD492" s="15" t="str">
        <f ca="1">IF(AND($D492&lt;&gt;"",COUNTIF(OFFSET(UFS!$E$2,MATCH($D492&amp;"",UFS!$A$2:$A$175,0)-1,0,COUNTIF(UFS!$A$2:$A$175,$D492&amp;""),1),M492)&gt;0),"Valide","Invalide")</f>
        <v>Valide</v>
      </c>
      <c r="AH492" s="15" t="str">
        <f t="shared" si="7"/>
        <v>En attente</v>
      </c>
    </row>
    <row r="493" spans="1:34" s="15" customFormat="1" ht="45" hidden="1" customHeight="1" x14ac:dyDescent="0.3">
      <c r="A493" s="42">
        <v>493</v>
      </c>
      <c r="B493" s="19" t="s">
        <v>20</v>
      </c>
      <c r="C493" s="19" t="s">
        <v>37</v>
      </c>
      <c r="D493" s="20" t="s">
        <v>251</v>
      </c>
      <c r="E493" s="20" t="s">
        <v>79</v>
      </c>
      <c r="F493" s="21" t="s">
        <v>80</v>
      </c>
      <c r="G493" s="38" t="s">
        <v>241</v>
      </c>
      <c r="H493" s="39" t="s">
        <v>367</v>
      </c>
      <c r="I493" s="39" t="s">
        <v>368</v>
      </c>
      <c r="J493" s="21" t="s">
        <v>144</v>
      </c>
      <c r="K493" s="21" t="s">
        <v>145</v>
      </c>
      <c r="L493" s="21" t="s">
        <v>254</v>
      </c>
      <c r="M493" s="21" t="s">
        <v>255</v>
      </c>
      <c r="N493" s="21" t="s">
        <v>256</v>
      </c>
      <c r="O493" s="20" t="s">
        <v>1843</v>
      </c>
      <c r="P493" s="45">
        <v>45798</v>
      </c>
      <c r="Q493" s="39" t="s">
        <v>1844</v>
      </c>
      <c r="R493" s="19">
        <v>90</v>
      </c>
      <c r="S493" s="21">
        <v>0.2</v>
      </c>
      <c r="T493" s="21">
        <v>108</v>
      </c>
      <c r="U493" s="60" t="s">
        <v>1845</v>
      </c>
      <c r="V493" s="22">
        <v>45804</v>
      </c>
      <c r="W493" s="54" t="s">
        <v>91</v>
      </c>
      <c r="X493" s="23"/>
      <c r="Y493" s="23" t="s">
        <v>92</v>
      </c>
      <c r="Z493" s="56"/>
      <c r="AA493" s="24">
        <v>855501</v>
      </c>
      <c r="AB493" s="19"/>
      <c r="AC493" s="46" t="s">
        <v>94</v>
      </c>
      <c r="AD493" s="15" t="str">
        <f ca="1">IF(AND($D493&lt;&gt;"",COUNTIF(OFFSET(UFS!$E$2,MATCH($D493&amp;"",UFS!$A$2:$A$175,0)-1,0,COUNTIF(UFS!$A$2:$A$175,$D493&amp;""),1),M493)&gt;0),"Valide","Invalide")</f>
        <v>Valide</v>
      </c>
      <c r="AH493" s="15" t="str">
        <f t="shared" si="7"/>
        <v>En attente</v>
      </c>
    </row>
    <row r="494" spans="1:34" s="15" customFormat="1" ht="45" hidden="1" customHeight="1" x14ac:dyDescent="0.3">
      <c r="A494" s="42">
        <v>494</v>
      </c>
      <c r="B494" s="19" t="s">
        <v>20</v>
      </c>
      <c r="C494" s="19" t="s">
        <v>37</v>
      </c>
      <c r="D494" s="20" t="s">
        <v>251</v>
      </c>
      <c r="E494" s="20" t="s">
        <v>79</v>
      </c>
      <c r="F494" s="21" t="s">
        <v>80</v>
      </c>
      <c r="G494" s="38" t="s">
        <v>241</v>
      </c>
      <c r="H494" s="39" t="s">
        <v>367</v>
      </c>
      <c r="I494" s="39" t="s">
        <v>368</v>
      </c>
      <c r="J494" s="21" t="s">
        <v>144</v>
      </c>
      <c r="K494" s="21" t="s">
        <v>145</v>
      </c>
      <c r="L494" s="21" t="s">
        <v>254</v>
      </c>
      <c r="M494" s="21" t="s">
        <v>255</v>
      </c>
      <c r="N494" s="21" t="s">
        <v>256</v>
      </c>
      <c r="O494" s="20" t="s">
        <v>1846</v>
      </c>
      <c r="P494" s="45">
        <v>45798</v>
      </c>
      <c r="Q494" s="39" t="s">
        <v>1847</v>
      </c>
      <c r="R494" s="19">
        <v>1011.69</v>
      </c>
      <c r="S494" s="21">
        <v>0.2</v>
      </c>
      <c r="T494" s="21">
        <v>1214.028</v>
      </c>
      <c r="U494" s="60" t="s">
        <v>1848</v>
      </c>
      <c r="V494" s="22">
        <v>45804</v>
      </c>
      <c r="W494" s="54" t="s">
        <v>91</v>
      </c>
      <c r="X494" s="23"/>
      <c r="Y494" s="23" t="s">
        <v>92</v>
      </c>
      <c r="Z494" s="56" t="s">
        <v>446</v>
      </c>
      <c r="AA494" s="24">
        <v>853874</v>
      </c>
      <c r="AB494" s="19"/>
      <c r="AC494" s="46" t="s">
        <v>94</v>
      </c>
      <c r="AD494" s="15" t="str">
        <f ca="1">IF(AND($D494&lt;&gt;"",COUNTIF(OFFSET(UFS!$E$2,MATCH($D494&amp;"",UFS!$A$2:$A$175,0)-1,0,COUNTIF(UFS!$A$2:$A$175,$D494&amp;""),1),M494)&gt;0),"Valide","Invalide")</f>
        <v>Valide</v>
      </c>
      <c r="AH494" s="15" t="str">
        <f t="shared" si="7"/>
        <v>En attente</v>
      </c>
    </row>
    <row r="495" spans="1:34" s="15" customFormat="1" ht="45" hidden="1" customHeight="1" x14ac:dyDescent="0.3">
      <c r="A495" s="42">
        <v>495</v>
      </c>
      <c r="B495" s="19" t="s">
        <v>24</v>
      </c>
      <c r="C495" s="19" t="s">
        <v>28</v>
      </c>
      <c r="D495" s="20" t="s">
        <v>1200</v>
      </c>
      <c r="E495" s="20" t="s">
        <v>79</v>
      </c>
      <c r="F495" s="21" t="s">
        <v>80</v>
      </c>
      <c r="G495" s="38" t="s">
        <v>182</v>
      </c>
      <c r="H495" s="39" t="s">
        <v>82</v>
      </c>
      <c r="I495" s="39" t="s">
        <v>83</v>
      </c>
      <c r="J495" s="21" t="s">
        <v>461</v>
      </c>
      <c r="K495" s="21" t="s">
        <v>1201</v>
      </c>
      <c r="L495" s="21" t="s">
        <v>120</v>
      </c>
      <c r="M495" s="21" t="s">
        <v>1201</v>
      </c>
      <c r="N495" s="21" t="s">
        <v>151</v>
      </c>
      <c r="O495" s="20" t="s">
        <v>1849</v>
      </c>
      <c r="P495" s="45">
        <v>45799</v>
      </c>
      <c r="Q495" s="39" t="s">
        <v>1850</v>
      </c>
      <c r="R495" s="53">
        <v>6435.54</v>
      </c>
      <c r="S495" s="21">
        <v>0.2</v>
      </c>
      <c r="T495" s="21">
        <v>7722.6480000000001</v>
      </c>
      <c r="U495" s="60" t="s">
        <v>1851</v>
      </c>
      <c r="V495" s="22">
        <v>45804</v>
      </c>
      <c r="W495" s="54" t="s">
        <v>91</v>
      </c>
      <c r="X495" s="23"/>
      <c r="Y495" s="23" t="s">
        <v>92</v>
      </c>
      <c r="Z495" s="56" t="s">
        <v>446</v>
      </c>
      <c r="AA495" s="24">
        <v>853876</v>
      </c>
      <c r="AB495" s="47">
        <v>45797</v>
      </c>
      <c r="AC495" s="46" t="s">
        <v>94</v>
      </c>
      <c r="AD495" s="15" t="str">
        <f ca="1">IF(AND($D495&lt;&gt;"",COUNTIF(OFFSET(UFS!$E$2,MATCH($D495&amp;"",UFS!$A$2:$A$175,0)-1,0,COUNTIF(UFS!$A$2:$A$175,$D495&amp;""),1),M495)&gt;0),"Valide","Invalide")</f>
        <v>Valide</v>
      </c>
      <c r="AH495" s="15" t="str">
        <f t="shared" si="7"/>
        <v>En attente</v>
      </c>
    </row>
    <row r="496" spans="1:34" s="15" customFormat="1" ht="45" hidden="1" customHeight="1" x14ac:dyDescent="0.3">
      <c r="A496" s="42">
        <v>496</v>
      </c>
      <c r="B496" s="19" t="s">
        <v>2</v>
      </c>
      <c r="C496" s="19" t="s">
        <v>1852</v>
      </c>
      <c r="D496" s="20" t="s">
        <v>200</v>
      </c>
      <c r="E496" s="20" t="s">
        <v>79</v>
      </c>
      <c r="F496" s="21" t="s">
        <v>80</v>
      </c>
      <c r="G496" s="38" t="s">
        <v>1169</v>
      </c>
      <c r="H496" s="39" t="s">
        <v>1085</v>
      </c>
      <c r="I496" s="39"/>
      <c r="J496" s="21" t="s">
        <v>144</v>
      </c>
      <c r="K496" s="21" t="s">
        <v>145</v>
      </c>
      <c r="L496" s="21" t="s">
        <v>203</v>
      </c>
      <c r="M496" s="21" t="s">
        <v>109</v>
      </c>
      <c r="N496" s="21" t="s">
        <v>109</v>
      </c>
      <c r="O496" s="20" t="s">
        <v>1853</v>
      </c>
      <c r="P496" s="45">
        <v>45797</v>
      </c>
      <c r="Q496" s="39" t="s">
        <v>1854</v>
      </c>
      <c r="R496" s="19">
        <v>12300</v>
      </c>
      <c r="S496" s="21">
        <v>0.2</v>
      </c>
      <c r="T496" s="21">
        <v>14760</v>
      </c>
      <c r="U496" s="44" t="s">
        <v>1855</v>
      </c>
      <c r="V496" s="22">
        <v>45804</v>
      </c>
      <c r="W496" s="54" t="s">
        <v>91</v>
      </c>
      <c r="X496" s="23"/>
      <c r="Y496" s="23" t="s">
        <v>92</v>
      </c>
      <c r="Z496" s="56" t="s">
        <v>446</v>
      </c>
      <c r="AA496" s="24">
        <v>853885</v>
      </c>
      <c r="AB496" s="19"/>
      <c r="AC496" s="19"/>
      <c r="AD496" s="15" t="e">
        <f ca="1">IF(AND($D496&lt;&gt;"",COUNTIF(OFFSET(UFS!$E$2,MATCH($D496&amp;"",UFS!$A$2:$A$175,0)-1,0,COUNTIF(UFS!$A$2:$A$175,$D496&amp;""),1),M496)&gt;0),"Valide","Invalide")</f>
        <v>#N/A</v>
      </c>
      <c r="AH496" s="15" t="str">
        <f t="shared" si="7"/>
        <v>En attente</v>
      </c>
    </row>
    <row r="497" spans="1:34" s="15" customFormat="1" ht="45" hidden="1" customHeight="1" x14ac:dyDescent="0.3">
      <c r="A497" s="42">
        <v>497</v>
      </c>
      <c r="B497" s="19" t="s">
        <v>2</v>
      </c>
      <c r="C497" s="19" t="s">
        <v>1757</v>
      </c>
      <c r="D497" s="20" t="s">
        <v>200</v>
      </c>
      <c r="E497" s="20" t="s">
        <v>79</v>
      </c>
      <c r="F497" s="21" t="s">
        <v>80</v>
      </c>
      <c r="G497" s="38" t="s">
        <v>1169</v>
      </c>
      <c r="H497" s="39" t="s">
        <v>1085</v>
      </c>
      <c r="I497" s="39"/>
      <c r="J497" s="21" t="s">
        <v>144</v>
      </c>
      <c r="K497" s="21" t="s">
        <v>145</v>
      </c>
      <c r="L497" s="21" t="s">
        <v>203</v>
      </c>
      <c r="M497" s="21" t="s">
        <v>109</v>
      </c>
      <c r="N497" s="21" t="s">
        <v>109</v>
      </c>
      <c r="O497" s="20" t="s">
        <v>1856</v>
      </c>
      <c r="P497" s="45">
        <v>45800</v>
      </c>
      <c r="Q497" s="39" t="s">
        <v>1857</v>
      </c>
      <c r="R497" s="19">
        <v>2375</v>
      </c>
      <c r="S497" s="21">
        <v>0.2</v>
      </c>
      <c r="T497" s="21">
        <v>2850</v>
      </c>
      <c r="U497" s="44" t="s">
        <v>1858</v>
      </c>
      <c r="V497" s="22">
        <v>45804</v>
      </c>
      <c r="W497" s="54" t="s">
        <v>91</v>
      </c>
      <c r="X497" s="23"/>
      <c r="Y497" s="23" t="s">
        <v>92</v>
      </c>
      <c r="Z497" s="56" t="s">
        <v>446</v>
      </c>
      <c r="AA497" s="24">
        <v>853886</v>
      </c>
      <c r="AB497" s="19"/>
      <c r="AC497" s="19"/>
      <c r="AD497" s="15" t="e">
        <f ca="1">IF(AND($D497&lt;&gt;"",COUNTIF(OFFSET(UFS!$E$2,MATCH($D497&amp;"",UFS!$A$2:$A$175,0)-1,0,COUNTIF(UFS!$A$2:$A$175,$D497&amp;""),1),M497)&gt;0),"Valide","Invalide")</f>
        <v>#N/A</v>
      </c>
      <c r="AH497" s="15" t="str">
        <f t="shared" si="7"/>
        <v>En attente</v>
      </c>
    </row>
    <row r="498" spans="1:34" s="15" customFormat="1" ht="45" hidden="1" customHeight="1" x14ac:dyDescent="0.3">
      <c r="A498" s="42">
        <v>498</v>
      </c>
      <c r="B498" s="19" t="s">
        <v>26</v>
      </c>
      <c r="C498" s="19" t="s">
        <v>1</v>
      </c>
      <c r="D498" s="20" t="s">
        <v>413</v>
      </c>
      <c r="E498" s="20" t="s">
        <v>79</v>
      </c>
      <c r="F498" s="21" t="s">
        <v>80</v>
      </c>
      <c r="G498" s="38" t="s">
        <v>182</v>
      </c>
      <c r="H498" s="39" t="s">
        <v>82</v>
      </c>
      <c r="I498" s="39" t="s">
        <v>83</v>
      </c>
      <c r="J498" s="21" t="s">
        <v>183</v>
      </c>
      <c r="K498" s="21" t="s">
        <v>184</v>
      </c>
      <c r="L498" s="21" t="s">
        <v>185</v>
      </c>
      <c r="M498" s="21" t="s">
        <v>109</v>
      </c>
      <c r="N498" s="21" t="s">
        <v>109</v>
      </c>
      <c r="O498" s="20" t="s">
        <v>1859</v>
      </c>
      <c r="P498" s="45">
        <v>45652</v>
      </c>
      <c r="Q498" s="39" t="s">
        <v>1860</v>
      </c>
      <c r="R498" s="19">
        <v>47.33</v>
      </c>
      <c r="S498" s="21">
        <v>0.1</v>
      </c>
      <c r="T498" s="21">
        <v>52.062999999999995</v>
      </c>
      <c r="U498" s="60" t="s">
        <v>1861</v>
      </c>
      <c r="V498" s="22">
        <v>45805</v>
      </c>
      <c r="W498" s="54" t="s">
        <v>91</v>
      </c>
      <c r="X498" s="23"/>
      <c r="Y498" s="23" t="s">
        <v>92</v>
      </c>
      <c r="Z498" s="56" t="s">
        <v>446</v>
      </c>
      <c r="AA498" s="24">
        <v>853881</v>
      </c>
      <c r="AB498" s="19"/>
      <c r="AC498" s="19"/>
      <c r="AD498" s="15" t="str">
        <f ca="1">IF(AND($D498&lt;&gt;"",COUNTIF(OFFSET(UFS!$E$2,MATCH($D498&amp;"",UFS!$A$2:$A$175,0)-1,0,COUNTIF(UFS!$A$2:$A$175,$D498&amp;""),1),M498)&gt;0),"Valide","Invalide")</f>
        <v>Valide</v>
      </c>
      <c r="AH498" s="15" t="str">
        <f t="shared" si="7"/>
        <v>En attente</v>
      </c>
    </row>
    <row r="499" spans="1:34" s="15" customFormat="1" ht="45" hidden="1" customHeight="1" x14ac:dyDescent="0.3">
      <c r="A499" s="42">
        <v>499</v>
      </c>
      <c r="B499" s="19" t="s">
        <v>6</v>
      </c>
      <c r="C499" s="19" t="s">
        <v>31</v>
      </c>
      <c r="D499" s="20" t="s">
        <v>123</v>
      </c>
      <c r="E499" s="20" t="s">
        <v>79</v>
      </c>
      <c r="F499" s="21" t="s">
        <v>80</v>
      </c>
      <c r="G499" s="38" t="s">
        <v>241</v>
      </c>
      <c r="H499" s="39" t="s">
        <v>242</v>
      </c>
      <c r="I499" s="39" t="s">
        <v>243</v>
      </c>
      <c r="J499" s="21" t="s">
        <v>124</v>
      </c>
      <c r="K499" s="21" t="s">
        <v>125</v>
      </c>
      <c r="L499" s="21" t="s">
        <v>126</v>
      </c>
      <c r="M499" s="21" t="s">
        <v>109</v>
      </c>
      <c r="N499" s="21" t="s">
        <v>109</v>
      </c>
      <c r="O499" s="20" t="s">
        <v>1862</v>
      </c>
      <c r="P499" s="45">
        <v>45779</v>
      </c>
      <c r="Q499" s="39" t="s">
        <v>1863</v>
      </c>
      <c r="R499" s="87">
        <v>3611.7</v>
      </c>
      <c r="S499" s="19">
        <v>0.1</v>
      </c>
      <c r="T499" s="21">
        <v>3972.87</v>
      </c>
      <c r="U499" s="60" t="s">
        <v>1864</v>
      </c>
      <c r="V499" s="22">
        <v>45805</v>
      </c>
      <c r="W499" s="54" t="s">
        <v>91</v>
      </c>
      <c r="X499" s="23"/>
      <c r="Y499" s="23" t="s">
        <v>92</v>
      </c>
      <c r="Z499" s="56" t="s">
        <v>446</v>
      </c>
      <c r="AA499" s="24">
        <v>853893</v>
      </c>
      <c r="AB499" s="19"/>
      <c r="AC499" s="19"/>
      <c r="AD499" s="15" t="str">
        <f ca="1">IF(AND($D499&lt;&gt;"",COUNTIF(OFFSET(UFS!$E$2,MATCH($D499&amp;"",UFS!$A$2:$A$175,0)-1,0,COUNTIF(UFS!$A$2:$A$175,$D499&amp;""),1),M499)&gt;0),"Valide","Invalide")</f>
        <v>Valide</v>
      </c>
      <c r="AH499" s="15" t="str">
        <f t="shared" si="7"/>
        <v>En attente</v>
      </c>
    </row>
    <row r="500" spans="1:34" s="15" customFormat="1" ht="45" hidden="1" customHeight="1" x14ac:dyDescent="0.3">
      <c r="A500" s="42">
        <v>500</v>
      </c>
      <c r="B500" s="19" t="s">
        <v>6</v>
      </c>
      <c r="C500" s="19" t="s">
        <v>9</v>
      </c>
      <c r="D500" s="20" t="s">
        <v>123</v>
      </c>
      <c r="E500" s="20" t="s">
        <v>79</v>
      </c>
      <c r="F500" s="21" t="s">
        <v>80</v>
      </c>
      <c r="G500" s="38" t="s">
        <v>163</v>
      </c>
      <c r="H500" s="39" t="s">
        <v>1085</v>
      </c>
      <c r="I500" s="39"/>
      <c r="J500" s="21" t="s">
        <v>124</v>
      </c>
      <c r="K500" s="21" t="s">
        <v>125</v>
      </c>
      <c r="L500" s="21" t="s">
        <v>126</v>
      </c>
      <c r="M500" s="21" t="s">
        <v>109</v>
      </c>
      <c r="N500" s="21" t="s">
        <v>109</v>
      </c>
      <c r="O500" s="20" t="s">
        <v>1865</v>
      </c>
      <c r="P500" s="45">
        <v>45777</v>
      </c>
      <c r="Q500" s="39" t="s">
        <v>1866</v>
      </c>
      <c r="R500" s="88">
        <v>300</v>
      </c>
      <c r="S500" s="21">
        <v>0.1</v>
      </c>
      <c r="T500" s="21">
        <v>330</v>
      </c>
      <c r="U500" s="44" t="s">
        <v>1867</v>
      </c>
      <c r="V500" s="22">
        <v>45805</v>
      </c>
      <c r="W500" s="54" t="s">
        <v>91</v>
      </c>
      <c r="X500" s="23"/>
      <c r="Y500" s="23" t="s">
        <v>92</v>
      </c>
      <c r="Z500" s="56" t="s">
        <v>1868</v>
      </c>
      <c r="AA500" s="24">
        <v>853961</v>
      </c>
      <c r="AB500" s="19"/>
      <c r="AC500" s="19"/>
      <c r="AD500" s="15" t="str">
        <f ca="1">IF(AND($D500&lt;&gt;"",COUNTIF(OFFSET(UFS!$E$2,MATCH($D500&amp;"",UFS!$A$2:$A$175,0)-1,0,COUNTIF(UFS!$A$2:$A$175,$D500&amp;""),1),M500)&gt;0),"Valide","Invalide")</f>
        <v>Valide</v>
      </c>
      <c r="AH500" s="15" t="str">
        <f t="shared" si="7"/>
        <v>En attente</v>
      </c>
    </row>
    <row r="501" spans="1:34" s="15" customFormat="1" ht="45" hidden="1" customHeight="1" x14ac:dyDescent="0.3">
      <c r="A501" s="42">
        <v>501</v>
      </c>
      <c r="B501" s="19" t="s">
        <v>24</v>
      </c>
      <c r="C501" s="19" t="s">
        <v>34</v>
      </c>
      <c r="D501" s="20" t="s">
        <v>1479</v>
      </c>
      <c r="E501" s="20" t="s">
        <v>96</v>
      </c>
      <c r="F501" s="21" t="s">
        <v>80</v>
      </c>
      <c r="G501" s="38" t="s">
        <v>1869</v>
      </c>
      <c r="H501" s="39"/>
      <c r="I501" s="39" t="s">
        <v>1870</v>
      </c>
      <c r="J501" s="21" t="s">
        <v>1118</v>
      </c>
      <c r="K501" s="21" t="s">
        <v>1481</v>
      </c>
      <c r="L501" s="21" t="s">
        <v>135</v>
      </c>
      <c r="M501" s="21" t="s">
        <v>1482</v>
      </c>
      <c r="N501" s="21" t="s">
        <v>151</v>
      </c>
      <c r="O501" s="20" t="s">
        <v>1871</v>
      </c>
      <c r="P501" s="45">
        <v>45805</v>
      </c>
      <c r="Q501" s="77" t="s">
        <v>1872</v>
      </c>
      <c r="R501" s="19">
        <v>6864.85</v>
      </c>
      <c r="S501" s="21">
        <v>0.2</v>
      </c>
      <c r="T501" s="21">
        <v>8237.82</v>
      </c>
      <c r="U501" s="60" t="s">
        <v>1873</v>
      </c>
      <c r="V501" s="22">
        <v>45806</v>
      </c>
      <c r="W501" s="54" t="s">
        <v>91</v>
      </c>
      <c r="X501" s="23"/>
      <c r="Y501" s="23" t="s">
        <v>92</v>
      </c>
      <c r="Z501" s="76" t="s">
        <v>446</v>
      </c>
      <c r="AA501" s="24">
        <v>854009</v>
      </c>
      <c r="AB501" s="19" t="s">
        <v>1874</v>
      </c>
      <c r="AC501" s="46" t="s">
        <v>94</v>
      </c>
      <c r="AD501" s="15" t="str">
        <f ca="1">IF(AND($D501&lt;&gt;"",COUNTIF(OFFSET(UFS!$E$2,MATCH($D501&amp;"",UFS!$A$2:$A$175,0)-1,0,COUNTIF(UFS!$A$2:$A$175,$D501&amp;""),1),M501)&gt;0),"Valide","Invalide")</f>
        <v>Valide</v>
      </c>
      <c r="AH501" s="15" t="str">
        <f t="shared" si="7"/>
        <v>En attente</v>
      </c>
    </row>
    <row r="502" spans="1:34" s="15" customFormat="1" ht="143.25" hidden="1" customHeight="1" x14ac:dyDescent="0.3">
      <c r="A502" s="42">
        <v>502</v>
      </c>
      <c r="B502" s="19" t="s">
        <v>709</v>
      </c>
      <c r="C502" s="19" t="s">
        <v>1875</v>
      </c>
      <c r="D502" s="20" t="s">
        <v>123</v>
      </c>
      <c r="E502" s="20" t="s">
        <v>79</v>
      </c>
      <c r="F502" s="21" t="s">
        <v>80</v>
      </c>
      <c r="G502" s="38" t="s">
        <v>241</v>
      </c>
      <c r="H502" s="39"/>
      <c r="I502" s="39" t="s">
        <v>644</v>
      </c>
      <c r="J502" s="21" t="s">
        <v>124</v>
      </c>
      <c r="K502" s="21" t="s">
        <v>125</v>
      </c>
      <c r="L502" s="21" t="s">
        <v>203</v>
      </c>
      <c r="M502" s="21" t="s">
        <v>711</v>
      </c>
      <c r="N502" s="21" t="s">
        <v>711</v>
      </c>
      <c r="O502" s="20" t="s">
        <v>1876</v>
      </c>
      <c r="P502" s="45">
        <v>45747</v>
      </c>
      <c r="Q502" s="39" t="s">
        <v>1877</v>
      </c>
      <c r="R502" s="19">
        <v>346.5</v>
      </c>
      <c r="S502" s="21">
        <v>0.2</v>
      </c>
      <c r="T502" s="21">
        <v>415.8</v>
      </c>
      <c r="U502" s="60" t="s">
        <v>714</v>
      </c>
      <c r="V502" s="22">
        <v>45810</v>
      </c>
      <c r="W502" s="54" t="s">
        <v>91</v>
      </c>
      <c r="X502" s="23"/>
      <c r="Y502" s="23" t="s">
        <v>92</v>
      </c>
      <c r="Z502" s="56" t="s">
        <v>446</v>
      </c>
      <c r="AA502" s="24">
        <v>853895</v>
      </c>
      <c r="AB502" s="19"/>
      <c r="AC502" s="19"/>
      <c r="AD502" s="15" t="str">
        <f ca="1">IF(AND($D502&lt;&gt;"",COUNTIF(OFFSET(UFS!$E$2,MATCH($D502&amp;"",UFS!$A$2:$A$175,0)-1,0,COUNTIF(UFS!$A$2:$A$175,$D502&amp;""),1),M502)&gt;0),"Valide","Invalide")</f>
        <v>Valide</v>
      </c>
      <c r="AH502" s="15" t="str">
        <f t="shared" si="7"/>
        <v>En attente</v>
      </c>
    </row>
    <row r="503" spans="1:34" s="15" customFormat="1" ht="45" hidden="1" customHeight="1" x14ac:dyDescent="0.3">
      <c r="A503" s="42">
        <v>503</v>
      </c>
      <c r="B503" s="19" t="s">
        <v>709</v>
      </c>
      <c r="C503" s="19" t="s">
        <v>1875</v>
      </c>
      <c r="D503" s="20" t="s">
        <v>200</v>
      </c>
      <c r="E503" s="20" t="s">
        <v>79</v>
      </c>
      <c r="F503" s="21" t="s">
        <v>80</v>
      </c>
      <c r="G503" s="38" t="s">
        <v>241</v>
      </c>
      <c r="H503" s="39" t="s">
        <v>1878</v>
      </c>
      <c r="I503" s="39" t="s">
        <v>644</v>
      </c>
      <c r="J503" s="21" t="s">
        <v>1719</v>
      </c>
      <c r="K503" s="21" t="s">
        <v>1298</v>
      </c>
      <c r="L503" s="21" t="s">
        <v>203</v>
      </c>
      <c r="M503" s="21" t="s">
        <v>711</v>
      </c>
      <c r="N503" s="21" t="s">
        <v>711</v>
      </c>
      <c r="O503" s="20" t="s">
        <v>1879</v>
      </c>
      <c r="P503" s="45">
        <v>45747</v>
      </c>
      <c r="Q503" s="39" t="s">
        <v>1880</v>
      </c>
      <c r="R503" s="19">
        <v>3694</v>
      </c>
      <c r="S503" s="21">
        <v>0.2</v>
      </c>
      <c r="T503" s="21">
        <v>4432.8</v>
      </c>
      <c r="U503" s="60" t="s">
        <v>714</v>
      </c>
      <c r="V503" s="22">
        <v>45810</v>
      </c>
      <c r="W503" s="54" t="s">
        <v>91</v>
      </c>
      <c r="X503" s="23"/>
      <c r="Y503" s="23" t="s">
        <v>92</v>
      </c>
      <c r="Z503" s="56" t="s">
        <v>446</v>
      </c>
      <c r="AA503" s="24">
        <v>853896</v>
      </c>
      <c r="AB503" s="19"/>
      <c r="AC503" s="19"/>
      <c r="AD503" s="15" t="e">
        <f ca="1">IF(AND($D503&lt;&gt;"",COUNTIF(OFFSET(UFS!$E$2,MATCH($D503&amp;"",UFS!$A$2:$A$175,0)-1,0,COUNTIF(UFS!$A$2:$A$175,$D503&amp;""),1),M503)&gt;0),"Valide","Invalide")</f>
        <v>#N/A</v>
      </c>
      <c r="AH503" s="15" t="str">
        <f t="shared" si="7"/>
        <v>En attente</v>
      </c>
    </row>
    <row r="504" spans="1:34" s="15" customFormat="1" ht="45" hidden="1" customHeight="1" x14ac:dyDescent="0.3">
      <c r="A504" s="42">
        <v>504</v>
      </c>
      <c r="B504" s="19" t="s">
        <v>709</v>
      </c>
      <c r="C504" s="19" t="s">
        <v>1875</v>
      </c>
      <c r="D504" s="20" t="s">
        <v>233</v>
      </c>
      <c r="E504" s="20" t="s">
        <v>79</v>
      </c>
      <c r="F504" s="21" t="s">
        <v>80</v>
      </c>
      <c r="G504" s="38" t="s">
        <v>241</v>
      </c>
      <c r="H504" s="39" t="s">
        <v>1878</v>
      </c>
      <c r="I504" s="39" t="s">
        <v>644</v>
      </c>
      <c r="J504" s="21" t="s">
        <v>124</v>
      </c>
      <c r="K504" s="21" t="s">
        <v>235</v>
      </c>
      <c r="L504" s="21" t="s">
        <v>203</v>
      </c>
      <c r="M504" s="21" t="s">
        <v>711</v>
      </c>
      <c r="N504" s="21" t="s">
        <v>711</v>
      </c>
      <c r="O504" s="20" t="s">
        <v>1881</v>
      </c>
      <c r="P504" s="45">
        <v>45747</v>
      </c>
      <c r="Q504" s="39" t="s">
        <v>1882</v>
      </c>
      <c r="R504" s="19">
        <v>806.5</v>
      </c>
      <c r="S504" s="21">
        <v>0.2</v>
      </c>
      <c r="T504" s="21">
        <v>967.8</v>
      </c>
      <c r="U504" s="60" t="s">
        <v>714</v>
      </c>
      <c r="V504" s="22">
        <v>45810</v>
      </c>
      <c r="W504" s="54" t="s">
        <v>91</v>
      </c>
      <c r="X504" s="23"/>
      <c r="Y504" s="23" t="s">
        <v>92</v>
      </c>
      <c r="Z504" s="56" t="s">
        <v>446</v>
      </c>
      <c r="AA504" s="24">
        <v>853898</v>
      </c>
      <c r="AB504" s="19"/>
      <c r="AC504" s="19"/>
      <c r="AD504" s="15" t="str">
        <f ca="1">IF(AND($D504&lt;&gt;"",COUNTIF(OFFSET(UFS!$E$2,MATCH($D504&amp;"",UFS!$A$2:$A$175,0)-1,0,COUNTIF(UFS!$A$2:$A$175,$D504&amp;""),1),M504)&gt;0),"Valide","Invalide")</f>
        <v>Valide</v>
      </c>
      <c r="AH504" s="15" t="str">
        <f t="shared" si="7"/>
        <v>En attente</v>
      </c>
    </row>
    <row r="505" spans="1:34" s="15" customFormat="1" ht="45" hidden="1" customHeight="1" x14ac:dyDescent="0.3">
      <c r="A505" s="42">
        <v>505</v>
      </c>
      <c r="B505" s="19" t="s">
        <v>709</v>
      </c>
      <c r="C505" s="19" t="s">
        <v>1875</v>
      </c>
      <c r="D505" s="20" t="s">
        <v>95</v>
      </c>
      <c r="E505" s="20" t="s">
        <v>79</v>
      </c>
      <c r="F505" s="21" t="s">
        <v>80</v>
      </c>
      <c r="G505" s="38" t="s">
        <v>241</v>
      </c>
      <c r="H505" s="39" t="s">
        <v>1878</v>
      </c>
      <c r="I505" s="39" t="s">
        <v>644</v>
      </c>
      <c r="J505" s="21" t="s">
        <v>98</v>
      </c>
      <c r="K505" s="21" t="s">
        <v>99</v>
      </c>
      <c r="L505" s="21" t="s">
        <v>203</v>
      </c>
      <c r="M505" s="21" t="s">
        <v>711</v>
      </c>
      <c r="N505" s="21" t="s">
        <v>711</v>
      </c>
      <c r="O505" s="20" t="s">
        <v>1883</v>
      </c>
      <c r="P505" s="45">
        <v>45747</v>
      </c>
      <c r="Q505" s="39" t="s">
        <v>1882</v>
      </c>
      <c r="R505" s="19">
        <v>497</v>
      </c>
      <c r="S505" s="21">
        <v>0.2</v>
      </c>
      <c r="T505" s="21">
        <v>596.4</v>
      </c>
      <c r="U505" s="60" t="s">
        <v>714</v>
      </c>
      <c r="V505" s="22">
        <v>45810</v>
      </c>
      <c r="W505" s="54" t="s">
        <v>91</v>
      </c>
      <c r="X505" s="23"/>
      <c r="Y505" s="23" t="s">
        <v>92</v>
      </c>
      <c r="Z505" s="56" t="s">
        <v>446</v>
      </c>
      <c r="AA505" s="24">
        <v>853902</v>
      </c>
      <c r="AB505" s="19"/>
      <c r="AC505" s="19"/>
      <c r="AD505" s="15" t="str">
        <f ca="1">IF(AND($D505&lt;&gt;"",COUNTIF(OFFSET(UFS!$E$2,MATCH($D505&amp;"",UFS!$A$2:$A$175,0)-1,0,COUNTIF(UFS!$A$2:$A$175,$D505&amp;""),1),M505)&gt;0),"Valide","Invalide")</f>
        <v>Invalide</v>
      </c>
      <c r="AH505" s="15" t="str">
        <f t="shared" si="7"/>
        <v>En attente</v>
      </c>
    </row>
    <row r="506" spans="1:34" s="15" customFormat="1" ht="45" hidden="1" customHeight="1" x14ac:dyDescent="0.3">
      <c r="A506" s="42">
        <v>506</v>
      </c>
      <c r="B506" s="19" t="s">
        <v>26</v>
      </c>
      <c r="C506" s="19" t="s">
        <v>28</v>
      </c>
      <c r="D506" s="20" t="s">
        <v>432</v>
      </c>
      <c r="E506" s="20" t="s">
        <v>79</v>
      </c>
      <c r="F506" s="21" t="s">
        <v>433</v>
      </c>
      <c r="G506" s="38" t="s">
        <v>182</v>
      </c>
      <c r="H506" s="39" t="s">
        <v>82</v>
      </c>
      <c r="I506" s="39" t="s">
        <v>83</v>
      </c>
      <c r="J506" s="21" t="s">
        <v>144</v>
      </c>
      <c r="K506" s="21" t="s">
        <v>145</v>
      </c>
      <c r="L506" s="21" t="s">
        <v>434</v>
      </c>
      <c r="M506" s="21" t="s">
        <v>435</v>
      </c>
      <c r="N506" s="21" t="s">
        <v>436</v>
      </c>
      <c r="O506" s="20" t="s">
        <v>1884</v>
      </c>
      <c r="P506" s="45">
        <v>45807</v>
      </c>
      <c r="Q506" s="39" t="s">
        <v>1885</v>
      </c>
      <c r="R506" s="19">
        <v>1088.69</v>
      </c>
      <c r="S506" s="21">
        <v>0.1</v>
      </c>
      <c r="T506" s="21">
        <v>1197.559</v>
      </c>
      <c r="U506" s="60" t="s">
        <v>1886</v>
      </c>
      <c r="V506" s="22">
        <v>45810</v>
      </c>
      <c r="W506" s="54" t="s">
        <v>91</v>
      </c>
      <c r="X506" s="23"/>
      <c r="Y506" s="23" t="s">
        <v>92</v>
      </c>
      <c r="Z506" s="56" t="s">
        <v>446</v>
      </c>
      <c r="AA506" s="24">
        <v>853873</v>
      </c>
      <c r="AB506" s="19"/>
      <c r="AC506" s="19"/>
      <c r="AD506" s="15" t="str">
        <f ca="1">IF(AND($D506&lt;&gt;"",COUNTIF(OFFSET(UFS!$E$2,MATCH($D506&amp;"",UFS!$A$2:$A$175,0)-1,0,COUNTIF(UFS!$A$2:$A$175,$D506&amp;""),1),M506)&gt;0),"Valide","Invalide")</f>
        <v>Valide</v>
      </c>
      <c r="AH506" s="15" t="str">
        <f t="shared" si="7"/>
        <v>En attente</v>
      </c>
    </row>
    <row r="507" spans="1:34" s="15" customFormat="1" ht="45" hidden="1" customHeight="1" x14ac:dyDescent="0.3">
      <c r="A507" s="42">
        <v>507</v>
      </c>
      <c r="B507" s="19" t="s">
        <v>26</v>
      </c>
      <c r="C507" s="19" t="s">
        <v>28</v>
      </c>
      <c r="D507" s="20" t="s">
        <v>432</v>
      </c>
      <c r="E507" s="20" t="s">
        <v>79</v>
      </c>
      <c r="F507" s="21" t="s">
        <v>433</v>
      </c>
      <c r="G507" s="38" t="s">
        <v>182</v>
      </c>
      <c r="H507" s="39" t="s">
        <v>82</v>
      </c>
      <c r="I507" s="39" t="s">
        <v>83</v>
      </c>
      <c r="J507" s="21" t="s">
        <v>144</v>
      </c>
      <c r="K507" s="21" t="s">
        <v>145</v>
      </c>
      <c r="L507" s="21" t="s">
        <v>434</v>
      </c>
      <c r="M507" s="21" t="s">
        <v>435</v>
      </c>
      <c r="N507" s="21" t="s">
        <v>436</v>
      </c>
      <c r="O507" s="20" t="s">
        <v>1887</v>
      </c>
      <c r="P507" s="45">
        <v>45807</v>
      </c>
      <c r="Q507" s="39" t="s">
        <v>1888</v>
      </c>
      <c r="R507" s="19">
        <v>6305.77</v>
      </c>
      <c r="S507" s="21">
        <v>0.1</v>
      </c>
      <c r="T507" s="21">
        <v>6936.3470000000007</v>
      </c>
      <c r="U507" s="60" t="s">
        <v>1886</v>
      </c>
      <c r="V507" s="22">
        <v>45810</v>
      </c>
      <c r="W507" s="54" t="s">
        <v>91</v>
      </c>
      <c r="X507" s="23"/>
      <c r="Y507" s="23" t="s">
        <v>92</v>
      </c>
      <c r="Z507" s="56" t="s">
        <v>928</v>
      </c>
      <c r="AA507" s="24">
        <v>853871</v>
      </c>
      <c r="AB507" s="19"/>
      <c r="AC507" s="19"/>
      <c r="AD507" s="15" t="str">
        <f ca="1">IF(AND($D507&lt;&gt;"",COUNTIF(OFFSET(UFS!$E$2,MATCH($D507&amp;"",UFS!$A$2:$A$175,0)-1,0,COUNTIF(UFS!$A$2:$A$175,$D507&amp;""),1),M507)&gt;0),"Valide","Invalide")</f>
        <v>Valide</v>
      </c>
      <c r="AH507" s="15" t="str">
        <f t="shared" si="7"/>
        <v>En attente</v>
      </c>
    </row>
    <row r="508" spans="1:34" s="15" customFormat="1" ht="45" hidden="1" customHeight="1" x14ac:dyDescent="0.3">
      <c r="A508" s="42">
        <v>508</v>
      </c>
      <c r="B508" s="19" t="s">
        <v>0</v>
      </c>
      <c r="C508" s="19" t="s">
        <v>1</v>
      </c>
      <c r="D508" s="20" t="s">
        <v>1513</v>
      </c>
      <c r="E508" s="20" t="s">
        <v>79</v>
      </c>
      <c r="F508" s="21" t="s">
        <v>80</v>
      </c>
      <c r="G508" s="38" t="s">
        <v>182</v>
      </c>
      <c r="H508" s="39" t="s">
        <v>82</v>
      </c>
      <c r="I508" s="39" t="s">
        <v>83</v>
      </c>
      <c r="J508" s="21" t="s">
        <v>144</v>
      </c>
      <c r="K508" s="21" t="s">
        <v>145</v>
      </c>
      <c r="L508" s="21" t="s">
        <v>499</v>
      </c>
      <c r="M508" s="21" t="s">
        <v>1514</v>
      </c>
      <c r="N508" s="21" t="s">
        <v>529</v>
      </c>
      <c r="O508" s="20" t="s">
        <v>1889</v>
      </c>
      <c r="P508" s="45">
        <v>45670</v>
      </c>
      <c r="Q508" s="39" t="s">
        <v>1890</v>
      </c>
      <c r="R508" s="19">
        <v>885.82</v>
      </c>
      <c r="S508" s="21">
        <v>0.1</v>
      </c>
      <c r="T508" s="21">
        <v>974.40200000000004</v>
      </c>
      <c r="U508" s="60" t="s">
        <v>1891</v>
      </c>
      <c r="V508" s="22">
        <v>45811</v>
      </c>
      <c r="W508" s="54" t="s">
        <v>91</v>
      </c>
      <c r="X508" s="23"/>
      <c r="Y508" s="23" t="s">
        <v>92</v>
      </c>
      <c r="Z508" s="56" t="s">
        <v>446</v>
      </c>
      <c r="AA508" s="24">
        <v>853916</v>
      </c>
      <c r="AB508" s="19"/>
      <c r="AC508" s="19"/>
      <c r="AD508" s="15" t="str">
        <f ca="1">IF(AND($D508&lt;&gt;"",COUNTIF(OFFSET(UFS!$E$2,MATCH($D508&amp;"",UFS!$A$2:$A$175,0)-1,0,COUNTIF(UFS!$A$2:$A$175,$D508&amp;""),1),M508)&gt;0),"Valide","Invalide")</f>
        <v>Valide</v>
      </c>
      <c r="AH508" s="15" t="str">
        <f t="shared" si="7"/>
        <v>En attente</v>
      </c>
    </row>
    <row r="509" spans="1:34" s="15" customFormat="1" ht="45" hidden="1" customHeight="1" x14ac:dyDescent="0.3">
      <c r="A509" s="42">
        <v>509</v>
      </c>
      <c r="B509" s="19" t="s">
        <v>26</v>
      </c>
      <c r="C509" s="19" t="s">
        <v>30</v>
      </c>
      <c r="D509" s="20" t="s">
        <v>1659</v>
      </c>
      <c r="E509" s="20" t="s">
        <v>96</v>
      </c>
      <c r="F509" s="21" t="s">
        <v>80</v>
      </c>
      <c r="G509" s="38" t="s">
        <v>169</v>
      </c>
      <c r="H509" s="39"/>
      <c r="I509" s="39" t="s">
        <v>1892</v>
      </c>
      <c r="J509" s="21" t="s">
        <v>144</v>
      </c>
      <c r="K509" s="21" t="s">
        <v>145</v>
      </c>
      <c r="L509" s="21" t="s">
        <v>1660</v>
      </c>
      <c r="M509" s="21" t="s">
        <v>1661</v>
      </c>
      <c r="N509" s="21" t="s">
        <v>1662</v>
      </c>
      <c r="O509" s="20" t="s">
        <v>1893</v>
      </c>
      <c r="P509" s="45">
        <v>45635</v>
      </c>
      <c r="Q509" s="39" t="s">
        <v>1894</v>
      </c>
      <c r="R509" s="19">
        <v>898.72</v>
      </c>
      <c r="S509" s="21">
        <v>0.2</v>
      </c>
      <c r="T509" s="21">
        <v>1078.4639999999999</v>
      </c>
      <c r="U509" s="60" t="s">
        <v>1895</v>
      </c>
      <c r="V509" s="22">
        <v>45811</v>
      </c>
      <c r="W509" s="54" t="s">
        <v>91</v>
      </c>
      <c r="X509" s="23"/>
      <c r="Y509" s="23" t="s">
        <v>92</v>
      </c>
      <c r="Z509" s="56" t="s">
        <v>446</v>
      </c>
      <c r="AA509" s="24">
        <v>853919</v>
      </c>
      <c r="AB509" s="19"/>
      <c r="AC509" s="46" t="s">
        <v>94</v>
      </c>
      <c r="AD509" s="15" t="str">
        <f ca="1">IF(AND($D509&lt;&gt;"",COUNTIF(OFFSET(UFS!$E$2,MATCH($D509&amp;"",UFS!$A$2:$A$175,0)-1,0,COUNTIF(UFS!$A$2:$A$175,$D509&amp;""),1),M509)&gt;0),"Valide","Invalide")</f>
        <v>Valide</v>
      </c>
      <c r="AH509" s="15" t="str">
        <f t="shared" si="7"/>
        <v>En attente</v>
      </c>
    </row>
    <row r="510" spans="1:34" s="15" customFormat="1" ht="45" hidden="1" customHeight="1" x14ac:dyDescent="0.3">
      <c r="A510" s="42">
        <v>510</v>
      </c>
      <c r="B510" s="19" t="s">
        <v>26</v>
      </c>
      <c r="C510" s="19" t="s">
        <v>35</v>
      </c>
      <c r="D510" s="20" t="s">
        <v>858</v>
      </c>
      <c r="E510" s="20" t="s">
        <v>79</v>
      </c>
      <c r="F510" s="21" t="s">
        <v>80</v>
      </c>
      <c r="G510" s="38" t="s">
        <v>81</v>
      </c>
      <c r="H510" s="39" t="s">
        <v>426</v>
      </c>
      <c r="I510" s="39" t="s">
        <v>83</v>
      </c>
      <c r="J510" s="21" t="s">
        <v>98</v>
      </c>
      <c r="K510" s="21" t="s">
        <v>859</v>
      </c>
      <c r="L510" s="21" t="s">
        <v>100</v>
      </c>
      <c r="M510" s="21" t="s">
        <v>860</v>
      </c>
      <c r="N510" s="21" t="s">
        <v>87</v>
      </c>
      <c r="O510" s="20" t="s">
        <v>1896</v>
      </c>
      <c r="P510" s="45">
        <v>45811</v>
      </c>
      <c r="Q510" s="39" t="s">
        <v>1897</v>
      </c>
      <c r="R510" s="19">
        <v>6466.65</v>
      </c>
      <c r="S510" s="21">
        <v>0.2</v>
      </c>
      <c r="T510" s="21">
        <v>7759.98</v>
      </c>
      <c r="U510" s="60" t="s">
        <v>1898</v>
      </c>
      <c r="V510" s="22">
        <v>45811</v>
      </c>
      <c r="W510" s="54" t="s">
        <v>91</v>
      </c>
      <c r="X510" s="23"/>
      <c r="Y510" s="23" t="s">
        <v>92</v>
      </c>
      <c r="Z510" s="56" t="s">
        <v>446</v>
      </c>
      <c r="AA510" s="24">
        <v>853920</v>
      </c>
      <c r="AB510" s="19"/>
      <c r="AC510" s="19"/>
      <c r="AD510" s="15" t="str">
        <f ca="1">IF(AND($D510&lt;&gt;"",COUNTIF(OFFSET(UFS!$E$2,MATCH($D510&amp;"",UFS!$A$2:$A$175,0)-1,0,COUNTIF(UFS!$A$2:$A$175,$D510&amp;""),1),M510)&gt;0),"Valide","Invalide")</f>
        <v>Valide</v>
      </c>
      <c r="AH510" s="15" t="str">
        <f t="shared" si="7"/>
        <v>En attente</v>
      </c>
    </row>
    <row r="511" spans="1:34" s="15" customFormat="1" ht="45" hidden="1" customHeight="1" x14ac:dyDescent="0.3">
      <c r="A511" s="42">
        <v>511</v>
      </c>
      <c r="B511" s="19" t="s">
        <v>20</v>
      </c>
      <c r="C511" s="19" t="s">
        <v>1</v>
      </c>
      <c r="D511" s="20" t="s">
        <v>1899</v>
      </c>
      <c r="E511" s="20" t="s">
        <v>79</v>
      </c>
      <c r="F511" s="21" t="s">
        <v>80</v>
      </c>
      <c r="G511" s="38" t="s">
        <v>182</v>
      </c>
      <c r="H511" s="39" t="s">
        <v>82</v>
      </c>
      <c r="I511" s="39" t="s">
        <v>83</v>
      </c>
      <c r="J511" s="21" t="s">
        <v>144</v>
      </c>
      <c r="K511" s="21" t="s">
        <v>145</v>
      </c>
      <c r="L511" s="21" t="s">
        <v>192</v>
      </c>
      <c r="M511" s="21" t="s">
        <v>1900</v>
      </c>
      <c r="N511" s="21" t="s">
        <v>102</v>
      </c>
      <c r="O511" s="20" t="s">
        <v>1901</v>
      </c>
      <c r="P511" s="45">
        <v>45750</v>
      </c>
      <c r="Q511" s="39" t="s">
        <v>1902</v>
      </c>
      <c r="R511" s="19">
        <v>471.09</v>
      </c>
      <c r="S511" s="21">
        <v>0.1</v>
      </c>
      <c r="T511" s="21">
        <v>518.19899999999996</v>
      </c>
      <c r="U511" s="60" t="s">
        <v>1903</v>
      </c>
      <c r="V511" s="22">
        <v>45811</v>
      </c>
      <c r="W511" s="54" t="s">
        <v>91</v>
      </c>
      <c r="X511" s="23"/>
      <c r="Y511" s="23" t="s">
        <v>92</v>
      </c>
      <c r="Z511" s="56" t="s">
        <v>446</v>
      </c>
      <c r="AA511" s="24">
        <v>853922</v>
      </c>
      <c r="AB511" s="19"/>
      <c r="AC511" s="46" t="s">
        <v>94</v>
      </c>
      <c r="AD511" s="15" t="str">
        <f ca="1">IF(AND($D511&lt;&gt;"",COUNTIF(OFFSET(UFS!$E$2,MATCH($D511&amp;"",UFS!$A$2:$A$175,0)-1,0,COUNTIF(UFS!$A$2:$A$175,$D511&amp;""),1),M511)&gt;0),"Valide","Invalide")</f>
        <v>Valide</v>
      </c>
      <c r="AH511" s="15" t="str">
        <f t="shared" si="7"/>
        <v>En attente</v>
      </c>
    </row>
    <row r="512" spans="1:34" s="15" customFormat="1" ht="45" hidden="1" customHeight="1" x14ac:dyDescent="0.3">
      <c r="A512" s="42">
        <v>512</v>
      </c>
      <c r="B512" s="19" t="s">
        <v>16</v>
      </c>
      <c r="C512" s="19" t="s">
        <v>28</v>
      </c>
      <c r="D512" s="20" t="s">
        <v>548</v>
      </c>
      <c r="E512" s="20" t="s">
        <v>96</v>
      </c>
      <c r="F512" s="21" t="s">
        <v>80</v>
      </c>
      <c r="G512" s="38" t="s">
        <v>294</v>
      </c>
      <c r="H512" s="39"/>
      <c r="I512" s="39" t="s">
        <v>1904</v>
      </c>
      <c r="J512" s="21" t="s">
        <v>144</v>
      </c>
      <c r="K512" s="21" t="s">
        <v>145</v>
      </c>
      <c r="L512" s="21" t="s">
        <v>549</v>
      </c>
      <c r="M512" s="21" t="s">
        <v>549</v>
      </c>
      <c r="N512" s="21" t="s">
        <v>550</v>
      </c>
      <c r="O512" s="20" t="s">
        <v>1905</v>
      </c>
      <c r="P512" s="45">
        <v>45811</v>
      </c>
      <c r="Q512" s="39" t="s">
        <v>1906</v>
      </c>
      <c r="R512" s="19">
        <v>25393.52</v>
      </c>
      <c r="S512" s="21">
        <v>0.2</v>
      </c>
      <c r="T512" s="21">
        <v>30472.224000000002</v>
      </c>
      <c r="U512" s="60" t="s">
        <v>1907</v>
      </c>
      <c r="V512" s="22">
        <v>45847</v>
      </c>
      <c r="W512" s="54" t="s">
        <v>91</v>
      </c>
      <c r="X512" s="23"/>
      <c r="Y512" s="23" t="s">
        <v>92</v>
      </c>
      <c r="Z512" s="56" t="s">
        <v>1908</v>
      </c>
      <c r="AA512" s="64">
        <v>856231</v>
      </c>
      <c r="AB512" s="19" t="s">
        <v>1909</v>
      </c>
      <c r="AC512" s="46" t="s">
        <v>94</v>
      </c>
      <c r="AD512" s="15" t="str">
        <f ca="1">IF(AND($D512&lt;&gt;"",COUNTIF(OFFSET(UFS!$E$2,MATCH($D512&amp;"",UFS!$A$2:$A$175,0)-1,0,COUNTIF(UFS!$A$2:$A$175,$D512&amp;""),1),M512)&gt;0),"Valide","Invalide")</f>
        <v>Valide</v>
      </c>
      <c r="AH512" s="15" t="str">
        <f t="shared" si="7"/>
        <v>En attente</v>
      </c>
    </row>
    <row r="513" spans="1:34" s="15" customFormat="1" ht="45" hidden="1" customHeight="1" x14ac:dyDescent="0.3">
      <c r="A513" s="42">
        <v>513</v>
      </c>
      <c r="B513" s="19" t="s">
        <v>4</v>
      </c>
      <c r="C513" s="19" t="s">
        <v>36</v>
      </c>
      <c r="D513" s="20" t="s">
        <v>106</v>
      </c>
      <c r="E513" s="20" t="s">
        <v>79</v>
      </c>
      <c r="F513" s="21" t="s">
        <v>80</v>
      </c>
      <c r="G513" s="38" t="s">
        <v>241</v>
      </c>
      <c r="H513" s="39" t="s">
        <v>252</v>
      </c>
      <c r="I513" s="39" t="s">
        <v>253</v>
      </c>
      <c r="J513" s="21" t="s">
        <v>98</v>
      </c>
      <c r="K513" s="21" t="s">
        <v>108</v>
      </c>
      <c r="L513" s="21" t="s">
        <v>100</v>
      </c>
      <c r="M513" s="21" t="s">
        <v>109</v>
      </c>
      <c r="N513" s="21" t="s">
        <v>109</v>
      </c>
      <c r="O513" s="20" t="s">
        <v>1910</v>
      </c>
      <c r="P513" s="45">
        <v>45791</v>
      </c>
      <c r="Q513" s="39" t="s">
        <v>1911</v>
      </c>
      <c r="R513" s="19">
        <v>6428</v>
      </c>
      <c r="S513" s="21">
        <v>0.1</v>
      </c>
      <c r="T513" s="21">
        <v>7070.8</v>
      </c>
      <c r="U513" s="60" t="s">
        <v>1912</v>
      </c>
      <c r="V513" s="22">
        <v>45812</v>
      </c>
      <c r="W513" s="54" t="s">
        <v>91</v>
      </c>
      <c r="X513" s="23"/>
      <c r="Y513" s="23" t="s">
        <v>92</v>
      </c>
      <c r="Z513" s="82" t="s">
        <v>928</v>
      </c>
      <c r="AA513" s="24">
        <v>853924</v>
      </c>
      <c r="AB513" s="19"/>
      <c r="AC513" s="46" t="s">
        <v>94</v>
      </c>
      <c r="AD513" s="15" t="str">
        <f ca="1">IF(AND($D513&lt;&gt;"",COUNTIF(OFFSET(UFS!$E$2,MATCH($D513&amp;"",UFS!$A$2:$A$175,0)-1,0,COUNTIF(UFS!$A$2:$A$175,$D513&amp;""),1),M513)&gt;0),"Valide","Invalide")</f>
        <v>Valide</v>
      </c>
      <c r="AH513" s="15" t="str">
        <f t="shared" si="7"/>
        <v>En attente</v>
      </c>
    </row>
    <row r="514" spans="1:34" s="15" customFormat="1" ht="45" hidden="1" customHeight="1" x14ac:dyDescent="0.3">
      <c r="A514" s="42">
        <v>514</v>
      </c>
      <c r="B514" s="19" t="s">
        <v>16</v>
      </c>
      <c r="C514" s="19" t="s">
        <v>19</v>
      </c>
      <c r="D514" s="20" t="s">
        <v>200</v>
      </c>
      <c r="E514" s="20" t="s">
        <v>79</v>
      </c>
      <c r="F514" s="21" t="s">
        <v>80</v>
      </c>
      <c r="G514" s="38" t="s">
        <v>81</v>
      </c>
      <c r="H514" s="39" t="s">
        <v>211</v>
      </c>
      <c r="I514" s="39" t="s">
        <v>83</v>
      </c>
      <c r="J514" s="21" t="s">
        <v>144</v>
      </c>
      <c r="K514" s="21" t="s">
        <v>145</v>
      </c>
      <c r="L514" s="21" t="s">
        <v>203</v>
      </c>
      <c r="M514" s="21" t="s">
        <v>109</v>
      </c>
      <c r="N514" s="21" t="s">
        <v>109</v>
      </c>
      <c r="O514" s="20" t="s">
        <v>1913</v>
      </c>
      <c r="P514" s="45">
        <v>45807</v>
      </c>
      <c r="Q514" s="39" t="s">
        <v>1914</v>
      </c>
      <c r="R514" s="19">
        <v>5332.96</v>
      </c>
      <c r="S514" s="21">
        <v>0.2</v>
      </c>
      <c r="T514" s="21">
        <v>6399.5519999999997</v>
      </c>
      <c r="U514" s="44" t="s">
        <v>1915</v>
      </c>
      <c r="V514" s="22">
        <v>45812</v>
      </c>
      <c r="W514" s="54" t="s">
        <v>91</v>
      </c>
      <c r="X514" s="23"/>
      <c r="Y514" s="23" t="s">
        <v>92</v>
      </c>
      <c r="Z514" s="76" t="s">
        <v>928</v>
      </c>
      <c r="AA514" s="24">
        <v>854694</v>
      </c>
      <c r="AB514" s="45">
        <v>45826</v>
      </c>
      <c r="AC514" s="46" t="s">
        <v>94</v>
      </c>
      <c r="AD514" s="15" t="e">
        <f ca="1">IF(AND($D514&lt;&gt;"",COUNTIF(OFFSET(UFS!$E$2,MATCH($D514&amp;"",UFS!$A$2:$A$175,0)-1,0,COUNTIF(UFS!$A$2:$A$175,$D514&amp;""),1),M514)&gt;0),"Valide","Invalide")</f>
        <v>#N/A</v>
      </c>
      <c r="AH514" s="15" t="str">
        <f t="shared" si="7"/>
        <v>En attente</v>
      </c>
    </row>
    <row r="515" spans="1:34" s="15" customFormat="1" ht="45" hidden="1" customHeight="1" x14ac:dyDescent="0.3">
      <c r="A515" s="42">
        <v>515</v>
      </c>
      <c r="B515" s="19" t="s">
        <v>0</v>
      </c>
      <c r="C515" s="19" t="s">
        <v>34</v>
      </c>
      <c r="D515" s="20" t="s">
        <v>1358</v>
      </c>
      <c r="E515" s="20" t="s">
        <v>79</v>
      </c>
      <c r="F515" s="21" t="s">
        <v>80</v>
      </c>
      <c r="G515" s="38" t="s">
        <v>81</v>
      </c>
      <c r="H515" s="39" t="s">
        <v>267</v>
      </c>
      <c r="I515" s="39" t="s">
        <v>83</v>
      </c>
      <c r="J515" s="21" t="s">
        <v>98</v>
      </c>
      <c r="K515" s="21" t="s">
        <v>859</v>
      </c>
      <c r="L515" s="21" t="s">
        <v>100</v>
      </c>
      <c r="M515" s="21" t="s">
        <v>109</v>
      </c>
      <c r="N515" s="21" t="s">
        <v>109</v>
      </c>
      <c r="O515" s="20" t="s">
        <v>1916</v>
      </c>
      <c r="P515" s="45">
        <v>45781</v>
      </c>
      <c r="Q515" s="39" t="s">
        <v>1917</v>
      </c>
      <c r="R515" s="19">
        <v>2197.69</v>
      </c>
      <c r="S515" s="21">
        <v>0.2</v>
      </c>
      <c r="T515" s="21">
        <v>2637.2280000000001</v>
      </c>
      <c r="U515" s="98" t="s">
        <v>1918</v>
      </c>
      <c r="V515" s="22">
        <v>45812</v>
      </c>
      <c r="W515" s="54" t="s">
        <v>91</v>
      </c>
      <c r="X515" s="23"/>
      <c r="Y515" s="23" t="s">
        <v>92</v>
      </c>
      <c r="Z515" s="81" t="s">
        <v>928</v>
      </c>
      <c r="AA515" s="24">
        <v>853966</v>
      </c>
      <c r="AB515" s="19"/>
      <c r="AC515" s="19"/>
      <c r="AD515" s="15" t="str">
        <f ca="1">IF(AND($D515&lt;&gt;"",COUNTIF(OFFSET(UFS!$E$2,MATCH($D515&amp;"",UFS!$A$2:$A$175,0)-1,0,COUNTIF(UFS!$A$2:$A$175,$D515&amp;""),1),M515)&gt;0),"Valide","Invalide")</f>
        <v>Valide</v>
      </c>
      <c r="AH515" s="15" t="str">
        <f t="shared" ref="AH515:AH578" si="8">IF(T515&lt;&gt;"","En attente","")</f>
        <v>En attente</v>
      </c>
    </row>
    <row r="516" spans="1:34" s="15" customFormat="1" ht="45" hidden="1" customHeight="1" x14ac:dyDescent="0.3">
      <c r="A516" s="42">
        <v>516</v>
      </c>
      <c r="B516" s="19" t="s">
        <v>24</v>
      </c>
      <c r="C516" s="19" t="s">
        <v>11</v>
      </c>
      <c r="D516" s="20" t="s">
        <v>360</v>
      </c>
      <c r="E516" s="20" t="s">
        <v>79</v>
      </c>
      <c r="F516" s="21" t="s">
        <v>80</v>
      </c>
      <c r="G516" s="38" t="s">
        <v>182</v>
      </c>
      <c r="H516" s="39" t="s">
        <v>82</v>
      </c>
      <c r="I516" s="39" t="s">
        <v>83</v>
      </c>
      <c r="J516" s="21" t="s">
        <v>361</v>
      </c>
      <c r="K516" s="21" t="s">
        <v>362</v>
      </c>
      <c r="L516" s="21" t="s">
        <v>114</v>
      </c>
      <c r="M516" s="21" t="s">
        <v>363</v>
      </c>
      <c r="N516" s="21" t="s">
        <v>151</v>
      </c>
      <c r="O516" s="20" t="s">
        <v>1919</v>
      </c>
      <c r="P516" s="45">
        <v>45810</v>
      </c>
      <c r="Q516" s="39" t="s">
        <v>1920</v>
      </c>
      <c r="R516" s="19">
        <v>15135.05</v>
      </c>
      <c r="S516" s="21">
        <v>0.2</v>
      </c>
      <c r="T516" s="21">
        <v>18162.059999999998</v>
      </c>
      <c r="U516" s="135" t="s">
        <v>1921</v>
      </c>
      <c r="V516" s="22">
        <v>45812</v>
      </c>
      <c r="W516" s="54" t="s">
        <v>91</v>
      </c>
      <c r="X516" s="23"/>
      <c r="Y516" s="23" t="s">
        <v>92</v>
      </c>
      <c r="Z516" s="56" t="s">
        <v>928</v>
      </c>
      <c r="AA516" s="24">
        <v>854014</v>
      </c>
      <c r="AB516" s="19"/>
      <c r="AC516" s="46" t="s">
        <v>94</v>
      </c>
      <c r="AD516" s="15" t="str">
        <f ca="1">IF(AND($D516&lt;&gt;"",COUNTIF(OFFSET(UFS!$E$2,MATCH($D516&amp;"",UFS!$A$2:$A$175,0)-1,0,COUNTIF(UFS!$A$2:$A$175,$D516&amp;""),1),M516)&gt;0),"Valide","Invalide")</f>
        <v>Valide</v>
      </c>
      <c r="AH516" s="15" t="str">
        <f t="shared" si="8"/>
        <v>En attente</v>
      </c>
    </row>
    <row r="517" spans="1:34" s="15" customFormat="1" ht="45" hidden="1" customHeight="1" x14ac:dyDescent="0.3">
      <c r="A517" s="42">
        <v>517</v>
      </c>
      <c r="B517" s="19" t="s">
        <v>10</v>
      </c>
      <c r="C517" s="19" t="s">
        <v>1922</v>
      </c>
      <c r="D517" s="20" t="s">
        <v>200</v>
      </c>
      <c r="E517" s="20" t="s">
        <v>96</v>
      </c>
      <c r="F517" s="21" t="s">
        <v>80</v>
      </c>
      <c r="G517" s="38" t="s">
        <v>1827</v>
      </c>
      <c r="H517" s="39"/>
      <c r="I517" s="39"/>
      <c r="J517" s="21" t="s">
        <v>144</v>
      </c>
      <c r="K517" s="21" t="s">
        <v>145</v>
      </c>
      <c r="L517" s="21" t="s">
        <v>203</v>
      </c>
      <c r="M517" s="21" t="s">
        <v>109</v>
      </c>
      <c r="N517" s="21" t="s">
        <v>109</v>
      </c>
      <c r="O517" s="20" t="s">
        <v>1923</v>
      </c>
      <c r="P517" s="45">
        <v>45810</v>
      </c>
      <c r="Q517" s="39" t="s">
        <v>1924</v>
      </c>
      <c r="R517" s="19">
        <v>21799.599999999999</v>
      </c>
      <c r="S517" s="21">
        <v>0.2</v>
      </c>
      <c r="T517" s="21">
        <v>26159.519999999997</v>
      </c>
      <c r="U517" s="60" t="s">
        <v>1925</v>
      </c>
      <c r="V517" s="22">
        <v>45812</v>
      </c>
      <c r="W517" s="54"/>
      <c r="X517" s="23"/>
      <c r="Y517" s="23" t="s">
        <v>92</v>
      </c>
      <c r="Z517" s="79" t="s">
        <v>1926</v>
      </c>
      <c r="AA517" s="24">
        <v>853975</v>
      </c>
      <c r="AB517" s="19"/>
      <c r="AC517" s="19"/>
      <c r="AD517" s="15" t="e">
        <f ca="1">IF(AND($D517&lt;&gt;"",COUNTIF(OFFSET(UFS!$E$2,MATCH($D517&amp;"",UFS!$A$2:$A$175,0)-1,0,COUNTIF(UFS!$A$2:$A$175,$D517&amp;""),1),M517)&gt;0),"Valide","Invalide")</f>
        <v>#N/A</v>
      </c>
      <c r="AH517" s="15" t="str">
        <f t="shared" si="8"/>
        <v>En attente</v>
      </c>
    </row>
    <row r="518" spans="1:34" s="15" customFormat="1" ht="45" hidden="1" customHeight="1" x14ac:dyDescent="0.3">
      <c r="A518" s="42">
        <v>518</v>
      </c>
      <c r="B518" s="19" t="s">
        <v>10</v>
      </c>
      <c r="C518" s="19" t="s">
        <v>1922</v>
      </c>
      <c r="D518" s="20" t="s">
        <v>200</v>
      </c>
      <c r="E518" s="20" t="s">
        <v>96</v>
      </c>
      <c r="F518" s="21" t="s">
        <v>80</v>
      </c>
      <c r="G518" s="38" t="s">
        <v>1927</v>
      </c>
      <c r="H518" s="39"/>
      <c r="I518" s="39"/>
      <c r="J518" s="21" t="s">
        <v>144</v>
      </c>
      <c r="K518" s="21" t="s">
        <v>145</v>
      </c>
      <c r="L518" s="21" t="s">
        <v>203</v>
      </c>
      <c r="M518" s="21" t="s">
        <v>109</v>
      </c>
      <c r="N518" s="21" t="s">
        <v>109</v>
      </c>
      <c r="O518" s="20" t="s">
        <v>1928</v>
      </c>
      <c r="P518" s="45">
        <v>45810</v>
      </c>
      <c r="Q518" s="39" t="s">
        <v>1929</v>
      </c>
      <c r="R518" s="19">
        <v>24170.2</v>
      </c>
      <c r="S518" s="21">
        <v>0.2</v>
      </c>
      <c r="T518" s="21">
        <v>29004.240000000002</v>
      </c>
      <c r="U518" s="60" t="s">
        <v>1925</v>
      </c>
      <c r="V518" s="22">
        <v>45812</v>
      </c>
      <c r="W518" s="54"/>
      <c r="X518" s="23"/>
      <c r="Y518" s="23" t="s">
        <v>92</v>
      </c>
      <c r="Z518" s="83" t="s">
        <v>1930</v>
      </c>
      <c r="AA518" s="24">
        <v>854685</v>
      </c>
      <c r="AB518" s="19"/>
      <c r="AC518" s="19"/>
      <c r="AD518" s="15" t="e">
        <f ca="1">IF(AND($D518&lt;&gt;"",COUNTIF(OFFSET(UFS!$E$2,MATCH($D518&amp;"",UFS!$A$2:$A$175,0)-1,0,COUNTIF(UFS!$A$2:$A$175,$D518&amp;""),1),M518)&gt;0),"Valide","Invalide")</f>
        <v>#N/A</v>
      </c>
      <c r="AH518" s="15" t="str">
        <f t="shared" si="8"/>
        <v>En attente</v>
      </c>
    </row>
    <row r="519" spans="1:34" s="15" customFormat="1" ht="45" hidden="1" customHeight="1" x14ac:dyDescent="0.3">
      <c r="A519" s="42">
        <v>519</v>
      </c>
      <c r="B519" s="19" t="s">
        <v>10</v>
      </c>
      <c r="C519" s="19" t="s">
        <v>1922</v>
      </c>
      <c r="D519" s="20" t="s">
        <v>200</v>
      </c>
      <c r="E519" s="20" t="s">
        <v>96</v>
      </c>
      <c r="F519" s="21" t="s">
        <v>80</v>
      </c>
      <c r="G519" s="38" t="s">
        <v>983</v>
      </c>
      <c r="H519" s="39"/>
      <c r="I519" s="39"/>
      <c r="J519" s="21" t="s">
        <v>144</v>
      </c>
      <c r="K519" s="21" t="s">
        <v>145</v>
      </c>
      <c r="L519" s="21" t="s">
        <v>203</v>
      </c>
      <c r="M519" s="21" t="s">
        <v>109</v>
      </c>
      <c r="N519" s="21" t="s">
        <v>109</v>
      </c>
      <c r="O519" s="20" t="s">
        <v>1931</v>
      </c>
      <c r="P519" s="45">
        <v>45810</v>
      </c>
      <c r="Q519" s="39" t="s">
        <v>1932</v>
      </c>
      <c r="R519" s="19">
        <v>9544.6</v>
      </c>
      <c r="S519" s="21">
        <v>0.2</v>
      </c>
      <c r="T519" s="21">
        <v>11453.52</v>
      </c>
      <c r="U519" s="99" t="s">
        <v>1925</v>
      </c>
      <c r="V519" s="22">
        <v>45812</v>
      </c>
      <c r="W519" s="54"/>
      <c r="X519" s="23"/>
      <c r="Y519" s="23" t="s">
        <v>92</v>
      </c>
      <c r="Z519" s="79" t="s">
        <v>1926</v>
      </c>
      <c r="AA519" s="24">
        <v>853984</v>
      </c>
      <c r="AB519" s="19"/>
      <c r="AC519" s="19"/>
      <c r="AD519" s="15" t="e">
        <f ca="1">IF(AND($D519&lt;&gt;"",COUNTIF(OFFSET(UFS!$E$2,MATCH($D519&amp;"",UFS!$A$2:$A$175,0)-1,0,COUNTIF(UFS!$A$2:$A$175,$D519&amp;""),1),M519)&gt;0),"Valide","Invalide")</f>
        <v>#N/A</v>
      </c>
      <c r="AH519" s="15" t="str">
        <f t="shared" si="8"/>
        <v>En attente</v>
      </c>
    </row>
    <row r="520" spans="1:34" s="15" customFormat="1" ht="45" hidden="1" customHeight="1" x14ac:dyDescent="0.3">
      <c r="A520" s="42">
        <v>520</v>
      </c>
      <c r="B520" s="19" t="s">
        <v>10</v>
      </c>
      <c r="C520" s="19" t="s">
        <v>1922</v>
      </c>
      <c r="D520" s="20" t="s">
        <v>200</v>
      </c>
      <c r="E520" s="20" t="s">
        <v>96</v>
      </c>
      <c r="F520" s="21" t="s">
        <v>80</v>
      </c>
      <c r="G520" s="38" t="s">
        <v>989</v>
      </c>
      <c r="H520" s="39"/>
      <c r="I520" s="39"/>
      <c r="J520" s="21" t="s">
        <v>144</v>
      </c>
      <c r="K520" s="21" t="s">
        <v>145</v>
      </c>
      <c r="L520" s="21" t="s">
        <v>203</v>
      </c>
      <c r="M520" s="21" t="s">
        <v>109</v>
      </c>
      <c r="N520" s="21" t="s">
        <v>109</v>
      </c>
      <c r="O520" s="20" t="s">
        <v>1933</v>
      </c>
      <c r="P520" s="45">
        <v>45810</v>
      </c>
      <c r="Q520" s="39" t="s">
        <v>1934</v>
      </c>
      <c r="R520" s="19">
        <v>35259.96</v>
      </c>
      <c r="S520" s="21">
        <v>0.2</v>
      </c>
      <c r="T520" s="21">
        <v>42311.951999999997</v>
      </c>
      <c r="U520" s="135" t="s">
        <v>1925</v>
      </c>
      <c r="V520" s="22">
        <v>45812</v>
      </c>
      <c r="W520" s="54"/>
      <c r="X520" s="23"/>
      <c r="Y520" s="23" t="s">
        <v>92</v>
      </c>
      <c r="Z520" s="79" t="s">
        <v>1926</v>
      </c>
      <c r="AA520" s="24">
        <v>835988</v>
      </c>
      <c r="AB520" s="19"/>
      <c r="AC520" s="19"/>
      <c r="AD520" s="15" t="e">
        <f ca="1">IF(AND($D520&lt;&gt;"",COUNTIF(OFFSET(UFS!$E$2,MATCH($D520&amp;"",UFS!$A$2:$A$175,0)-1,0,COUNTIF(UFS!$A$2:$A$175,$D520&amp;""),1),M520)&gt;0),"Valide","Invalide")</f>
        <v>#N/A</v>
      </c>
      <c r="AH520" s="15" t="str">
        <f t="shared" si="8"/>
        <v>En attente</v>
      </c>
    </row>
    <row r="521" spans="1:34" s="15" customFormat="1" ht="45" hidden="1" customHeight="1" x14ac:dyDescent="0.3">
      <c r="A521" s="42">
        <v>521</v>
      </c>
      <c r="B521" s="19" t="s">
        <v>709</v>
      </c>
      <c r="C521" s="19" t="s">
        <v>23</v>
      </c>
      <c r="D521" s="20" t="s">
        <v>130</v>
      </c>
      <c r="E521" s="20" t="s">
        <v>79</v>
      </c>
      <c r="F521" s="21" t="s">
        <v>80</v>
      </c>
      <c r="G521" s="38" t="s">
        <v>241</v>
      </c>
      <c r="H521" s="39" t="s">
        <v>643</v>
      </c>
      <c r="I521" s="39" t="s">
        <v>644</v>
      </c>
      <c r="J521" s="21" t="s">
        <v>124</v>
      </c>
      <c r="K521" s="21" t="s">
        <v>125</v>
      </c>
      <c r="L521" s="21" t="s">
        <v>203</v>
      </c>
      <c r="M521" s="21" t="s">
        <v>131</v>
      </c>
      <c r="N521" s="21" t="s">
        <v>102</v>
      </c>
      <c r="O521" s="20" t="s">
        <v>1935</v>
      </c>
      <c r="P521" s="45">
        <v>45811</v>
      </c>
      <c r="Q521" s="39" t="s">
        <v>1936</v>
      </c>
      <c r="R521" s="19">
        <v>5000</v>
      </c>
      <c r="S521" s="21">
        <v>0.1</v>
      </c>
      <c r="T521" s="21">
        <v>5500</v>
      </c>
      <c r="U521" s="60" t="s">
        <v>714</v>
      </c>
      <c r="V521" s="22">
        <v>45813</v>
      </c>
      <c r="W521" s="54" t="s">
        <v>91</v>
      </c>
      <c r="X521" s="23"/>
      <c r="Y521" s="23" t="s">
        <v>92</v>
      </c>
      <c r="Z521" s="56" t="s">
        <v>928</v>
      </c>
      <c r="AA521" s="24">
        <v>854015</v>
      </c>
      <c r="AB521" s="19"/>
      <c r="AC521" s="19"/>
      <c r="AD521" s="15" t="str">
        <f ca="1">IF(AND($D521&lt;&gt;"",COUNTIF(OFFSET(UFS!$E$2,MATCH($D521&amp;"",UFS!$A$2:$A$175,0)-1,0,COUNTIF(UFS!$A$2:$A$175,$D521&amp;""),1),M521)&gt;0),"Valide","Invalide")</f>
        <v>Valide</v>
      </c>
      <c r="AH521" s="15" t="str">
        <f t="shared" si="8"/>
        <v>En attente</v>
      </c>
    </row>
    <row r="522" spans="1:34" s="15" customFormat="1" ht="45" hidden="1" customHeight="1" x14ac:dyDescent="0.3">
      <c r="A522" s="42">
        <v>522</v>
      </c>
      <c r="B522" s="19" t="s">
        <v>709</v>
      </c>
      <c r="C522" s="19" t="s">
        <v>23</v>
      </c>
      <c r="D522" s="20" t="s">
        <v>174</v>
      </c>
      <c r="E522" s="20" t="s">
        <v>79</v>
      </c>
      <c r="F522" s="21" t="s">
        <v>80</v>
      </c>
      <c r="G522" s="38" t="s">
        <v>241</v>
      </c>
      <c r="H522" s="39" t="s">
        <v>643</v>
      </c>
      <c r="I522" s="39" t="s">
        <v>644</v>
      </c>
      <c r="J522" s="21" t="s">
        <v>124</v>
      </c>
      <c r="K522" s="21" t="s">
        <v>125</v>
      </c>
      <c r="L522" s="21" t="s">
        <v>177</v>
      </c>
      <c r="M522" s="21" t="s">
        <v>136</v>
      </c>
      <c r="N522" s="21" t="s">
        <v>102</v>
      </c>
      <c r="O522" s="20" t="s">
        <v>1937</v>
      </c>
      <c r="P522" s="45">
        <v>45811</v>
      </c>
      <c r="Q522" s="39" t="s">
        <v>1936</v>
      </c>
      <c r="R522" s="19">
        <v>5891.4</v>
      </c>
      <c r="S522" s="21">
        <v>0.1</v>
      </c>
      <c r="T522" s="21">
        <v>6480.54</v>
      </c>
      <c r="U522" s="60" t="s">
        <v>714</v>
      </c>
      <c r="V522" s="22">
        <v>45813</v>
      </c>
      <c r="W522" s="54" t="s">
        <v>91</v>
      </c>
      <c r="X522" s="23"/>
      <c r="Y522" s="23" t="s">
        <v>92</v>
      </c>
      <c r="Z522" s="56" t="s">
        <v>1938</v>
      </c>
      <c r="AA522" s="24">
        <v>854016</v>
      </c>
      <c r="AB522" s="19"/>
      <c r="AC522" s="19"/>
      <c r="AD522" s="15" t="str">
        <f ca="1">IF(AND($D522&lt;&gt;"",COUNTIF(OFFSET(UFS!$E$2,MATCH($D522&amp;"",UFS!$A$2:$A$175,0)-1,0,COUNTIF(UFS!$A$2:$A$175,$D522&amp;""),1),M522)&gt;0),"Valide","Invalide")</f>
        <v>Valide</v>
      </c>
      <c r="AH522" s="15" t="str">
        <f t="shared" si="8"/>
        <v>En attente</v>
      </c>
    </row>
    <row r="523" spans="1:34" s="15" customFormat="1" ht="45" hidden="1" customHeight="1" x14ac:dyDescent="0.3">
      <c r="A523" s="42">
        <v>523</v>
      </c>
      <c r="B523" s="19" t="s">
        <v>0</v>
      </c>
      <c r="C523" s="19" t="s">
        <v>11</v>
      </c>
      <c r="D523" s="20" t="s">
        <v>548</v>
      </c>
      <c r="E523" s="20" t="s">
        <v>79</v>
      </c>
      <c r="F523" s="21" t="s">
        <v>80</v>
      </c>
      <c r="G523" s="38" t="s">
        <v>81</v>
      </c>
      <c r="H523" s="39"/>
      <c r="I523" s="39" t="s">
        <v>83</v>
      </c>
      <c r="J523" s="21" t="s">
        <v>144</v>
      </c>
      <c r="K523" s="21" t="s">
        <v>145</v>
      </c>
      <c r="L523" s="21" t="s">
        <v>549</v>
      </c>
      <c r="M523" s="21" t="s">
        <v>549</v>
      </c>
      <c r="N523" s="21" t="s">
        <v>550</v>
      </c>
      <c r="O523" s="20" t="s">
        <v>1939</v>
      </c>
      <c r="P523" s="45">
        <v>45813</v>
      </c>
      <c r="Q523" s="39" t="s">
        <v>1940</v>
      </c>
      <c r="R523" s="19">
        <v>972.1</v>
      </c>
      <c r="S523" s="21">
        <v>0.2</v>
      </c>
      <c r="T523" s="21">
        <v>1166.52</v>
      </c>
      <c r="U523" s="60" t="s">
        <v>1941</v>
      </c>
      <c r="V523" s="22">
        <v>45813</v>
      </c>
      <c r="W523" s="54" t="s">
        <v>91</v>
      </c>
      <c r="X523" s="23"/>
      <c r="Y523" s="23" t="s">
        <v>92</v>
      </c>
      <c r="Z523" s="56" t="s">
        <v>928</v>
      </c>
      <c r="AA523" s="24">
        <v>854025</v>
      </c>
      <c r="AB523" s="19"/>
      <c r="AC523" s="19"/>
      <c r="AD523" s="15" t="str">
        <f ca="1">IF(AND($D523&lt;&gt;"",COUNTIF(OFFSET(UFS!$E$2,MATCH($D523&amp;"",UFS!$A$2:$A$175,0)-1,0,COUNTIF(UFS!$A$2:$A$175,$D523&amp;""),1),M523)&gt;0),"Valide","Invalide")</f>
        <v>Valide</v>
      </c>
      <c r="AH523" s="15" t="str">
        <f t="shared" si="8"/>
        <v>En attente</v>
      </c>
    </row>
    <row r="524" spans="1:34" s="15" customFormat="1" ht="45" hidden="1" customHeight="1" x14ac:dyDescent="0.3">
      <c r="A524" s="42">
        <v>524</v>
      </c>
      <c r="B524" s="19" t="s">
        <v>20</v>
      </c>
      <c r="C524" s="19" t="s">
        <v>37</v>
      </c>
      <c r="D524" s="20" t="s">
        <v>251</v>
      </c>
      <c r="E524" s="20" t="s">
        <v>79</v>
      </c>
      <c r="F524" s="21" t="s">
        <v>80</v>
      </c>
      <c r="G524" s="38" t="s">
        <v>241</v>
      </c>
      <c r="H524" s="39" t="s">
        <v>367</v>
      </c>
      <c r="I524" s="39" t="s">
        <v>368</v>
      </c>
      <c r="J524" s="21" t="s">
        <v>144</v>
      </c>
      <c r="K524" s="21" t="s">
        <v>145</v>
      </c>
      <c r="L524" s="21" t="s">
        <v>254</v>
      </c>
      <c r="M524" s="21" t="s">
        <v>255</v>
      </c>
      <c r="N524" s="21" t="s">
        <v>256</v>
      </c>
      <c r="O524" s="20" t="s">
        <v>1942</v>
      </c>
      <c r="P524" s="45">
        <v>45812</v>
      </c>
      <c r="Q524" s="39" t="s">
        <v>1943</v>
      </c>
      <c r="R524" s="19">
        <v>1360.68</v>
      </c>
      <c r="S524" s="21">
        <v>0.2</v>
      </c>
      <c r="T524" s="21">
        <v>1632.816</v>
      </c>
      <c r="U524" s="60" t="s">
        <v>1944</v>
      </c>
      <c r="V524" s="22">
        <v>45813</v>
      </c>
      <c r="W524" s="54" t="s">
        <v>91</v>
      </c>
      <c r="X524" s="23"/>
      <c r="Y524" s="23" t="s">
        <v>92</v>
      </c>
      <c r="Z524" s="56" t="s">
        <v>928</v>
      </c>
      <c r="AA524" s="24">
        <v>854030</v>
      </c>
      <c r="AB524" s="19"/>
      <c r="AC524" s="46" t="s">
        <v>94</v>
      </c>
      <c r="AD524" s="15" t="str">
        <f ca="1">IF(AND($D524&lt;&gt;"",COUNTIF(OFFSET(UFS!$E$2,MATCH($D524&amp;"",UFS!$A$2:$A$175,0)-1,0,COUNTIF(UFS!$A$2:$A$175,$D524&amp;""),1),M524)&gt;0),"Valide","Invalide")</f>
        <v>Valide</v>
      </c>
      <c r="AH524" s="15" t="str">
        <f t="shared" si="8"/>
        <v>En attente</v>
      </c>
    </row>
    <row r="525" spans="1:34" s="15" customFormat="1" ht="45" hidden="1" customHeight="1" x14ac:dyDescent="0.3">
      <c r="A525" s="42">
        <v>525</v>
      </c>
      <c r="B525" s="19" t="s">
        <v>20</v>
      </c>
      <c r="C525" s="19" t="s">
        <v>37</v>
      </c>
      <c r="D525" s="20" t="s">
        <v>251</v>
      </c>
      <c r="E525" s="20" t="s">
        <v>79</v>
      </c>
      <c r="F525" s="21" t="s">
        <v>80</v>
      </c>
      <c r="G525" s="38" t="s">
        <v>241</v>
      </c>
      <c r="H525" s="39" t="s">
        <v>367</v>
      </c>
      <c r="I525" s="39" t="s">
        <v>368</v>
      </c>
      <c r="J525" s="21" t="s">
        <v>144</v>
      </c>
      <c r="K525" s="21" t="s">
        <v>145</v>
      </c>
      <c r="L525" s="21" t="s">
        <v>254</v>
      </c>
      <c r="M525" s="21" t="s">
        <v>255</v>
      </c>
      <c r="N525" s="21" t="s">
        <v>256</v>
      </c>
      <c r="O525" s="20" t="s">
        <v>1945</v>
      </c>
      <c r="P525" s="45">
        <v>45812</v>
      </c>
      <c r="Q525" s="39" t="s">
        <v>1946</v>
      </c>
      <c r="R525" s="19">
        <v>90</v>
      </c>
      <c r="S525" s="21">
        <v>0.2</v>
      </c>
      <c r="T525" s="21">
        <v>108</v>
      </c>
      <c r="U525" s="60" t="s">
        <v>1947</v>
      </c>
      <c r="V525" s="22">
        <v>45813</v>
      </c>
      <c r="W525" s="54" t="s">
        <v>91</v>
      </c>
      <c r="X525" s="23"/>
      <c r="Y525" s="23" t="s">
        <v>92</v>
      </c>
      <c r="Z525" s="56" t="s">
        <v>928</v>
      </c>
      <c r="AA525" s="24">
        <v>854031</v>
      </c>
      <c r="AB525" s="19"/>
      <c r="AC525" s="46" t="s">
        <v>94</v>
      </c>
      <c r="AD525" s="15" t="str">
        <f ca="1">IF(AND($D525&lt;&gt;"",COUNTIF(OFFSET(UFS!$E$2,MATCH($D525&amp;"",UFS!$A$2:$A$175,0)-1,0,COUNTIF(UFS!$A$2:$A$175,$D525&amp;""),1),M525)&gt;0),"Valide","Invalide")</f>
        <v>Valide</v>
      </c>
      <c r="AH525" s="15" t="str">
        <f t="shared" si="8"/>
        <v>En attente</v>
      </c>
    </row>
    <row r="526" spans="1:34" s="15" customFormat="1" ht="45" hidden="1" customHeight="1" x14ac:dyDescent="0.3">
      <c r="A526" s="42">
        <v>526</v>
      </c>
      <c r="B526" s="19" t="s">
        <v>20</v>
      </c>
      <c r="C526" s="19" t="s">
        <v>37</v>
      </c>
      <c r="D526" s="20" t="s">
        <v>260</v>
      </c>
      <c r="E526" s="20" t="s">
        <v>79</v>
      </c>
      <c r="F526" s="21" t="s">
        <v>80</v>
      </c>
      <c r="G526" s="38" t="s">
        <v>241</v>
      </c>
      <c r="H526" s="39" t="s">
        <v>367</v>
      </c>
      <c r="I526" s="39" t="s">
        <v>368</v>
      </c>
      <c r="J526" s="21" t="s">
        <v>84</v>
      </c>
      <c r="K526" s="21" t="s">
        <v>113</v>
      </c>
      <c r="L526" s="21" t="s">
        <v>86</v>
      </c>
      <c r="M526" s="21" t="s">
        <v>109</v>
      </c>
      <c r="N526" s="21" t="s">
        <v>109</v>
      </c>
      <c r="O526" s="20" t="s">
        <v>1948</v>
      </c>
      <c r="P526" s="45">
        <v>45812</v>
      </c>
      <c r="Q526" s="39" t="s">
        <v>1949</v>
      </c>
      <c r="R526" s="19">
        <v>135</v>
      </c>
      <c r="S526" s="21">
        <v>0.1</v>
      </c>
      <c r="T526" s="21">
        <v>148.5</v>
      </c>
      <c r="U526" s="60" t="s">
        <v>1950</v>
      </c>
      <c r="V526" s="22">
        <v>45813</v>
      </c>
      <c r="W526" s="54" t="s">
        <v>91</v>
      </c>
      <c r="X526" s="23"/>
      <c r="Y526" s="23" t="s">
        <v>92</v>
      </c>
      <c r="Z526" s="56" t="s">
        <v>928</v>
      </c>
      <c r="AA526" s="24">
        <v>854034</v>
      </c>
      <c r="AB526" s="19"/>
      <c r="AC526" s="46" t="s">
        <v>94</v>
      </c>
      <c r="AD526" s="15" t="str">
        <f ca="1">IF(AND($D526&lt;&gt;"",COUNTIF(OFFSET(UFS!$E$2,MATCH($D526&amp;"",UFS!$A$2:$A$175,0)-1,0,COUNTIF(UFS!$A$2:$A$175,$D526&amp;""),1),M526)&gt;0),"Valide","Invalide")</f>
        <v>Valide</v>
      </c>
      <c r="AH526" s="15" t="str">
        <f t="shared" si="8"/>
        <v>En attente</v>
      </c>
    </row>
    <row r="527" spans="1:34" s="15" customFormat="1" ht="45" hidden="1" customHeight="1" x14ac:dyDescent="0.3">
      <c r="A527" s="42">
        <v>527</v>
      </c>
      <c r="B527" s="19" t="s">
        <v>20</v>
      </c>
      <c r="C527" s="19" t="s">
        <v>35</v>
      </c>
      <c r="D527" s="20" t="s">
        <v>123</v>
      </c>
      <c r="E527" s="20" t="s">
        <v>79</v>
      </c>
      <c r="F527" s="21" t="s">
        <v>80</v>
      </c>
      <c r="G527" s="38"/>
      <c r="H527" s="39"/>
      <c r="I527" s="39"/>
      <c r="J527" s="21" t="s">
        <v>124</v>
      </c>
      <c r="K527" s="21" t="s">
        <v>125</v>
      </c>
      <c r="L527" s="21" t="s">
        <v>126</v>
      </c>
      <c r="M527" s="21" t="s">
        <v>109</v>
      </c>
      <c r="N527" s="21" t="s">
        <v>109</v>
      </c>
      <c r="O527" s="20"/>
      <c r="P527" s="19"/>
      <c r="Q527" s="39" t="s">
        <v>1951</v>
      </c>
      <c r="R527" s="19"/>
      <c r="S527" s="21">
        <v>0.1</v>
      </c>
      <c r="T527" s="21"/>
      <c r="U527" s="39"/>
      <c r="V527" s="21"/>
      <c r="W527" s="54"/>
      <c r="X527" s="23"/>
      <c r="Y527" s="23"/>
      <c r="Z527" s="56"/>
      <c r="AA527" s="24"/>
      <c r="AB527" s="19"/>
      <c r="AC527" s="19"/>
      <c r="AD527" s="15" t="str">
        <f ca="1">IF(AND($D527&lt;&gt;"",COUNTIF(OFFSET(UFS!$E$2,MATCH($D527&amp;"",UFS!$A$2:$A$175,0)-1,0,COUNTIF(UFS!$A$2:$A$175,$D527&amp;""),1),M527)&gt;0),"Valide","Invalide")</f>
        <v>Valide</v>
      </c>
      <c r="AH527" s="15" t="str">
        <f t="shared" si="8"/>
        <v/>
      </c>
    </row>
    <row r="528" spans="1:34" s="15" customFormat="1" ht="45" hidden="1" customHeight="1" x14ac:dyDescent="0.3">
      <c r="A528" s="42">
        <v>528</v>
      </c>
      <c r="B528" s="19" t="s">
        <v>709</v>
      </c>
      <c r="C528" s="19" t="s">
        <v>23</v>
      </c>
      <c r="D528" s="20" t="s">
        <v>152</v>
      </c>
      <c r="E528" s="20" t="s">
        <v>79</v>
      </c>
      <c r="F528" s="21" t="s">
        <v>80</v>
      </c>
      <c r="G528" s="38" t="s">
        <v>241</v>
      </c>
      <c r="H528" s="39" t="s">
        <v>643</v>
      </c>
      <c r="I528" s="39" t="s">
        <v>644</v>
      </c>
      <c r="J528" s="21" t="s">
        <v>84</v>
      </c>
      <c r="K528" s="21" t="s">
        <v>115</v>
      </c>
      <c r="L528" s="21" t="s">
        <v>86</v>
      </c>
      <c r="M528" s="21" t="s">
        <v>711</v>
      </c>
      <c r="N528" s="21" t="s">
        <v>102</v>
      </c>
      <c r="O528" s="20" t="s">
        <v>1067</v>
      </c>
      <c r="P528" s="45">
        <v>45721</v>
      </c>
      <c r="Q528" s="39" t="s">
        <v>1952</v>
      </c>
      <c r="R528" s="19">
        <v>707.5</v>
      </c>
      <c r="S528" s="21">
        <v>0.1</v>
      </c>
      <c r="T528" s="21">
        <v>778.25</v>
      </c>
      <c r="U528" s="60" t="s">
        <v>714</v>
      </c>
      <c r="V528" s="22">
        <v>45813</v>
      </c>
      <c r="W528" s="54" t="s">
        <v>91</v>
      </c>
      <c r="X528" s="23"/>
      <c r="Y528" s="23" t="s">
        <v>92</v>
      </c>
      <c r="Z528" s="84" t="s">
        <v>446</v>
      </c>
      <c r="AA528" s="24">
        <v>854189</v>
      </c>
      <c r="AB528" s="19"/>
      <c r="AC528" s="19" t="s">
        <v>94</v>
      </c>
      <c r="AD528" s="15" t="str">
        <f ca="1">IF(AND($D528&lt;&gt;"",COUNTIF(OFFSET(UFS!$E$2,MATCH($D528&amp;"",UFS!$A$2:$A$175,0)-1,0,COUNTIF(UFS!$A$2:$A$175,$D528&amp;""),1),M528)&gt;0),"Valide","Invalide")</f>
        <v>Invalide</v>
      </c>
      <c r="AH528" s="15" t="str">
        <f t="shared" si="8"/>
        <v>En attente</v>
      </c>
    </row>
    <row r="529" spans="1:34" s="15" customFormat="1" ht="45" hidden="1" customHeight="1" x14ac:dyDescent="0.3">
      <c r="A529" s="42">
        <v>529</v>
      </c>
      <c r="B529" s="19" t="s">
        <v>6</v>
      </c>
      <c r="C529" s="19" t="s">
        <v>21</v>
      </c>
      <c r="D529" s="20" t="s">
        <v>200</v>
      </c>
      <c r="E529" s="20" t="s">
        <v>853</v>
      </c>
      <c r="F529" s="21" t="s">
        <v>80</v>
      </c>
      <c r="G529" s="38" t="s">
        <v>854</v>
      </c>
      <c r="H529" s="39" t="s">
        <v>534</v>
      </c>
      <c r="I529" s="39"/>
      <c r="J529" s="21" t="s">
        <v>144</v>
      </c>
      <c r="K529" s="21" t="s">
        <v>145</v>
      </c>
      <c r="L529" s="21" t="s">
        <v>203</v>
      </c>
      <c r="M529" s="21" t="s">
        <v>109</v>
      </c>
      <c r="N529" s="21" t="s">
        <v>109</v>
      </c>
      <c r="O529" s="20" t="s">
        <v>1953</v>
      </c>
      <c r="P529" s="45">
        <v>45742</v>
      </c>
      <c r="Q529" s="39" t="s">
        <v>1954</v>
      </c>
      <c r="R529" s="19">
        <v>853.6</v>
      </c>
      <c r="S529" s="21">
        <v>0.2</v>
      </c>
      <c r="T529" s="21">
        <v>1024.32</v>
      </c>
      <c r="U529" s="44" t="s">
        <v>1955</v>
      </c>
      <c r="V529" s="22">
        <v>45813</v>
      </c>
      <c r="W529" s="54" t="s">
        <v>91</v>
      </c>
      <c r="X529" s="23"/>
      <c r="Y529" s="23" t="s">
        <v>92</v>
      </c>
      <c r="Z529" s="56" t="s">
        <v>446</v>
      </c>
      <c r="AA529" s="24">
        <v>3010</v>
      </c>
      <c r="AB529" s="19"/>
      <c r="AC529" s="46" t="s">
        <v>94</v>
      </c>
      <c r="AD529" s="15" t="e">
        <f ca="1">IF(AND($D529&lt;&gt;"",COUNTIF(OFFSET(UFS!$E$2,MATCH($D529&amp;"",UFS!$A$2:$A$175,0)-1,0,COUNTIF(UFS!$A$2:$A$175,$D529&amp;""),1),M529)&gt;0),"Valide","Invalide")</f>
        <v>#N/A</v>
      </c>
      <c r="AH529" s="15" t="str">
        <f t="shared" si="8"/>
        <v>En attente</v>
      </c>
    </row>
    <row r="530" spans="1:34" s="15" customFormat="1" ht="45" hidden="1" customHeight="1" x14ac:dyDescent="0.3">
      <c r="A530" s="42">
        <v>530</v>
      </c>
      <c r="B530" s="19" t="s">
        <v>6</v>
      </c>
      <c r="C530" s="19" t="s">
        <v>21</v>
      </c>
      <c r="D530" s="20" t="s">
        <v>200</v>
      </c>
      <c r="E530" s="20" t="s">
        <v>853</v>
      </c>
      <c r="F530" s="21" t="s">
        <v>80</v>
      </c>
      <c r="G530" s="38" t="s">
        <v>854</v>
      </c>
      <c r="H530" s="39" t="s">
        <v>534</v>
      </c>
      <c r="I530" s="39"/>
      <c r="J530" s="21" t="s">
        <v>144</v>
      </c>
      <c r="K530" s="21" t="s">
        <v>145</v>
      </c>
      <c r="L530" s="21" t="s">
        <v>203</v>
      </c>
      <c r="M530" s="21" t="s">
        <v>109</v>
      </c>
      <c r="N530" s="21" t="s">
        <v>109</v>
      </c>
      <c r="O530" s="20" t="s">
        <v>1956</v>
      </c>
      <c r="P530" s="45">
        <v>45742</v>
      </c>
      <c r="Q530" s="39" t="s">
        <v>1957</v>
      </c>
      <c r="R530" s="19">
        <v>942.7</v>
      </c>
      <c r="S530" s="21">
        <v>0.2</v>
      </c>
      <c r="T530" s="21">
        <v>1131.24</v>
      </c>
      <c r="U530" s="44" t="s">
        <v>1958</v>
      </c>
      <c r="V530" s="22">
        <v>45813</v>
      </c>
      <c r="W530" s="54" t="s">
        <v>91</v>
      </c>
      <c r="X530" s="23"/>
      <c r="Y530" s="23" t="s">
        <v>92</v>
      </c>
      <c r="Z530" s="56" t="s">
        <v>446</v>
      </c>
      <c r="AA530" s="24">
        <v>3011</v>
      </c>
      <c r="AB530" s="19"/>
      <c r="AC530" s="46" t="s">
        <v>94</v>
      </c>
      <c r="AD530" s="15" t="e">
        <f ca="1">IF(AND($D530&lt;&gt;"",COUNTIF(OFFSET(UFS!$E$2,MATCH($D530&amp;"",UFS!$A$2:$A$175,0)-1,0,COUNTIF(UFS!$A$2:$A$175,$D530&amp;""),1),M530)&gt;0),"Valide","Invalide")</f>
        <v>#N/A</v>
      </c>
      <c r="AH530" s="15" t="str">
        <f t="shared" si="8"/>
        <v>En attente</v>
      </c>
    </row>
    <row r="531" spans="1:34" s="15" customFormat="1" ht="45" hidden="1" customHeight="1" x14ac:dyDescent="0.3">
      <c r="A531" s="42">
        <v>531</v>
      </c>
      <c r="B531" s="19" t="s">
        <v>6</v>
      </c>
      <c r="C531" s="19" t="s">
        <v>21</v>
      </c>
      <c r="D531" s="20" t="s">
        <v>200</v>
      </c>
      <c r="E531" s="20" t="s">
        <v>853</v>
      </c>
      <c r="F531" s="21" t="s">
        <v>80</v>
      </c>
      <c r="G531" s="38" t="s">
        <v>854</v>
      </c>
      <c r="H531" s="39" t="s">
        <v>534</v>
      </c>
      <c r="I531" s="39"/>
      <c r="J531" s="21" t="s">
        <v>144</v>
      </c>
      <c r="K531" s="21" t="s">
        <v>145</v>
      </c>
      <c r="L531" s="21" t="s">
        <v>203</v>
      </c>
      <c r="M531" s="21" t="s">
        <v>109</v>
      </c>
      <c r="N531" s="21" t="s">
        <v>109</v>
      </c>
      <c r="O531" s="20" t="s">
        <v>1959</v>
      </c>
      <c r="P531" s="45">
        <v>45804</v>
      </c>
      <c r="Q531" s="39" t="s">
        <v>1960</v>
      </c>
      <c r="R531" s="19">
        <v>848.1</v>
      </c>
      <c r="S531" s="21">
        <v>0.2</v>
      </c>
      <c r="T531" s="21">
        <v>1017.72</v>
      </c>
      <c r="U531" s="44" t="s">
        <v>1961</v>
      </c>
      <c r="V531" s="22">
        <v>45813</v>
      </c>
      <c r="W531" s="54" t="s">
        <v>91</v>
      </c>
      <c r="X531" s="23"/>
      <c r="Y531" s="23" t="s">
        <v>92</v>
      </c>
      <c r="Z531" s="56" t="s">
        <v>446</v>
      </c>
      <c r="AA531" s="24">
        <v>3012</v>
      </c>
      <c r="AB531" s="19"/>
      <c r="AC531" s="46" t="s">
        <v>94</v>
      </c>
      <c r="AD531" s="15" t="e">
        <f ca="1">IF(AND($D531&lt;&gt;"",COUNTIF(OFFSET(UFS!$E$2,MATCH($D531&amp;"",UFS!$A$2:$A$175,0)-1,0,COUNTIF(UFS!$A$2:$A$175,$D531&amp;""),1),M531)&gt;0),"Valide","Invalide")</f>
        <v>#N/A</v>
      </c>
      <c r="AH531" s="15" t="str">
        <f t="shared" si="8"/>
        <v>En attente</v>
      </c>
    </row>
    <row r="532" spans="1:34" s="15" customFormat="1" ht="45" hidden="1" customHeight="1" x14ac:dyDescent="0.3">
      <c r="A532" s="42">
        <v>532</v>
      </c>
      <c r="B532" s="19" t="s">
        <v>6</v>
      </c>
      <c r="C532" s="89" t="s">
        <v>21</v>
      </c>
      <c r="D532" s="20" t="s">
        <v>200</v>
      </c>
      <c r="E532" s="20" t="s">
        <v>853</v>
      </c>
      <c r="F532" s="21" t="s">
        <v>80</v>
      </c>
      <c r="G532" s="38" t="s">
        <v>854</v>
      </c>
      <c r="H532" s="39" t="s">
        <v>534</v>
      </c>
      <c r="I532" s="39"/>
      <c r="J532" s="21" t="s">
        <v>144</v>
      </c>
      <c r="K532" s="21" t="s">
        <v>145</v>
      </c>
      <c r="L532" s="21" t="s">
        <v>203</v>
      </c>
      <c r="M532" s="21" t="s">
        <v>109</v>
      </c>
      <c r="N532" s="21" t="s">
        <v>109</v>
      </c>
      <c r="O532" s="20" t="s">
        <v>1962</v>
      </c>
      <c r="P532" s="45">
        <v>45804</v>
      </c>
      <c r="Q532" s="39" t="s">
        <v>1963</v>
      </c>
      <c r="R532" s="19">
        <v>1023</v>
      </c>
      <c r="S532" s="21">
        <v>0.2</v>
      </c>
      <c r="T532" s="21">
        <v>1227.5999999999999</v>
      </c>
      <c r="U532" s="44" t="s">
        <v>1964</v>
      </c>
      <c r="V532" s="22">
        <v>45813</v>
      </c>
      <c r="W532" s="54" t="s">
        <v>91</v>
      </c>
      <c r="X532" s="23"/>
      <c r="Y532" s="23" t="s">
        <v>92</v>
      </c>
      <c r="Z532" s="56" t="s">
        <v>446</v>
      </c>
      <c r="AA532" s="24">
        <v>3013</v>
      </c>
      <c r="AB532" s="19"/>
      <c r="AC532" s="46" t="s">
        <v>94</v>
      </c>
      <c r="AD532" s="15" t="e">
        <f ca="1">IF(AND($D532&lt;&gt;"",COUNTIF(OFFSET(UFS!$E$2,MATCH($D532&amp;"",UFS!$A$2:$A$175,0)-1,0,COUNTIF(UFS!$A$2:$A$175,$D532&amp;""),1),M532)&gt;0),"Valide","Invalide")</f>
        <v>#N/A</v>
      </c>
      <c r="AH532" s="15" t="str">
        <f t="shared" si="8"/>
        <v>En attente</v>
      </c>
    </row>
    <row r="533" spans="1:34" s="15" customFormat="1" ht="45" hidden="1" customHeight="1" x14ac:dyDescent="0.3">
      <c r="A533" s="42">
        <v>533</v>
      </c>
      <c r="B533" s="19" t="s">
        <v>6</v>
      </c>
      <c r="C533" s="88" t="s">
        <v>5</v>
      </c>
      <c r="D533" s="20" t="s">
        <v>587</v>
      </c>
      <c r="E533" s="20" t="s">
        <v>79</v>
      </c>
      <c r="F533" s="21" t="s">
        <v>80</v>
      </c>
      <c r="G533" s="38" t="s">
        <v>81</v>
      </c>
      <c r="H533" s="39" t="s">
        <v>82</v>
      </c>
      <c r="I533" s="39" t="s">
        <v>83</v>
      </c>
      <c r="J533" s="21" t="s">
        <v>144</v>
      </c>
      <c r="K533" s="21" t="s">
        <v>145</v>
      </c>
      <c r="L533" s="21" t="s">
        <v>203</v>
      </c>
      <c r="M533" s="21" t="s">
        <v>589</v>
      </c>
      <c r="N533" s="21" t="s">
        <v>589</v>
      </c>
      <c r="O533" s="20" t="s">
        <v>1965</v>
      </c>
      <c r="P533" s="45">
        <v>45800</v>
      </c>
      <c r="Q533" s="39" t="s">
        <v>1966</v>
      </c>
      <c r="R533" s="19">
        <v>2259.4</v>
      </c>
      <c r="S533" s="21">
        <v>0.2</v>
      </c>
      <c r="T533" s="21">
        <v>2711.28</v>
      </c>
      <c r="U533" s="44" t="s">
        <v>1967</v>
      </c>
      <c r="V533" s="22">
        <v>45813</v>
      </c>
      <c r="W533" s="54" t="s">
        <v>91</v>
      </c>
      <c r="X533" s="23"/>
      <c r="Y533" s="23" t="s">
        <v>92</v>
      </c>
      <c r="Z533" s="76" t="s">
        <v>446</v>
      </c>
      <c r="AA533" s="24">
        <v>854697</v>
      </c>
      <c r="AB533" s="19"/>
      <c r="AC533" s="19"/>
      <c r="AD533" s="15" t="str">
        <f ca="1">IF(AND($D533&lt;&gt;"",COUNTIF(OFFSET(UFS!$E$2,MATCH($D533&amp;"",UFS!$A$2:$A$175,0)-1,0,COUNTIF(UFS!$A$2:$A$175,$D533&amp;""),1),M533)&gt;0),"Valide","Invalide")</f>
        <v>Valide</v>
      </c>
      <c r="AH533" s="15" t="str">
        <f t="shared" si="8"/>
        <v>En attente</v>
      </c>
    </row>
    <row r="534" spans="1:34" s="15" customFormat="1" ht="45" hidden="1" customHeight="1" x14ac:dyDescent="0.3">
      <c r="A534" s="42">
        <v>534</v>
      </c>
      <c r="B534" s="19" t="s">
        <v>10</v>
      </c>
      <c r="C534" s="19" t="s">
        <v>35</v>
      </c>
      <c r="D534" s="20" t="s">
        <v>200</v>
      </c>
      <c r="E534" s="20" t="s">
        <v>96</v>
      </c>
      <c r="F534" s="21" t="s">
        <v>80</v>
      </c>
      <c r="G534" s="38" t="s">
        <v>1827</v>
      </c>
      <c r="H534" s="39"/>
      <c r="I534" s="39"/>
      <c r="J534" s="21" t="s">
        <v>144</v>
      </c>
      <c r="K534" s="21" t="s">
        <v>145</v>
      </c>
      <c r="L534" s="21" t="s">
        <v>203</v>
      </c>
      <c r="M534" s="21" t="s">
        <v>109</v>
      </c>
      <c r="N534" s="21" t="s">
        <v>109</v>
      </c>
      <c r="O534" s="20" t="s">
        <v>1968</v>
      </c>
      <c r="P534" s="45">
        <v>45814</v>
      </c>
      <c r="Q534" s="39" t="s">
        <v>1969</v>
      </c>
      <c r="R534" s="19">
        <v>57042.559999999998</v>
      </c>
      <c r="S534" s="21">
        <v>0.2</v>
      </c>
      <c r="T534" s="21">
        <v>68451.072</v>
      </c>
      <c r="U534" s="60" t="s">
        <v>1970</v>
      </c>
      <c r="V534" s="22">
        <v>45814</v>
      </c>
      <c r="W534" s="54" t="s">
        <v>91</v>
      </c>
      <c r="X534" s="23"/>
      <c r="Y534" s="23" t="s">
        <v>92</v>
      </c>
      <c r="Z534" s="56" t="s">
        <v>1971</v>
      </c>
      <c r="AA534" s="24">
        <v>854022</v>
      </c>
      <c r="AB534" s="19"/>
      <c r="AC534" s="19"/>
      <c r="AD534" s="15" t="e">
        <f ca="1">IF(AND($D534&lt;&gt;"",COUNTIF(OFFSET(UFS!$E$2,MATCH($D534&amp;"",UFS!$A$2:$A$175,0)-1,0,COUNTIF(UFS!$A$2:$A$175,$D534&amp;""),1),M534)&gt;0),"Valide","Invalide")</f>
        <v>#N/A</v>
      </c>
      <c r="AH534" s="15" t="str">
        <f t="shared" si="8"/>
        <v>En attente</v>
      </c>
    </row>
    <row r="535" spans="1:34" s="15" customFormat="1" ht="45" hidden="1" customHeight="1" x14ac:dyDescent="0.3">
      <c r="A535" s="42">
        <v>535</v>
      </c>
      <c r="B535" s="19" t="s">
        <v>709</v>
      </c>
      <c r="C535" s="19" t="s">
        <v>23</v>
      </c>
      <c r="D535" s="20" t="s">
        <v>582</v>
      </c>
      <c r="E535" s="20" t="s">
        <v>79</v>
      </c>
      <c r="F535" s="21" t="s">
        <v>80</v>
      </c>
      <c r="G535" s="38" t="s">
        <v>241</v>
      </c>
      <c r="H535" s="39" t="s">
        <v>643</v>
      </c>
      <c r="I535" s="39" t="s">
        <v>644</v>
      </c>
      <c r="J535" s="21" t="s">
        <v>144</v>
      </c>
      <c r="K535" s="21" t="s">
        <v>145</v>
      </c>
      <c r="L535" s="21" t="s">
        <v>328</v>
      </c>
      <c r="M535" s="21" t="s">
        <v>1750</v>
      </c>
      <c r="N535" s="21" t="s">
        <v>102</v>
      </c>
      <c r="O535" s="20" t="s">
        <v>1972</v>
      </c>
      <c r="P535" s="45">
        <v>45812</v>
      </c>
      <c r="Q535" s="39" t="s">
        <v>1973</v>
      </c>
      <c r="R535" s="19">
        <v>506.4</v>
      </c>
      <c r="S535" s="21">
        <v>0.1</v>
      </c>
      <c r="T535" s="21">
        <v>557.04</v>
      </c>
      <c r="U535" s="60" t="s">
        <v>714</v>
      </c>
      <c r="V535" s="22">
        <v>45818</v>
      </c>
      <c r="W535" s="54" t="s">
        <v>91</v>
      </c>
      <c r="X535" s="23"/>
      <c r="Y535" s="23" t="s">
        <v>92</v>
      </c>
      <c r="Z535" s="84" t="s">
        <v>446</v>
      </c>
      <c r="AA535" s="24">
        <v>854537</v>
      </c>
      <c r="AB535" s="19"/>
      <c r="AC535" s="19" t="s">
        <v>94</v>
      </c>
      <c r="AD535" s="15" t="str">
        <f ca="1">IF(AND($D535&lt;&gt;"",COUNTIF(OFFSET(UFS!$E$2,MATCH($D535&amp;"",UFS!$A$2:$A$175,0)-1,0,COUNTIF(UFS!$A$2:$A$175,$D535&amp;""),1),M535)&gt;0),"Valide","Invalide")</f>
        <v>Invalide</v>
      </c>
      <c r="AH535" s="15" t="str">
        <f t="shared" si="8"/>
        <v>En attente</v>
      </c>
    </row>
    <row r="536" spans="1:34" s="15" customFormat="1" ht="45" hidden="1" customHeight="1" x14ac:dyDescent="0.3">
      <c r="A536" s="42">
        <v>536</v>
      </c>
      <c r="B536" s="19" t="s">
        <v>709</v>
      </c>
      <c r="C536" s="19" t="s">
        <v>23</v>
      </c>
      <c r="D536" s="20" t="s">
        <v>181</v>
      </c>
      <c r="E536" s="20" t="s">
        <v>79</v>
      </c>
      <c r="F536" s="21" t="s">
        <v>80</v>
      </c>
      <c r="G536" s="38" t="s">
        <v>241</v>
      </c>
      <c r="H536" s="39" t="s">
        <v>643</v>
      </c>
      <c r="I536" s="39" t="s">
        <v>644</v>
      </c>
      <c r="J536" s="21" t="s">
        <v>183</v>
      </c>
      <c r="K536" s="21" t="s">
        <v>184</v>
      </c>
      <c r="L536" s="21" t="s">
        <v>185</v>
      </c>
      <c r="M536" s="21" t="s">
        <v>711</v>
      </c>
      <c r="N536" s="21" t="s">
        <v>102</v>
      </c>
      <c r="O536" s="20" t="s">
        <v>1974</v>
      </c>
      <c r="P536" s="45">
        <v>45818</v>
      </c>
      <c r="Q536" s="39" t="s">
        <v>1975</v>
      </c>
      <c r="R536" s="19">
        <v>551.48</v>
      </c>
      <c r="S536" s="21">
        <v>0.2</v>
      </c>
      <c r="T536" s="21">
        <v>661.78</v>
      </c>
      <c r="U536" s="60" t="s">
        <v>714</v>
      </c>
      <c r="V536" s="22">
        <v>45818</v>
      </c>
      <c r="W536" s="54" t="s">
        <v>91</v>
      </c>
      <c r="X536" s="23"/>
      <c r="Y536" s="23" t="s">
        <v>92</v>
      </c>
      <c r="Z536" s="139" t="s">
        <v>446</v>
      </c>
      <c r="AA536" s="24">
        <v>854622</v>
      </c>
      <c r="AB536" s="19"/>
      <c r="AC536" s="19"/>
      <c r="AD536" s="15" t="str">
        <f ca="1">IF(AND($D536&lt;&gt;"",COUNTIF(OFFSET(UFS!$E$2,MATCH($D536&amp;"",UFS!$A$2:$A$175,0)-1,0,COUNTIF(UFS!$A$2:$A$175,$D536&amp;""),1),M536)&gt;0),"Valide","Invalide")</f>
        <v>Invalide</v>
      </c>
      <c r="AH536" s="15" t="str">
        <f t="shared" si="8"/>
        <v>En attente</v>
      </c>
    </row>
    <row r="537" spans="1:34" s="15" customFormat="1" ht="45" hidden="1" customHeight="1" x14ac:dyDescent="0.3">
      <c r="A537" s="42">
        <v>537</v>
      </c>
      <c r="B537" s="19" t="s">
        <v>4</v>
      </c>
      <c r="C537" s="19" t="s">
        <v>15</v>
      </c>
      <c r="D537" s="20" t="s">
        <v>1593</v>
      </c>
      <c r="E537" s="20" t="s">
        <v>79</v>
      </c>
      <c r="F537" s="21" t="s">
        <v>80</v>
      </c>
      <c r="G537" s="38" t="s">
        <v>81</v>
      </c>
      <c r="H537" s="39" t="s">
        <v>139</v>
      </c>
      <c r="I537" s="39" t="s">
        <v>83</v>
      </c>
      <c r="J537" s="21" t="s">
        <v>144</v>
      </c>
      <c r="K537" s="21" t="s">
        <v>145</v>
      </c>
      <c r="L537" s="21" t="s">
        <v>192</v>
      </c>
      <c r="M537" s="21" t="s">
        <v>1976</v>
      </c>
      <c r="N537" s="21" t="s">
        <v>1977</v>
      </c>
      <c r="O537" s="20" t="s">
        <v>1978</v>
      </c>
      <c r="P537" s="45">
        <v>45818</v>
      </c>
      <c r="Q537" s="39" t="s">
        <v>1979</v>
      </c>
      <c r="R537" s="19">
        <v>1986.87</v>
      </c>
      <c r="S537" s="21">
        <v>0.1</v>
      </c>
      <c r="T537" s="21">
        <v>2185.5569999999998</v>
      </c>
      <c r="U537" s="44" t="s">
        <v>675</v>
      </c>
      <c r="V537" s="22">
        <v>45819</v>
      </c>
      <c r="W537" s="54" t="s">
        <v>91</v>
      </c>
      <c r="X537" s="23"/>
      <c r="Y537" s="23" t="s">
        <v>92</v>
      </c>
      <c r="Z537" s="141" t="s">
        <v>446</v>
      </c>
      <c r="AA537" s="24">
        <v>854629</v>
      </c>
      <c r="AB537" s="19"/>
      <c r="AC537" s="19"/>
      <c r="AD537" s="15" t="str">
        <f ca="1">IF(AND($D537&lt;&gt;"",COUNTIF(OFFSET(UFS!$E$2,MATCH($D537&amp;"",UFS!$A$2:$A$175,0)-1,0,COUNTIF(UFS!$A$2:$A$175,$D537&amp;""),1),M537)&gt;0),"Valide","Invalide")</f>
        <v>Valide</v>
      </c>
      <c r="AH537" s="15" t="str">
        <f t="shared" si="8"/>
        <v>En attente</v>
      </c>
    </row>
    <row r="538" spans="1:34" s="15" customFormat="1" ht="45" hidden="1" customHeight="1" x14ac:dyDescent="0.3">
      <c r="A538" s="86">
        <v>539</v>
      </c>
      <c r="B538" s="19" t="s">
        <v>425</v>
      </c>
      <c r="C538" s="19" t="s">
        <v>35</v>
      </c>
      <c r="D538" s="20" t="s">
        <v>156</v>
      </c>
      <c r="E538" s="20" t="s">
        <v>79</v>
      </c>
      <c r="F538" s="21" t="s">
        <v>80</v>
      </c>
      <c r="G538" s="94" t="s">
        <v>1980</v>
      </c>
      <c r="H538" s="39" t="s">
        <v>215</v>
      </c>
      <c r="I538" s="39" t="s">
        <v>83</v>
      </c>
      <c r="J538" s="21" t="s">
        <v>144</v>
      </c>
      <c r="K538" s="21" t="s">
        <v>145</v>
      </c>
      <c r="L538" s="21" t="s">
        <v>146</v>
      </c>
      <c r="M538" s="21" t="s">
        <v>146</v>
      </c>
      <c r="N538" s="21" t="s">
        <v>157</v>
      </c>
      <c r="O538" s="20" t="s">
        <v>1981</v>
      </c>
      <c r="P538" s="45">
        <v>45819</v>
      </c>
      <c r="Q538" s="39" t="s">
        <v>1982</v>
      </c>
      <c r="R538" s="19">
        <v>634.92999999999995</v>
      </c>
      <c r="S538" s="21">
        <v>0.2</v>
      </c>
      <c r="T538" s="21">
        <v>761.91599999999994</v>
      </c>
      <c r="U538" s="44" t="s">
        <v>429</v>
      </c>
      <c r="V538" s="22">
        <v>45819</v>
      </c>
      <c r="W538" s="54" t="s">
        <v>91</v>
      </c>
      <c r="X538" s="23"/>
      <c r="Y538" s="23" t="s">
        <v>92</v>
      </c>
      <c r="Z538" s="56" t="s">
        <v>446</v>
      </c>
      <c r="AA538" s="24">
        <v>854623</v>
      </c>
      <c r="AB538" s="19"/>
      <c r="AC538" s="19"/>
      <c r="AD538" s="15" t="str">
        <f ca="1">IF(AND($D538&lt;&gt;"",COUNTIF(OFFSET(UFS!$E$2,MATCH($D538&amp;"",UFS!$A$2:$A$175,0)-1,0,COUNTIF(UFS!$A$2:$A$175,$D538&amp;""),1),M538)&gt;0),"Valide","Invalide")</f>
        <v>Valide</v>
      </c>
      <c r="AH538" s="15" t="str">
        <f t="shared" si="8"/>
        <v>En attente</v>
      </c>
    </row>
    <row r="539" spans="1:34" s="15" customFormat="1" ht="45" hidden="1" customHeight="1" x14ac:dyDescent="0.3">
      <c r="A539" s="42">
        <v>540</v>
      </c>
      <c r="B539" s="19" t="s">
        <v>425</v>
      </c>
      <c r="C539" s="19" t="s">
        <v>35</v>
      </c>
      <c r="D539" s="20" t="s">
        <v>106</v>
      </c>
      <c r="E539" s="20" t="s">
        <v>79</v>
      </c>
      <c r="F539" s="21" t="s">
        <v>80</v>
      </c>
      <c r="G539" s="38" t="s">
        <v>1983</v>
      </c>
      <c r="H539" s="39" t="s">
        <v>215</v>
      </c>
      <c r="I539" s="39" t="s">
        <v>83</v>
      </c>
      <c r="J539" s="21" t="s">
        <v>98</v>
      </c>
      <c r="K539" s="21" t="s">
        <v>108</v>
      </c>
      <c r="L539" s="21" t="s">
        <v>100</v>
      </c>
      <c r="M539" s="21" t="s">
        <v>109</v>
      </c>
      <c r="N539" s="21" t="s">
        <v>109</v>
      </c>
      <c r="O539" s="20" t="s">
        <v>1984</v>
      </c>
      <c r="P539" s="45">
        <v>45819</v>
      </c>
      <c r="Q539" s="39" t="s">
        <v>1982</v>
      </c>
      <c r="R539" s="19">
        <v>628</v>
      </c>
      <c r="S539" s="21">
        <v>0.1</v>
      </c>
      <c r="T539" s="21">
        <v>690.8</v>
      </c>
      <c r="U539" s="44" t="s">
        <v>429</v>
      </c>
      <c r="V539" s="22">
        <v>45819</v>
      </c>
      <c r="W539" s="54" t="s">
        <v>91</v>
      </c>
      <c r="X539" s="23"/>
      <c r="Y539" s="23" t="s">
        <v>92</v>
      </c>
      <c r="Z539" s="56" t="s">
        <v>1985</v>
      </c>
      <c r="AA539" s="24">
        <v>854661</v>
      </c>
      <c r="AB539" s="19"/>
      <c r="AC539" s="19"/>
      <c r="AD539" s="15" t="str">
        <f ca="1">IF(AND($D539&lt;&gt;"",COUNTIF(OFFSET(UFS!$E$2,MATCH($D539&amp;"",UFS!$A$2:$A$175,0)-1,0,COUNTIF(UFS!$A$2:$A$175,$D539&amp;""),1),M539)&gt;0),"Valide","Invalide")</f>
        <v>Valide</v>
      </c>
      <c r="AH539" s="15" t="str">
        <f t="shared" si="8"/>
        <v>En attente</v>
      </c>
    </row>
    <row r="540" spans="1:34" s="15" customFormat="1" ht="45" hidden="1" customHeight="1" x14ac:dyDescent="0.3">
      <c r="A540" s="42">
        <v>541</v>
      </c>
      <c r="B540" s="19" t="s">
        <v>425</v>
      </c>
      <c r="C540" s="19" t="s">
        <v>35</v>
      </c>
      <c r="D540" s="20" t="s">
        <v>598</v>
      </c>
      <c r="E540" s="20" t="s">
        <v>79</v>
      </c>
      <c r="F540" s="21" t="s">
        <v>80</v>
      </c>
      <c r="G540" s="91" t="s">
        <v>1983</v>
      </c>
      <c r="H540" s="39" t="s">
        <v>215</v>
      </c>
      <c r="I540" s="39" t="s">
        <v>83</v>
      </c>
      <c r="J540" s="21" t="s">
        <v>183</v>
      </c>
      <c r="K540" s="21" t="s">
        <v>184</v>
      </c>
      <c r="L540" s="21" t="s">
        <v>492</v>
      </c>
      <c r="M540" s="21" t="s">
        <v>186</v>
      </c>
      <c r="N540" s="21" t="s">
        <v>102</v>
      </c>
      <c r="O540" s="20" t="s">
        <v>1986</v>
      </c>
      <c r="P540" s="45">
        <v>45819</v>
      </c>
      <c r="Q540" s="39" t="s">
        <v>1982</v>
      </c>
      <c r="R540" s="19">
        <v>779.11</v>
      </c>
      <c r="S540" s="21">
        <v>0.1</v>
      </c>
      <c r="T540" s="21">
        <v>857.02100000000007</v>
      </c>
      <c r="U540" s="44" t="s">
        <v>429</v>
      </c>
      <c r="V540" s="22">
        <v>45819</v>
      </c>
      <c r="W540" s="54" t="s">
        <v>91</v>
      </c>
      <c r="X540" s="23"/>
      <c r="Y540" s="23" t="s">
        <v>92</v>
      </c>
      <c r="Z540" s="56" t="s">
        <v>446</v>
      </c>
      <c r="AA540" s="24">
        <v>854663</v>
      </c>
      <c r="AB540" s="19"/>
      <c r="AC540" s="19"/>
      <c r="AD540" s="15" t="str">
        <f ca="1">IF(AND($D540&lt;&gt;"",COUNTIF(OFFSET(UFS!$E$2,MATCH($D540&amp;"",UFS!$A$2:$A$175,0)-1,0,COUNTIF(UFS!$A$2:$A$175,$D540&amp;""),1),M540)&gt;0),"Valide","Invalide")</f>
        <v>Valide</v>
      </c>
      <c r="AH540" s="15" t="str">
        <f t="shared" si="8"/>
        <v>En attente</v>
      </c>
    </row>
    <row r="541" spans="1:34" s="15" customFormat="1" ht="45" hidden="1" customHeight="1" x14ac:dyDescent="0.3">
      <c r="A541" s="42">
        <v>542</v>
      </c>
      <c r="B541" s="19" t="s">
        <v>425</v>
      </c>
      <c r="C541" s="19" t="s">
        <v>35</v>
      </c>
      <c r="D541" s="20" t="s">
        <v>1987</v>
      </c>
      <c r="E541" s="20" t="s">
        <v>79</v>
      </c>
      <c r="F541" s="21" t="s">
        <v>80</v>
      </c>
      <c r="G541" s="38" t="s">
        <v>1983</v>
      </c>
      <c r="H541" s="39" t="s">
        <v>215</v>
      </c>
      <c r="I541" s="39" t="s">
        <v>83</v>
      </c>
      <c r="J541" s="21" t="s">
        <v>124</v>
      </c>
      <c r="K541" s="21" t="s">
        <v>235</v>
      </c>
      <c r="L541" s="21" t="s">
        <v>246</v>
      </c>
      <c r="M541" s="21" t="s">
        <v>284</v>
      </c>
      <c r="N541" s="21" t="s">
        <v>87</v>
      </c>
      <c r="O541" s="20" t="s">
        <v>1988</v>
      </c>
      <c r="P541" s="45">
        <v>45819</v>
      </c>
      <c r="Q541" s="39" t="s">
        <v>1982</v>
      </c>
      <c r="R541" s="19">
        <v>721.54</v>
      </c>
      <c r="S541" s="21">
        <v>0.2</v>
      </c>
      <c r="T541" s="21">
        <v>865.84799999999996</v>
      </c>
      <c r="U541" s="44" t="s">
        <v>429</v>
      </c>
      <c r="V541" s="22">
        <v>45819</v>
      </c>
      <c r="W541" s="54" t="s">
        <v>91</v>
      </c>
      <c r="X541" s="23"/>
      <c r="Y541" s="23" t="s">
        <v>92</v>
      </c>
      <c r="Z541" s="56" t="s">
        <v>1989</v>
      </c>
      <c r="AA541" s="24">
        <v>854664</v>
      </c>
      <c r="AB541" s="19"/>
      <c r="AC541" s="19"/>
      <c r="AD541" s="15" t="str">
        <f ca="1">IF(AND($D541&lt;&gt;"",COUNTIF(OFFSET(UFS!$E$2,MATCH($D541&amp;"",UFS!$A$2:$A$175,0)-1,0,COUNTIF(UFS!$A$2:$A$175,$D541&amp;""),1),M541)&gt;0),"Valide","Invalide")</f>
        <v>Valide</v>
      </c>
      <c r="AH541" s="15" t="str">
        <f t="shared" si="8"/>
        <v>En attente</v>
      </c>
    </row>
    <row r="542" spans="1:34" s="15" customFormat="1" ht="45" hidden="1" customHeight="1" x14ac:dyDescent="0.3">
      <c r="A542" s="42">
        <v>543</v>
      </c>
      <c r="B542" s="19" t="s">
        <v>26</v>
      </c>
      <c r="C542" s="19" t="s">
        <v>15</v>
      </c>
      <c r="D542" s="20" t="s">
        <v>1513</v>
      </c>
      <c r="E542" s="20" t="s">
        <v>79</v>
      </c>
      <c r="F542" s="21" t="s">
        <v>80</v>
      </c>
      <c r="G542" s="38" t="s">
        <v>182</v>
      </c>
      <c r="H542" s="39" t="s">
        <v>577</v>
      </c>
      <c r="I542" s="39" t="s">
        <v>83</v>
      </c>
      <c r="J542" s="21" t="s">
        <v>144</v>
      </c>
      <c r="K542" s="21" t="s">
        <v>145</v>
      </c>
      <c r="L542" s="21" t="s">
        <v>499</v>
      </c>
      <c r="M542" s="21" t="s">
        <v>1514</v>
      </c>
      <c r="N542" s="21" t="s">
        <v>529</v>
      </c>
      <c r="O542" s="20" t="s">
        <v>1990</v>
      </c>
      <c r="P542" s="45">
        <v>45813</v>
      </c>
      <c r="Q542" s="39" t="s">
        <v>1991</v>
      </c>
      <c r="R542" s="19">
        <v>1726.94</v>
      </c>
      <c r="S542" s="21">
        <v>0.1</v>
      </c>
      <c r="T542" s="21">
        <v>1899.634</v>
      </c>
      <c r="U542" s="44" t="s">
        <v>1992</v>
      </c>
      <c r="V542" s="22">
        <v>45819</v>
      </c>
      <c r="W542" s="54" t="s">
        <v>91</v>
      </c>
      <c r="X542" s="23"/>
      <c r="Y542" s="23" t="s">
        <v>92</v>
      </c>
      <c r="Z542" s="56" t="s">
        <v>446</v>
      </c>
      <c r="AA542" s="24">
        <v>854652</v>
      </c>
      <c r="AB542" s="19"/>
      <c r="AC542" s="19"/>
      <c r="AD542" s="15" t="str">
        <f ca="1">IF(AND($D542&lt;&gt;"",COUNTIF(OFFSET(UFS!$E$2,MATCH($D542&amp;"",UFS!$A$2:$A$175,0)-1,0,COUNTIF(UFS!$A$2:$A$175,$D542&amp;""),1),M542)&gt;0),"Valide","Invalide")</f>
        <v>Valide</v>
      </c>
      <c r="AH542" s="15" t="str">
        <f t="shared" si="8"/>
        <v>En attente</v>
      </c>
    </row>
    <row r="543" spans="1:34" s="15" customFormat="1" ht="45" hidden="1" customHeight="1" x14ac:dyDescent="0.3">
      <c r="A543" s="42">
        <v>544</v>
      </c>
      <c r="B543" s="19" t="s">
        <v>26</v>
      </c>
      <c r="C543" s="19" t="s">
        <v>30</v>
      </c>
      <c r="D543" s="20" t="s">
        <v>1076</v>
      </c>
      <c r="E543" s="20" t="s">
        <v>96</v>
      </c>
      <c r="F543" s="21" t="s">
        <v>80</v>
      </c>
      <c r="G543" s="38" t="s">
        <v>169</v>
      </c>
      <c r="H543" s="39"/>
      <c r="I543" s="39" t="s">
        <v>1993</v>
      </c>
      <c r="J543" s="21" t="s">
        <v>144</v>
      </c>
      <c r="K543" s="21" t="s">
        <v>145</v>
      </c>
      <c r="L543" s="21" t="s">
        <v>120</v>
      </c>
      <c r="M543" s="21" t="s">
        <v>1077</v>
      </c>
      <c r="N543" s="21" t="s">
        <v>165</v>
      </c>
      <c r="O543" s="20" t="s">
        <v>1994</v>
      </c>
      <c r="P543" s="45">
        <v>45820</v>
      </c>
      <c r="Q543" s="39" t="s">
        <v>1995</v>
      </c>
      <c r="R543" s="19">
        <v>1341.13</v>
      </c>
      <c r="S543" s="21">
        <v>0.2</v>
      </c>
      <c r="T543" s="21">
        <v>1609.3560000000002</v>
      </c>
      <c r="U543" s="44" t="s">
        <v>1996</v>
      </c>
      <c r="V543" s="22">
        <v>45820</v>
      </c>
      <c r="W543" s="54" t="s">
        <v>91</v>
      </c>
      <c r="X543" s="23"/>
      <c r="Y543" s="23" t="s">
        <v>92</v>
      </c>
      <c r="Z543" s="56" t="s">
        <v>446</v>
      </c>
      <c r="AA543" s="24">
        <v>854625</v>
      </c>
      <c r="AB543" s="19"/>
      <c r="AC543" s="46" t="s">
        <v>94</v>
      </c>
      <c r="AD543" s="15" t="str">
        <f ca="1">IF(AND($D543&lt;&gt;"",COUNTIF(OFFSET(UFS!$E$2,MATCH($D543&amp;"",UFS!$A$2:$A$175,0)-1,0,COUNTIF(UFS!$A$2:$A$175,$D543&amp;""),1),M543)&gt;0),"Valide","Invalide")</f>
        <v>Valide</v>
      </c>
      <c r="AH543" s="15" t="str">
        <f t="shared" si="8"/>
        <v>En attente</v>
      </c>
    </row>
    <row r="544" spans="1:34" s="15" customFormat="1" ht="45" hidden="1" customHeight="1" x14ac:dyDescent="0.3">
      <c r="A544" s="42">
        <v>545</v>
      </c>
      <c r="B544" s="19" t="s">
        <v>24</v>
      </c>
      <c r="C544" s="19" t="s">
        <v>35</v>
      </c>
      <c r="D544" s="20" t="s">
        <v>1659</v>
      </c>
      <c r="E544" s="20" t="s">
        <v>79</v>
      </c>
      <c r="F544" s="21" t="s">
        <v>80</v>
      </c>
      <c r="G544" s="38" t="s">
        <v>81</v>
      </c>
      <c r="H544" s="39" t="s">
        <v>215</v>
      </c>
      <c r="I544" s="39" t="s">
        <v>83</v>
      </c>
      <c r="J544" s="21" t="s">
        <v>144</v>
      </c>
      <c r="K544" s="21" t="s">
        <v>145</v>
      </c>
      <c r="L544" s="21" t="s">
        <v>1660</v>
      </c>
      <c r="M544" s="21" t="s">
        <v>1661</v>
      </c>
      <c r="N544" s="21" t="s">
        <v>1662</v>
      </c>
      <c r="O544" s="20" t="s">
        <v>1997</v>
      </c>
      <c r="P544" s="45">
        <v>45820</v>
      </c>
      <c r="Q544" s="39" t="s">
        <v>1998</v>
      </c>
      <c r="R544" s="19">
        <v>1166.76</v>
      </c>
      <c r="S544" s="21">
        <v>0.2</v>
      </c>
      <c r="T544" s="21">
        <v>1400.1120000000001</v>
      </c>
      <c r="U544" s="44" t="s">
        <v>1999</v>
      </c>
      <c r="V544" s="22">
        <v>45820</v>
      </c>
      <c r="W544" s="54" t="s">
        <v>91</v>
      </c>
      <c r="X544" s="23"/>
      <c r="Y544" s="23" t="s">
        <v>92</v>
      </c>
      <c r="Z544" s="56" t="s">
        <v>446</v>
      </c>
      <c r="AA544" s="24">
        <v>854533</v>
      </c>
      <c r="AB544" s="47">
        <v>45828</v>
      </c>
      <c r="AC544" s="46" t="s">
        <v>94</v>
      </c>
      <c r="AD544" s="15" t="str">
        <f ca="1">IF(AND($D544&lt;&gt;"",COUNTIF(OFFSET(UFS!$E$2,MATCH($D544&amp;"",UFS!$A$2:$A$175,0)-1,0,COUNTIF(UFS!$A$2:$A$175,$D544&amp;""),1),M544)&gt;0),"Valide","Invalide")</f>
        <v>Valide</v>
      </c>
      <c r="AH544" s="15" t="str">
        <f t="shared" si="8"/>
        <v>En attente</v>
      </c>
    </row>
    <row r="545" spans="1:34" s="15" customFormat="1" ht="63.6" hidden="1" customHeight="1" x14ac:dyDescent="0.3">
      <c r="A545" s="42">
        <v>546</v>
      </c>
      <c r="B545" s="19" t="s">
        <v>709</v>
      </c>
      <c r="C545" s="19" t="s">
        <v>23</v>
      </c>
      <c r="D545" s="20" t="s">
        <v>152</v>
      </c>
      <c r="E545" s="20" t="s">
        <v>79</v>
      </c>
      <c r="F545" s="21" t="s">
        <v>80</v>
      </c>
      <c r="G545" s="38" t="s">
        <v>241</v>
      </c>
      <c r="H545" s="39" t="s">
        <v>643</v>
      </c>
      <c r="I545" s="39" t="s">
        <v>644</v>
      </c>
      <c r="J545" s="21" t="s">
        <v>84</v>
      </c>
      <c r="K545" s="21" t="s">
        <v>115</v>
      </c>
      <c r="L545" s="21" t="s">
        <v>203</v>
      </c>
      <c r="M545" s="21" t="s">
        <v>711</v>
      </c>
      <c r="N545" s="21" t="s">
        <v>711</v>
      </c>
      <c r="O545" s="20" t="s">
        <v>2000</v>
      </c>
      <c r="P545" s="45">
        <v>45820</v>
      </c>
      <c r="Q545" s="39" t="s">
        <v>2001</v>
      </c>
      <c r="R545" s="19">
        <v>6734.5</v>
      </c>
      <c r="S545" s="21">
        <v>0.1</v>
      </c>
      <c r="T545" s="21">
        <v>7407.95</v>
      </c>
      <c r="U545" s="60" t="s">
        <v>714</v>
      </c>
      <c r="V545" s="22">
        <v>45821</v>
      </c>
      <c r="W545" s="54" t="s">
        <v>91</v>
      </c>
      <c r="X545" s="23"/>
      <c r="Y545" s="23" t="s">
        <v>92</v>
      </c>
      <c r="Z545" s="84" t="s">
        <v>446</v>
      </c>
      <c r="AA545" s="24">
        <v>854534</v>
      </c>
      <c r="AB545" s="19"/>
      <c r="AC545" s="19"/>
      <c r="AD545" s="15" t="str">
        <f ca="1">IF(AND($D545&lt;&gt;"",COUNTIF(OFFSET(UFS!$E$2,MATCH($D545&amp;"",UFS!$A$2:$A$175,0)-1,0,COUNTIF(UFS!$A$2:$A$175,$D545&amp;""),1),M545)&gt;0),"Valide","Invalide")</f>
        <v>Invalide</v>
      </c>
      <c r="AH545" s="15" t="str">
        <f t="shared" si="8"/>
        <v>En attente</v>
      </c>
    </row>
    <row r="546" spans="1:34" s="15" customFormat="1" ht="45" hidden="1" customHeight="1" x14ac:dyDescent="0.3">
      <c r="A546" s="42">
        <v>547</v>
      </c>
      <c r="B546" s="19" t="s">
        <v>709</v>
      </c>
      <c r="C546" s="19" t="s">
        <v>23</v>
      </c>
      <c r="D546" s="20" t="s">
        <v>174</v>
      </c>
      <c r="E546" s="20" t="s">
        <v>79</v>
      </c>
      <c r="F546" s="21" t="s">
        <v>80</v>
      </c>
      <c r="G546" s="38" t="s">
        <v>241</v>
      </c>
      <c r="H546" s="39" t="s">
        <v>643</v>
      </c>
      <c r="I546" s="39" t="s">
        <v>644</v>
      </c>
      <c r="J546" s="21" t="s">
        <v>124</v>
      </c>
      <c r="K546" s="21" t="s">
        <v>2002</v>
      </c>
      <c r="L546" s="21" t="s">
        <v>86</v>
      </c>
      <c r="M546" s="21" t="s">
        <v>136</v>
      </c>
      <c r="N546" s="21" t="s">
        <v>109</v>
      </c>
      <c r="O546" s="20" t="s">
        <v>2003</v>
      </c>
      <c r="P546" s="45">
        <v>45821</v>
      </c>
      <c r="Q546" s="39" t="s">
        <v>2004</v>
      </c>
      <c r="R546" s="19">
        <v>1076.0999999999999</v>
      </c>
      <c r="S546" s="21">
        <v>0.1</v>
      </c>
      <c r="T546" s="21">
        <v>1183.71</v>
      </c>
      <c r="U546" s="60" t="s">
        <v>714</v>
      </c>
      <c r="V546" s="22">
        <v>45811</v>
      </c>
      <c r="W546" s="54" t="s">
        <v>91</v>
      </c>
      <c r="X546" s="23"/>
      <c r="Y546" s="23" t="s">
        <v>92</v>
      </c>
      <c r="Z546" s="84" t="s">
        <v>446</v>
      </c>
      <c r="AA546" s="24">
        <v>854535</v>
      </c>
      <c r="AB546" s="19"/>
      <c r="AC546" s="19"/>
      <c r="AD546" s="15" t="str">
        <f ca="1">IF(AND($D546&lt;&gt;"",COUNTIF(OFFSET(UFS!$E$2,MATCH($D546&amp;"",UFS!$A$2:$A$175,0)-1,0,COUNTIF(UFS!$A$2:$A$175,$D546&amp;""),1),M546)&gt;0),"Valide","Invalide")</f>
        <v>Valide</v>
      </c>
      <c r="AH546" s="15" t="str">
        <f t="shared" si="8"/>
        <v>En attente</v>
      </c>
    </row>
    <row r="547" spans="1:34" s="15" customFormat="1" ht="45" hidden="1" customHeight="1" x14ac:dyDescent="0.3">
      <c r="A547" s="42">
        <v>548</v>
      </c>
      <c r="B547" s="19" t="s">
        <v>26</v>
      </c>
      <c r="C547" s="19" t="s">
        <v>28</v>
      </c>
      <c r="D547" s="20" t="s">
        <v>432</v>
      </c>
      <c r="E547" s="20" t="s">
        <v>79</v>
      </c>
      <c r="F547" s="21" t="s">
        <v>433</v>
      </c>
      <c r="G547" s="38" t="s">
        <v>182</v>
      </c>
      <c r="H547" s="39" t="s">
        <v>82</v>
      </c>
      <c r="I547" s="39" t="s">
        <v>83</v>
      </c>
      <c r="J547" s="21" t="s">
        <v>144</v>
      </c>
      <c r="K547" s="21" t="s">
        <v>145</v>
      </c>
      <c r="L547" s="21" t="s">
        <v>434</v>
      </c>
      <c r="M547" s="21" t="s">
        <v>435</v>
      </c>
      <c r="N547" s="21" t="s">
        <v>436</v>
      </c>
      <c r="O547" s="20" t="s">
        <v>2005</v>
      </c>
      <c r="P547" s="45">
        <v>45811</v>
      </c>
      <c r="Q547" s="39" t="s">
        <v>2006</v>
      </c>
      <c r="R547" s="19">
        <v>2944.94</v>
      </c>
      <c r="S547" s="21">
        <v>0.1</v>
      </c>
      <c r="T547" s="21">
        <v>3239.4340000000002</v>
      </c>
      <c r="U547" s="60" t="s">
        <v>1886</v>
      </c>
      <c r="V547" s="22">
        <v>45821</v>
      </c>
      <c r="W547" s="54" t="s">
        <v>91</v>
      </c>
      <c r="X547" s="23"/>
      <c r="Y547" s="23" t="s">
        <v>92</v>
      </c>
      <c r="Z547" s="141" t="s">
        <v>928</v>
      </c>
      <c r="AA547" s="24">
        <v>854536</v>
      </c>
      <c r="AB547" s="19"/>
      <c r="AC547" s="19"/>
      <c r="AD547" s="15" t="str">
        <f ca="1">IF(AND($D547&lt;&gt;"",COUNTIF(OFFSET(UFS!$E$2,MATCH($D547&amp;"",UFS!$A$2:$A$175,0)-1,0,COUNTIF(UFS!$A$2:$A$175,$D547&amp;""),1),M547)&gt;0),"Valide","Invalide")</f>
        <v>Valide</v>
      </c>
      <c r="AH547" s="15" t="str">
        <f t="shared" si="8"/>
        <v>En attente</v>
      </c>
    </row>
    <row r="548" spans="1:34" s="15" customFormat="1" ht="78.599999999999994" hidden="1" customHeight="1" x14ac:dyDescent="0.3">
      <c r="A548" s="42">
        <v>549</v>
      </c>
      <c r="B548" s="19" t="s">
        <v>24</v>
      </c>
      <c r="C548" s="19" t="s">
        <v>35</v>
      </c>
      <c r="D548" s="20" t="s">
        <v>134</v>
      </c>
      <c r="E548" s="20" t="s">
        <v>79</v>
      </c>
      <c r="F548" s="21" t="s">
        <v>80</v>
      </c>
      <c r="G548" s="38" t="s">
        <v>81</v>
      </c>
      <c r="H548" s="39" t="s">
        <v>426</v>
      </c>
      <c r="I548" s="39" t="s">
        <v>83</v>
      </c>
      <c r="J548" s="21" t="s">
        <v>124</v>
      </c>
      <c r="K548" s="21" t="s">
        <v>125</v>
      </c>
      <c r="L548" s="21" t="s">
        <v>135</v>
      </c>
      <c r="M548" s="21" t="s">
        <v>136</v>
      </c>
      <c r="N548" s="21" t="s">
        <v>102</v>
      </c>
      <c r="O548" s="20" t="s">
        <v>2007</v>
      </c>
      <c r="P548" s="45">
        <v>45821</v>
      </c>
      <c r="Q548" s="39" t="s">
        <v>2008</v>
      </c>
      <c r="R548" s="53">
        <v>1090.47</v>
      </c>
      <c r="S548" s="21">
        <v>0.1</v>
      </c>
      <c r="T548" s="21">
        <v>1199.5170000000001</v>
      </c>
      <c r="U548" s="44" t="s">
        <v>2009</v>
      </c>
      <c r="V548" s="22">
        <v>45821</v>
      </c>
      <c r="W548" s="54" t="s">
        <v>91</v>
      </c>
      <c r="X548" s="23"/>
      <c r="Y548" s="23" t="s">
        <v>92</v>
      </c>
      <c r="Z548" s="141" t="s">
        <v>446</v>
      </c>
      <c r="AA548" s="24">
        <v>854627</v>
      </c>
      <c r="AB548" s="47">
        <v>45833</v>
      </c>
      <c r="AC548" s="46" t="s">
        <v>94</v>
      </c>
      <c r="AD548" s="15" t="str">
        <f ca="1">IF(AND($D548&lt;&gt;"",COUNTIF(OFFSET(UFS!$E$2,MATCH($D548&amp;"",UFS!$A$2:$A$175,0)-1,0,COUNTIF(UFS!$A$2:$A$175,$D548&amp;""),1),M548)&gt;0),"Valide","Invalide")</f>
        <v>Valide</v>
      </c>
      <c r="AH548" s="15" t="str">
        <f t="shared" si="8"/>
        <v>En attente</v>
      </c>
    </row>
    <row r="549" spans="1:34" s="15" customFormat="1" ht="45" hidden="1" customHeight="1" x14ac:dyDescent="0.3">
      <c r="A549" s="42">
        <v>550</v>
      </c>
      <c r="B549" s="19" t="s">
        <v>24</v>
      </c>
      <c r="C549" s="19" t="s">
        <v>28</v>
      </c>
      <c r="D549" s="20" t="s">
        <v>1659</v>
      </c>
      <c r="E549" s="20" t="s">
        <v>79</v>
      </c>
      <c r="F549" s="21" t="s">
        <v>80</v>
      </c>
      <c r="G549" s="38" t="s">
        <v>81</v>
      </c>
      <c r="H549" s="39" t="s">
        <v>82</v>
      </c>
      <c r="I549" s="39" t="s">
        <v>83</v>
      </c>
      <c r="J549" s="21" t="s">
        <v>144</v>
      </c>
      <c r="K549" s="21" t="s">
        <v>145</v>
      </c>
      <c r="L549" s="21" t="s">
        <v>1660</v>
      </c>
      <c r="M549" s="21" t="s">
        <v>1661</v>
      </c>
      <c r="N549" s="21" t="s">
        <v>1662</v>
      </c>
      <c r="O549" s="20" t="s">
        <v>2010</v>
      </c>
      <c r="P549" s="45">
        <v>45821</v>
      </c>
      <c r="Q549" s="39" t="s">
        <v>2011</v>
      </c>
      <c r="R549" s="19">
        <v>2711.55</v>
      </c>
      <c r="S549" s="21">
        <v>0.2</v>
      </c>
      <c r="T549" s="21">
        <v>2711.55</v>
      </c>
      <c r="U549" s="44" t="s">
        <v>2012</v>
      </c>
      <c r="V549" s="22">
        <v>45821</v>
      </c>
      <c r="W549" s="54" t="s">
        <v>91</v>
      </c>
      <c r="X549" s="23"/>
      <c r="Y549" s="23" t="s">
        <v>92</v>
      </c>
      <c r="Z549" s="56" t="s">
        <v>446</v>
      </c>
      <c r="AA549" s="24">
        <v>854628</v>
      </c>
      <c r="AB549" s="19"/>
      <c r="AC549" s="46" t="s">
        <v>94</v>
      </c>
      <c r="AD549" s="15" t="str">
        <f ca="1">IF(AND($D549&lt;&gt;"",COUNTIF(OFFSET(UFS!$E$2,MATCH($D549&amp;"",UFS!$A$2:$A$175,0)-1,0,COUNTIF(UFS!$A$2:$A$175,$D549&amp;""),1),M549)&gt;0),"Valide","Invalide")</f>
        <v>Valide</v>
      </c>
      <c r="AH549" s="15" t="str">
        <f t="shared" si="8"/>
        <v>En attente</v>
      </c>
    </row>
    <row r="550" spans="1:34" s="15" customFormat="1" ht="45" hidden="1" customHeight="1" x14ac:dyDescent="0.3">
      <c r="A550" s="42">
        <v>551</v>
      </c>
      <c r="B550" s="19" t="s">
        <v>24</v>
      </c>
      <c r="C550" s="19" t="s">
        <v>28</v>
      </c>
      <c r="D550" s="20" t="s">
        <v>123</v>
      </c>
      <c r="E550" s="20" t="s">
        <v>79</v>
      </c>
      <c r="F550" s="21" t="s">
        <v>80</v>
      </c>
      <c r="G550" s="38" t="s">
        <v>182</v>
      </c>
      <c r="H550" s="39" t="s">
        <v>82</v>
      </c>
      <c r="I550" s="39" t="s">
        <v>83</v>
      </c>
      <c r="J550" s="21" t="s">
        <v>124</v>
      </c>
      <c r="K550" s="21" t="s">
        <v>125</v>
      </c>
      <c r="L550" s="21" t="s">
        <v>126</v>
      </c>
      <c r="M550" s="21" t="s">
        <v>109</v>
      </c>
      <c r="N550" s="21" t="s">
        <v>109</v>
      </c>
      <c r="O550" s="87" t="s">
        <v>2013</v>
      </c>
      <c r="P550" s="45">
        <v>45821</v>
      </c>
      <c r="Q550" s="39" t="s">
        <v>2014</v>
      </c>
      <c r="R550" s="19">
        <v>1458.72</v>
      </c>
      <c r="S550" s="21">
        <v>0.1</v>
      </c>
      <c r="T550" s="21">
        <v>1604.5920000000001</v>
      </c>
      <c r="U550" s="44" t="s">
        <v>2015</v>
      </c>
      <c r="V550" s="22">
        <v>45821</v>
      </c>
      <c r="W550" s="54" t="s">
        <v>91</v>
      </c>
      <c r="X550" s="23"/>
      <c r="Y550" s="23" t="s">
        <v>92</v>
      </c>
      <c r="Z550" s="56" t="s">
        <v>446</v>
      </c>
      <c r="AA550" s="24">
        <v>854653</v>
      </c>
      <c r="AB550" s="19"/>
      <c r="AC550" s="46" t="s">
        <v>94</v>
      </c>
      <c r="AD550" s="15" t="str">
        <f ca="1">IF(AND($D550&lt;&gt;"",COUNTIF(OFFSET(UFS!$E$2,MATCH($D550&amp;"",UFS!$A$2:$A$175,0)-1,0,COUNTIF(UFS!$A$2:$A$175,$D550&amp;""),1),M550)&gt;0),"Valide","Invalide")</f>
        <v>Valide</v>
      </c>
      <c r="AH550" s="15" t="str">
        <f t="shared" si="8"/>
        <v>En attente</v>
      </c>
    </row>
    <row r="551" spans="1:34" s="15" customFormat="1" ht="45" customHeight="1" x14ac:dyDescent="0.3">
      <c r="A551" s="42">
        <v>552</v>
      </c>
      <c r="B551" s="19" t="s">
        <v>24</v>
      </c>
      <c r="C551" s="19" t="s">
        <v>28</v>
      </c>
      <c r="D551" s="20" t="s">
        <v>460</v>
      </c>
      <c r="E551" s="20" t="s">
        <v>79</v>
      </c>
      <c r="F551" s="21" t="s">
        <v>80</v>
      </c>
      <c r="G551" s="38" t="s">
        <v>182</v>
      </c>
      <c r="H551" s="39" t="s">
        <v>82</v>
      </c>
      <c r="I551" s="39" t="s">
        <v>83</v>
      </c>
      <c r="J551" s="21" t="s">
        <v>461</v>
      </c>
      <c r="K551" s="21" t="s">
        <v>145</v>
      </c>
      <c r="L551" s="21" t="s">
        <v>120</v>
      </c>
      <c r="M551" s="21" t="s">
        <v>343</v>
      </c>
      <c r="N551" s="21" t="s">
        <v>87</v>
      </c>
      <c r="O551" s="20" t="s">
        <v>2016</v>
      </c>
      <c r="P551" s="45">
        <v>45821</v>
      </c>
      <c r="Q551" s="39" t="s">
        <v>2017</v>
      </c>
      <c r="R551" s="19">
        <v>1705.83</v>
      </c>
      <c r="S551" s="21">
        <v>0.2</v>
      </c>
      <c r="T551" s="21">
        <v>2046.9959999999999</v>
      </c>
      <c r="U551" s="44" t="s">
        <v>2018</v>
      </c>
      <c r="V551" s="22">
        <v>45821</v>
      </c>
      <c r="W551" s="54" t="s">
        <v>91</v>
      </c>
      <c r="X551" s="23"/>
      <c r="Y551" s="23" t="s">
        <v>92</v>
      </c>
      <c r="Z551" s="56" t="s">
        <v>446</v>
      </c>
      <c r="AA551" s="24">
        <v>854654</v>
      </c>
      <c r="AB551" s="19"/>
      <c r="AC551" s="49" t="s">
        <v>161</v>
      </c>
      <c r="AD551" s="15" t="str">
        <f ca="1">IF(AND($D551&lt;&gt;"",COUNTIF(OFFSET(UFS!$E$2,MATCH($D551&amp;"",UFS!$A$2:$A$175,0)-1,0,COUNTIF(UFS!$A$2:$A$175,$D551&amp;""),1),M551)&gt;0),"Valide","Invalide")</f>
        <v>Valide</v>
      </c>
      <c r="AH551" s="15" t="str">
        <f t="shared" si="8"/>
        <v>En attente</v>
      </c>
    </row>
    <row r="552" spans="1:34" s="15" customFormat="1" ht="45" hidden="1" customHeight="1" x14ac:dyDescent="0.3">
      <c r="A552" s="42">
        <v>553</v>
      </c>
      <c r="B552" s="19" t="s">
        <v>24</v>
      </c>
      <c r="C552" s="19" t="s">
        <v>5</v>
      </c>
      <c r="D552" s="20" t="s">
        <v>123</v>
      </c>
      <c r="E552" s="20" t="s">
        <v>96</v>
      </c>
      <c r="F552" s="21" t="s">
        <v>80</v>
      </c>
      <c r="G552" s="38" t="s">
        <v>288</v>
      </c>
      <c r="H552" s="39"/>
      <c r="I552" s="39"/>
      <c r="J552" s="21" t="s">
        <v>124</v>
      </c>
      <c r="K552" s="21" t="s">
        <v>125</v>
      </c>
      <c r="L552" s="21" t="s">
        <v>126</v>
      </c>
      <c r="M552" s="21" t="s">
        <v>109</v>
      </c>
      <c r="N552" s="21" t="s">
        <v>109</v>
      </c>
      <c r="O552" s="124" t="s">
        <v>2019</v>
      </c>
      <c r="P552" s="45">
        <v>45821</v>
      </c>
      <c r="Q552" s="39" t="s">
        <v>2020</v>
      </c>
      <c r="R552" s="19">
        <v>1805.57</v>
      </c>
      <c r="S552" s="21">
        <v>0.1</v>
      </c>
      <c r="T552" s="21">
        <v>1986.127</v>
      </c>
      <c r="U552" s="60" t="s">
        <v>1789</v>
      </c>
      <c r="V552" s="22">
        <v>45821</v>
      </c>
      <c r="W552" s="54" t="s">
        <v>91</v>
      </c>
      <c r="X552" s="23"/>
      <c r="Y552" s="23" t="s">
        <v>92</v>
      </c>
      <c r="Z552" s="56" t="s">
        <v>446</v>
      </c>
      <c r="AA552" s="24">
        <v>854658</v>
      </c>
      <c r="AB552" s="19"/>
      <c r="AC552" s="46" t="s">
        <v>94</v>
      </c>
      <c r="AD552" s="15" t="str">
        <f ca="1">IF(AND($D552&lt;&gt;"",COUNTIF(OFFSET(UFS!$E$2,MATCH($D552&amp;"",UFS!$A$2:$A$175,0)-1,0,COUNTIF(UFS!$A$2:$A$175,$D552&amp;""),1),M552)&gt;0),"Valide","Invalide")</f>
        <v>Valide</v>
      </c>
      <c r="AH552" s="15" t="str">
        <f t="shared" si="8"/>
        <v>En attente</v>
      </c>
    </row>
    <row r="553" spans="1:34" s="15" customFormat="1" ht="45" hidden="1" customHeight="1" x14ac:dyDescent="0.3">
      <c r="A553" s="42">
        <v>554</v>
      </c>
      <c r="B553" s="19" t="s">
        <v>24</v>
      </c>
      <c r="C553" s="19" t="s">
        <v>25</v>
      </c>
      <c r="D553" s="20" t="s">
        <v>819</v>
      </c>
      <c r="E553" s="20" t="s">
        <v>79</v>
      </c>
      <c r="F553" s="21" t="s">
        <v>80</v>
      </c>
      <c r="G553" s="38" t="s">
        <v>81</v>
      </c>
      <c r="H553" s="39" t="s">
        <v>82</v>
      </c>
      <c r="I553" s="39" t="s">
        <v>83</v>
      </c>
      <c r="J553" s="21" t="s">
        <v>361</v>
      </c>
      <c r="K553" s="21" t="s">
        <v>820</v>
      </c>
      <c r="L553" s="21" t="s">
        <v>246</v>
      </c>
      <c r="M553" s="21" t="s">
        <v>821</v>
      </c>
      <c r="N553" s="21" t="s">
        <v>151</v>
      </c>
      <c r="O553" s="85" t="s">
        <v>2021</v>
      </c>
      <c r="P553" s="45">
        <v>45807</v>
      </c>
      <c r="Q553" s="39" t="s">
        <v>2022</v>
      </c>
      <c r="R553" s="19">
        <v>2674.19</v>
      </c>
      <c r="S553" s="21">
        <v>0.2</v>
      </c>
      <c r="T553" s="21">
        <v>3209.0280000000002</v>
      </c>
      <c r="U553" s="60" t="s">
        <v>2023</v>
      </c>
      <c r="V553" s="22">
        <v>45824</v>
      </c>
      <c r="W553" s="54" t="s">
        <v>91</v>
      </c>
      <c r="X553" s="23"/>
      <c r="Y553" s="23" t="s">
        <v>92</v>
      </c>
      <c r="Z553" s="56" t="s">
        <v>446</v>
      </c>
      <c r="AA553" s="24">
        <v>854759</v>
      </c>
      <c r="AB553" s="19"/>
      <c r="AC553" s="46" t="s">
        <v>94</v>
      </c>
      <c r="AD553" s="15" t="str">
        <f ca="1">IF(AND($D553&lt;&gt;"",COUNTIF(OFFSET(UFS!$E$2,MATCH($D553&amp;"",UFS!$A$2:$A$175,0)-1,0,COUNTIF(UFS!$A$2:$A$175,$D553&amp;""),1),M553)&gt;0),"Valide","Invalide")</f>
        <v>Valide</v>
      </c>
      <c r="AH553" s="15" t="str">
        <f t="shared" si="8"/>
        <v>En attente</v>
      </c>
    </row>
    <row r="554" spans="1:34" s="15" customFormat="1" ht="68.849999999999994" hidden="1" customHeight="1" x14ac:dyDescent="0.3">
      <c r="A554" s="42">
        <v>555</v>
      </c>
      <c r="B554" s="19" t="s">
        <v>26</v>
      </c>
      <c r="C554" s="19" t="s">
        <v>35</v>
      </c>
      <c r="D554" s="20" t="s">
        <v>1035</v>
      </c>
      <c r="E554" s="20" t="s">
        <v>79</v>
      </c>
      <c r="F554" s="21" t="s">
        <v>80</v>
      </c>
      <c r="G554" s="38" t="s">
        <v>81</v>
      </c>
      <c r="H554" s="39" t="s">
        <v>215</v>
      </c>
      <c r="I554" s="39" t="s">
        <v>83</v>
      </c>
      <c r="J554" s="21" t="s">
        <v>183</v>
      </c>
      <c r="K554" s="21" t="s">
        <v>544</v>
      </c>
      <c r="L554" s="21" t="s">
        <v>342</v>
      </c>
      <c r="M554" s="21" t="s">
        <v>544</v>
      </c>
      <c r="N554" s="21" t="s">
        <v>271</v>
      </c>
      <c r="O554" s="20" t="s">
        <v>2024</v>
      </c>
      <c r="P554" s="45">
        <v>45821</v>
      </c>
      <c r="Q554" s="39" t="s">
        <v>2025</v>
      </c>
      <c r="R554" s="19">
        <v>794.43</v>
      </c>
      <c r="S554" s="21">
        <v>0.2</v>
      </c>
      <c r="T554" s="21">
        <v>953.31599999999992</v>
      </c>
      <c r="U554" s="44" t="s">
        <v>2026</v>
      </c>
      <c r="V554" s="22">
        <v>45824</v>
      </c>
      <c r="W554" s="54" t="s">
        <v>91</v>
      </c>
      <c r="X554" s="23"/>
      <c r="Y554" s="23" t="s">
        <v>92</v>
      </c>
      <c r="Z554" s="56" t="s">
        <v>446</v>
      </c>
      <c r="AA554" s="24">
        <v>854760</v>
      </c>
      <c r="AB554" s="19"/>
      <c r="AC554" s="46" t="s">
        <v>94</v>
      </c>
      <c r="AD554" s="15" t="str">
        <f ca="1">IF(AND($D554&lt;&gt;"",COUNTIF(OFFSET(UFS!$E$2,MATCH($D554&amp;"",UFS!$A$2:$A$175,0)-1,0,COUNTIF(UFS!$A$2:$A$175,$D554&amp;""),1),M554)&gt;0),"Valide","Invalide")</f>
        <v>Valide</v>
      </c>
      <c r="AH554" s="15" t="str">
        <f t="shared" si="8"/>
        <v>En attente</v>
      </c>
    </row>
    <row r="555" spans="1:34" s="15" customFormat="1" ht="45" hidden="1" customHeight="1" x14ac:dyDescent="0.3">
      <c r="A555" s="42">
        <v>556</v>
      </c>
      <c r="B555" s="19" t="s">
        <v>709</v>
      </c>
      <c r="C555" s="19" t="s">
        <v>23</v>
      </c>
      <c r="D555" s="20" t="s">
        <v>233</v>
      </c>
      <c r="E555" s="20" t="s">
        <v>79</v>
      </c>
      <c r="F555" s="21" t="s">
        <v>80</v>
      </c>
      <c r="G555" s="38" t="s">
        <v>241</v>
      </c>
      <c r="H555" s="39" t="s">
        <v>643</v>
      </c>
      <c r="I555" s="39" t="s">
        <v>644</v>
      </c>
      <c r="J555" s="21" t="s">
        <v>124</v>
      </c>
      <c r="K555" s="21" t="s">
        <v>235</v>
      </c>
      <c r="L555" s="21" t="s">
        <v>203</v>
      </c>
      <c r="M555" s="21" t="s">
        <v>1345</v>
      </c>
      <c r="N555" s="21" t="s">
        <v>711</v>
      </c>
      <c r="O555" s="20" t="s">
        <v>2027</v>
      </c>
      <c r="P555" s="45">
        <v>45362</v>
      </c>
      <c r="Q555" s="39" t="s">
        <v>2028</v>
      </c>
      <c r="R555" s="19">
        <v>7526.3</v>
      </c>
      <c r="S555" s="21">
        <v>0.1</v>
      </c>
      <c r="T555" s="21">
        <v>8278.93</v>
      </c>
      <c r="U555" s="60" t="s">
        <v>714</v>
      </c>
      <c r="V555" s="22">
        <v>45825</v>
      </c>
      <c r="W555" s="54" t="s">
        <v>91</v>
      </c>
      <c r="X555" s="23"/>
      <c r="Y555" s="23" t="s">
        <v>92</v>
      </c>
      <c r="Z555" s="56" t="s">
        <v>2029</v>
      </c>
      <c r="AA555" s="24">
        <v>855300</v>
      </c>
      <c r="AB555" s="19"/>
      <c r="AC555" s="19"/>
      <c r="AD555" s="15" t="str">
        <f ca="1">IF(AND($D555&lt;&gt;"",COUNTIF(OFFSET(UFS!$E$2,MATCH($D555&amp;"",UFS!$A$2:$A$175,0)-1,0,COUNTIF(UFS!$A$2:$A$175,$D555&amp;""),1),M555)&gt;0),"Valide","Invalide")</f>
        <v>Invalide</v>
      </c>
      <c r="AH555" s="15" t="str">
        <f t="shared" si="8"/>
        <v>En attente</v>
      </c>
    </row>
    <row r="556" spans="1:34" s="15" customFormat="1" ht="45" hidden="1" customHeight="1" x14ac:dyDescent="0.3">
      <c r="A556" s="42">
        <v>557</v>
      </c>
      <c r="B556" s="19" t="s">
        <v>709</v>
      </c>
      <c r="C556" s="19" t="s">
        <v>769</v>
      </c>
      <c r="D556" s="20" t="s">
        <v>130</v>
      </c>
      <c r="E556" s="20" t="s">
        <v>79</v>
      </c>
      <c r="F556" s="21" t="s">
        <v>80</v>
      </c>
      <c r="G556" s="38" t="s">
        <v>241</v>
      </c>
      <c r="H556" s="39" t="s">
        <v>643</v>
      </c>
      <c r="I556" s="39" t="s">
        <v>644</v>
      </c>
      <c r="J556" s="21" t="s">
        <v>124</v>
      </c>
      <c r="K556" s="126" t="s">
        <v>125</v>
      </c>
      <c r="L556" s="21" t="s">
        <v>2030</v>
      </c>
      <c r="M556" s="21" t="s">
        <v>131</v>
      </c>
      <c r="N556" s="21" t="s">
        <v>711</v>
      </c>
      <c r="O556" s="20" t="s">
        <v>2031</v>
      </c>
      <c r="P556" s="45">
        <v>45819</v>
      </c>
      <c r="Q556" s="39" t="s">
        <v>2032</v>
      </c>
      <c r="R556" s="19">
        <v>5239.01</v>
      </c>
      <c r="S556" s="21">
        <v>0.2</v>
      </c>
      <c r="T556" s="21">
        <v>6286.81</v>
      </c>
      <c r="U556" s="60" t="s">
        <v>714</v>
      </c>
      <c r="V556" s="22">
        <v>45825</v>
      </c>
      <c r="W556" s="54" t="s">
        <v>91</v>
      </c>
      <c r="X556" s="23"/>
      <c r="Y556" s="23" t="s">
        <v>92</v>
      </c>
      <c r="Z556" s="56" t="s">
        <v>2029</v>
      </c>
      <c r="AA556" s="24">
        <v>855316</v>
      </c>
      <c r="AB556" s="19"/>
      <c r="AC556" s="19"/>
      <c r="AD556" s="15" t="str">
        <f ca="1">IF(AND($D556&lt;&gt;"",COUNTIF(OFFSET(UFS!$E$2,MATCH($D556&amp;"",UFS!$A$2:$A$175,0)-1,0,COUNTIF(UFS!$A$2:$A$175,$D556&amp;""),1),M556)&gt;0),"Valide","Invalide")</f>
        <v>Valide</v>
      </c>
      <c r="AH556" s="15" t="str">
        <f t="shared" si="8"/>
        <v>En attente</v>
      </c>
    </row>
    <row r="557" spans="1:34" s="15" customFormat="1" ht="45" hidden="1" customHeight="1" x14ac:dyDescent="0.3">
      <c r="A557" s="42">
        <v>558</v>
      </c>
      <c r="B557" s="19" t="s">
        <v>26</v>
      </c>
      <c r="C557" s="19" t="s">
        <v>11</v>
      </c>
      <c r="D557" s="20" t="s">
        <v>2033</v>
      </c>
      <c r="E557" s="20" t="s">
        <v>96</v>
      </c>
      <c r="F557" s="21" t="s">
        <v>80</v>
      </c>
      <c r="G557" s="38" t="s">
        <v>294</v>
      </c>
      <c r="H557" s="39"/>
      <c r="I557" s="39" t="s">
        <v>2034</v>
      </c>
      <c r="J557" s="21" t="s">
        <v>144</v>
      </c>
      <c r="K557" s="21" t="s">
        <v>145</v>
      </c>
      <c r="L557" s="21" t="s">
        <v>254</v>
      </c>
      <c r="M557" s="21" t="s">
        <v>255</v>
      </c>
      <c r="N557" s="21" t="s">
        <v>2035</v>
      </c>
      <c r="O557" s="20" t="s">
        <v>2036</v>
      </c>
      <c r="P557" s="45">
        <v>45811</v>
      </c>
      <c r="Q557" s="39" t="s">
        <v>2037</v>
      </c>
      <c r="R557" s="19">
        <v>5846.67</v>
      </c>
      <c r="S557" s="21">
        <v>0.2</v>
      </c>
      <c r="T557" s="21">
        <v>7016.0039999999999</v>
      </c>
      <c r="U557" s="60" t="s">
        <v>2038</v>
      </c>
      <c r="V557" s="22">
        <v>45826</v>
      </c>
      <c r="W557" s="54" t="s">
        <v>91</v>
      </c>
      <c r="X557" s="23"/>
      <c r="Y557" s="23" t="s">
        <v>92</v>
      </c>
      <c r="Z557" s="56" t="s">
        <v>446</v>
      </c>
      <c r="AA557" s="24">
        <v>855295</v>
      </c>
      <c r="AB557" s="19"/>
      <c r="AC557" s="46" t="s">
        <v>94</v>
      </c>
      <c r="AD557" s="15" t="str">
        <f ca="1">IF(AND($D557&lt;&gt;"",COUNTIF(OFFSET(UFS!$E$2,MATCH($D557&amp;"",UFS!$A$2:$A$175,0)-1,0,COUNTIF(UFS!$A$2:$A$175,$D557&amp;""),1),M557)&gt;0),"Valide","Invalide")</f>
        <v>Valide</v>
      </c>
      <c r="AH557" s="15" t="str">
        <f t="shared" si="8"/>
        <v>En attente</v>
      </c>
    </row>
    <row r="558" spans="1:34" s="15" customFormat="1" ht="45" hidden="1" customHeight="1" x14ac:dyDescent="0.3">
      <c r="A558" s="42">
        <v>559</v>
      </c>
      <c r="B558" s="19" t="s">
        <v>26</v>
      </c>
      <c r="C558" s="19" t="s">
        <v>5</v>
      </c>
      <c r="D558" s="20" t="s">
        <v>2033</v>
      </c>
      <c r="E558" s="20" t="s">
        <v>96</v>
      </c>
      <c r="F558" s="21" t="s">
        <v>80</v>
      </c>
      <c r="G558" s="38" t="s">
        <v>294</v>
      </c>
      <c r="H558" s="39"/>
      <c r="I558" s="39" t="s">
        <v>2034</v>
      </c>
      <c r="J558" s="21" t="s">
        <v>144</v>
      </c>
      <c r="K558" s="21" t="s">
        <v>145</v>
      </c>
      <c r="L558" s="21" t="s">
        <v>254</v>
      </c>
      <c r="M558" s="21" t="s">
        <v>255</v>
      </c>
      <c r="N558" s="21" t="s">
        <v>2035</v>
      </c>
      <c r="O558" s="20" t="s">
        <v>2039</v>
      </c>
      <c r="P558" s="45">
        <v>45814</v>
      </c>
      <c r="Q558" s="39" t="s">
        <v>2040</v>
      </c>
      <c r="R558" s="19">
        <v>22009.91</v>
      </c>
      <c r="S558" s="21">
        <v>0.2</v>
      </c>
      <c r="T558" s="21">
        <v>26411.892</v>
      </c>
      <c r="U558" s="60" t="s">
        <v>2038</v>
      </c>
      <c r="V558" s="22">
        <v>45826</v>
      </c>
      <c r="W558" s="54" t="s">
        <v>91</v>
      </c>
      <c r="X558" s="23"/>
      <c r="Y558" s="23" t="s">
        <v>92</v>
      </c>
      <c r="Z558" s="56" t="s">
        <v>446</v>
      </c>
      <c r="AA558" s="24">
        <v>855286</v>
      </c>
      <c r="AB558" s="19"/>
      <c r="AC558" s="46" t="s">
        <v>94</v>
      </c>
      <c r="AD558" s="15" t="str">
        <f ca="1">IF(AND($D558&lt;&gt;"",COUNTIF(OFFSET(UFS!$E$2,MATCH($D558&amp;"",UFS!$A$2:$A$175,0)-1,0,COUNTIF(UFS!$A$2:$A$175,$D558&amp;""),1),M558)&gt;0),"Valide","Invalide")</f>
        <v>Valide</v>
      </c>
      <c r="AH558" s="15" t="str">
        <f t="shared" si="8"/>
        <v>En attente</v>
      </c>
    </row>
    <row r="559" spans="1:34" s="15" customFormat="1" ht="45" hidden="1" customHeight="1" x14ac:dyDescent="0.3">
      <c r="A559" s="42">
        <v>560</v>
      </c>
      <c r="B559" s="19" t="s">
        <v>26</v>
      </c>
      <c r="C559" s="19" t="s">
        <v>35</v>
      </c>
      <c r="D559" s="20" t="s">
        <v>2033</v>
      </c>
      <c r="E559" s="20" t="s">
        <v>96</v>
      </c>
      <c r="F559" s="21" t="s">
        <v>80</v>
      </c>
      <c r="G559" s="38" t="s">
        <v>294</v>
      </c>
      <c r="H559" s="39"/>
      <c r="I559" s="39" t="s">
        <v>2034</v>
      </c>
      <c r="J559" s="21" t="s">
        <v>144</v>
      </c>
      <c r="K559" s="21" t="s">
        <v>145</v>
      </c>
      <c r="L559" s="21" t="s">
        <v>254</v>
      </c>
      <c r="M559" s="21" t="s">
        <v>255</v>
      </c>
      <c r="N559" s="21" t="s">
        <v>2035</v>
      </c>
      <c r="O559" s="20" t="s">
        <v>2041</v>
      </c>
      <c r="P559" s="45">
        <v>45819</v>
      </c>
      <c r="Q559" s="39" t="s">
        <v>2042</v>
      </c>
      <c r="R559" s="19">
        <v>4805.46</v>
      </c>
      <c r="S559" s="21">
        <v>0.2</v>
      </c>
      <c r="T559" s="21">
        <v>5766.5519999999997</v>
      </c>
      <c r="U559" s="60" t="s">
        <v>2038</v>
      </c>
      <c r="V559" s="22">
        <v>45826</v>
      </c>
      <c r="W559" s="54" t="s">
        <v>91</v>
      </c>
      <c r="X559" s="23"/>
      <c r="Y559" s="23" t="s">
        <v>92</v>
      </c>
      <c r="Z559" s="56" t="s">
        <v>446</v>
      </c>
      <c r="AA559" s="24">
        <v>855331</v>
      </c>
      <c r="AB559" s="19"/>
      <c r="AC559" s="46" t="s">
        <v>94</v>
      </c>
      <c r="AD559" s="15" t="str">
        <f ca="1">IF(AND($D559&lt;&gt;"",COUNTIF(OFFSET(UFS!$E$2,MATCH($D559&amp;"",UFS!$A$2:$A$175,0)-1,0,COUNTIF(UFS!$A$2:$A$175,$D559&amp;""),1),M559)&gt;0),"Valide","Invalide")</f>
        <v>Valide</v>
      </c>
      <c r="AH559" s="15" t="str">
        <f t="shared" si="8"/>
        <v>En attente</v>
      </c>
    </row>
    <row r="560" spans="1:34" s="15" customFormat="1" ht="45" hidden="1" customHeight="1" x14ac:dyDescent="0.3">
      <c r="A560" s="42">
        <v>561</v>
      </c>
      <c r="B560" s="19" t="s">
        <v>26</v>
      </c>
      <c r="C560" s="19" t="s">
        <v>28</v>
      </c>
      <c r="D560" s="20" t="s">
        <v>2033</v>
      </c>
      <c r="E560" s="20" t="s">
        <v>96</v>
      </c>
      <c r="F560" s="21" t="s">
        <v>80</v>
      </c>
      <c r="G560" s="38" t="s">
        <v>294</v>
      </c>
      <c r="H560" s="39"/>
      <c r="I560" s="39" t="s">
        <v>2034</v>
      </c>
      <c r="J560" s="21" t="s">
        <v>144</v>
      </c>
      <c r="K560" s="21" t="s">
        <v>145</v>
      </c>
      <c r="L560" s="21" t="s">
        <v>254</v>
      </c>
      <c r="M560" s="21" t="s">
        <v>255</v>
      </c>
      <c r="N560" s="21" t="s">
        <v>2035</v>
      </c>
      <c r="O560" s="20" t="s">
        <v>2043</v>
      </c>
      <c r="P560" s="45">
        <v>45818</v>
      </c>
      <c r="Q560" s="39" t="s">
        <v>2044</v>
      </c>
      <c r="R560" s="19">
        <v>17781.169999999998</v>
      </c>
      <c r="S560" s="21">
        <v>0.2</v>
      </c>
      <c r="T560" s="21">
        <v>21337.403999999999</v>
      </c>
      <c r="U560" s="60" t="s">
        <v>2038</v>
      </c>
      <c r="V560" s="22">
        <v>45826</v>
      </c>
      <c r="W560" s="54" t="s">
        <v>91</v>
      </c>
      <c r="X560" s="23"/>
      <c r="Y560" s="23" t="s">
        <v>92</v>
      </c>
      <c r="Z560" s="56" t="s">
        <v>928</v>
      </c>
      <c r="AA560" s="24">
        <v>855305</v>
      </c>
      <c r="AB560" s="19"/>
      <c r="AC560" s="46" t="s">
        <v>94</v>
      </c>
      <c r="AD560" s="15" t="str">
        <f ca="1">IF(AND($D560&lt;&gt;"",COUNTIF(OFFSET(UFS!$E$2,MATCH($D560&amp;"",UFS!$A$2:$A$175,0)-1,0,COUNTIF(UFS!$A$2:$A$175,$D560&amp;""),1),M560)&gt;0),"Valide","Invalide")</f>
        <v>Valide</v>
      </c>
      <c r="AH560" s="15" t="str">
        <f t="shared" si="8"/>
        <v>En attente</v>
      </c>
    </row>
    <row r="561" spans="1:34" s="15" customFormat="1" ht="45" hidden="1" customHeight="1" x14ac:dyDescent="0.3">
      <c r="A561" s="42">
        <v>562</v>
      </c>
      <c r="B561" s="19" t="s">
        <v>26</v>
      </c>
      <c r="C561" s="19" t="s">
        <v>28</v>
      </c>
      <c r="D561" s="20" t="s">
        <v>2033</v>
      </c>
      <c r="E561" s="20" t="s">
        <v>96</v>
      </c>
      <c r="F561" s="21" t="s">
        <v>80</v>
      </c>
      <c r="G561" s="38" t="s">
        <v>294</v>
      </c>
      <c r="H561" s="39"/>
      <c r="I561" s="39" t="s">
        <v>2034</v>
      </c>
      <c r="J561" s="21" t="s">
        <v>144</v>
      </c>
      <c r="K561" s="21" t="s">
        <v>145</v>
      </c>
      <c r="L561" s="21" t="s">
        <v>254</v>
      </c>
      <c r="M561" s="21" t="s">
        <v>255</v>
      </c>
      <c r="N561" s="21" t="s">
        <v>2035</v>
      </c>
      <c r="O561" s="20" t="s">
        <v>2045</v>
      </c>
      <c r="P561" s="45">
        <v>45818</v>
      </c>
      <c r="Q561" s="39" t="s">
        <v>2046</v>
      </c>
      <c r="R561" s="19">
        <v>14513.42</v>
      </c>
      <c r="S561" s="21">
        <v>0.2</v>
      </c>
      <c r="T561" s="21">
        <v>17416.103999999999</v>
      </c>
      <c r="U561" s="60" t="s">
        <v>2038</v>
      </c>
      <c r="V561" s="22">
        <v>45826</v>
      </c>
      <c r="W561" s="54" t="s">
        <v>91</v>
      </c>
      <c r="X561" s="23"/>
      <c r="Y561" s="23" t="s">
        <v>92</v>
      </c>
      <c r="Z561" s="56" t="s">
        <v>928</v>
      </c>
      <c r="AA561" s="24">
        <v>855312</v>
      </c>
      <c r="AB561" s="19"/>
      <c r="AC561" s="46" t="s">
        <v>94</v>
      </c>
      <c r="AD561" s="15" t="str">
        <f ca="1">IF(AND($D561&lt;&gt;"",COUNTIF(OFFSET(UFS!$E$2,MATCH($D561&amp;"",UFS!$A$2:$A$175,0)-1,0,COUNTIF(UFS!$A$2:$A$175,$D561&amp;""),1),M561)&gt;0),"Valide","Invalide")</f>
        <v>Valide</v>
      </c>
      <c r="AH561" s="15" t="str">
        <f t="shared" si="8"/>
        <v>En attente</v>
      </c>
    </row>
    <row r="562" spans="1:34" s="15" customFormat="1" ht="68.849999999999994" hidden="1" customHeight="1" x14ac:dyDescent="0.3">
      <c r="A562" s="42">
        <v>563</v>
      </c>
      <c r="B562" s="19" t="s">
        <v>24</v>
      </c>
      <c r="C562" s="19" t="s">
        <v>35</v>
      </c>
      <c r="D562" s="20" t="s">
        <v>134</v>
      </c>
      <c r="E562" s="20" t="s">
        <v>79</v>
      </c>
      <c r="F562" s="21" t="s">
        <v>80</v>
      </c>
      <c r="G562" s="38" t="s">
        <v>81</v>
      </c>
      <c r="H562" s="39"/>
      <c r="I562" s="39" t="s">
        <v>83</v>
      </c>
      <c r="J562" s="21" t="s">
        <v>124</v>
      </c>
      <c r="K562" s="21" t="s">
        <v>125</v>
      </c>
      <c r="L562" s="21" t="s">
        <v>135</v>
      </c>
      <c r="M562" s="21" t="s">
        <v>136</v>
      </c>
      <c r="N562" s="21" t="s">
        <v>102</v>
      </c>
      <c r="O562" s="20" t="s">
        <v>2047</v>
      </c>
      <c r="P562" s="45">
        <v>45826</v>
      </c>
      <c r="Q562" s="39" t="s">
        <v>2048</v>
      </c>
      <c r="R562" s="19">
        <v>1060.4100000000001</v>
      </c>
      <c r="S562" s="21">
        <v>0.1</v>
      </c>
      <c r="T562" s="21">
        <v>1166.451</v>
      </c>
      <c r="U562" s="44" t="s">
        <v>2049</v>
      </c>
      <c r="V562" s="22">
        <v>45827</v>
      </c>
      <c r="W562" s="54" t="s">
        <v>91</v>
      </c>
      <c r="X562" s="23"/>
      <c r="Y562" s="23" t="s">
        <v>92</v>
      </c>
      <c r="Z562" s="56" t="s">
        <v>446</v>
      </c>
      <c r="AA562" s="24">
        <v>855332</v>
      </c>
      <c r="AB562" s="45">
        <v>45844</v>
      </c>
      <c r="AC562" s="46" t="s">
        <v>94</v>
      </c>
      <c r="AD562" s="15" t="str">
        <f ca="1">IF(AND($D562&lt;&gt;"",COUNTIF(OFFSET(UFS!$E$2,MATCH($D562&amp;"",UFS!$A$2:$A$175,0)-1,0,COUNTIF(UFS!$A$2:$A$175,$D562&amp;""),1),M562)&gt;0),"Valide","Invalide")</f>
        <v>Valide</v>
      </c>
      <c r="AH562" s="15" t="str">
        <f t="shared" si="8"/>
        <v>En attente</v>
      </c>
    </row>
    <row r="563" spans="1:34" s="15" customFormat="1" ht="45" hidden="1" customHeight="1" x14ac:dyDescent="0.3">
      <c r="A563" s="42">
        <v>564</v>
      </c>
      <c r="B563" s="19" t="s">
        <v>4</v>
      </c>
      <c r="C563" s="19" t="s">
        <v>36</v>
      </c>
      <c r="D563" s="20" t="s">
        <v>123</v>
      </c>
      <c r="E563" s="20" t="s">
        <v>79</v>
      </c>
      <c r="F563" s="21" t="s">
        <v>80</v>
      </c>
      <c r="G563" s="38" t="s">
        <v>241</v>
      </c>
      <c r="H563" s="39" t="s">
        <v>252</v>
      </c>
      <c r="I563" s="39" t="s">
        <v>253</v>
      </c>
      <c r="J563" s="21" t="s">
        <v>124</v>
      </c>
      <c r="K563" s="21" t="s">
        <v>125</v>
      </c>
      <c r="L563" s="21" t="s">
        <v>126</v>
      </c>
      <c r="M563" s="21" t="s">
        <v>109</v>
      </c>
      <c r="N563" s="21" t="s">
        <v>109</v>
      </c>
      <c r="O563" s="20" t="s">
        <v>2050</v>
      </c>
      <c r="P563" s="45">
        <v>45825</v>
      </c>
      <c r="Q563" s="39" t="s">
        <v>2051</v>
      </c>
      <c r="R563" s="19">
        <v>3182.75</v>
      </c>
      <c r="S563" s="21">
        <v>0.1</v>
      </c>
      <c r="T563" s="21">
        <v>3501.0250000000001</v>
      </c>
      <c r="U563" s="60" t="s">
        <v>399</v>
      </c>
      <c r="V563" s="22">
        <v>45827</v>
      </c>
      <c r="W563" s="54" t="s">
        <v>91</v>
      </c>
      <c r="X563" s="23"/>
      <c r="Y563" s="23" t="s">
        <v>92</v>
      </c>
      <c r="Z563" s="56" t="s">
        <v>928</v>
      </c>
      <c r="AA563" s="24">
        <v>855321</v>
      </c>
      <c r="AB563" s="19"/>
      <c r="AC563" s="19"/>
      <c r="AD563" s="15" t="str">
        <f ca="1">IF(AND($D563&lt;&gt;"",COUNTIF(OFFSET(UFS!$E$2,MATCH($D563&amp;"",UFS!$A$2:$A$175,0)-1,0,COUNTIF(UFS!$A$2:$A$175,$D563&amp;""),1),M563)&gt;0),"Valide","Invalide")</f>
        <v>Valide</v>
      </c>
      <c r="AH563" s="15" t="str">
        <f t="shared" si="8"/>
        <v>En attente</v>
      </c>
    </row>
    <row r="564" spans="1:34" s="15" customFormat="1" ht="45" hidden="1" customHeight="1" x14ac:dyDescent="0.3">
      <c r="A564" s="42">
        <v>565</v>
      </c>
      <c r="B564" s="19" t="s">
        <v>4</v>
      </c>
      <c r="C564" s="19" t="s">
        <v>36</v>
      </c>
      <c r="D564" s="20" t="s">
        <v>123</v>
      </c>
      <c r="E564" s="20" t="s">
        <v>79</v>
      </c>
      <c r="F564" s="21" t="s">
        <v>80</v>
      </c>
      <c r="G564" s="38" t="s">
        <v>241</v>
      </c>
      <c r="H564" s="39" t="s">
        <v>252</v>
      </c>
      <c r="I564" s="39" t="s">
        <v>253</v>
      </c>
      <c r="J564" s="21" t="s">
        <v>124</v>
      </c>
      <c r="K564" s="21" t="s">
        <v>125</v>
      </c>
      <c r="L564" s="21" t="s">
        <v>126</v>
      </c>
      <c r="M564" s="21" t="s">
        <v>109</v>
      </c>
      <c r="N564" s="21" t="s">
        <v>109</v>
      </c>
      <c r="O564" s="20" t="s">
        <v>2052</v>
      </c>
      <c r="P564" s="45">
        <v>45825</v>
      </c>
      <c r="Q564" s="39" t="s">
        <v>2053</v>
      </c>
      <c r="R564" s="19">
        <v>532</v>
      </c>
      <c r="S564" s="21">
        <v>0.1</v>
      </c>
      <c r="T564" s="21">
        <v>585.20000000000005</v>
      </c>
      <c r="U564" s="60" t="s">
        <v>399</v>
      </c>
      <c r="V564" s="22">
        <v>45827</v>
      </c>
      <c r="W564" s="54" t="s">
        <v>91</v>
      </c>
      <c r="X564" s="23"/>
      <c r="Y564" s="23" t="s">
        <v>92</v>
      </c>
      <c r="Z564" s="56" t="s">
        <v>928</v>
      </c>
      <c r="AA564" s="24">
        <v>855320</v>
      </c>
      <c r="AB564" s="19"/>
      <c r="AC564" s="19"/>
      <c r="AD564" s="15" t="str">
        <f ca="1">IF(AND($D564&lt;&gt;"",COUNTIF(OFFSET(UFS!$E$2,MATCH($D564&amp;"",UFS!$A$2:$A$175,0)-1,0,COUNTIF(UFS!$A$2:$A$175,$D564&amp;""),1),M564)&gt;0),"Valide","Invalide")</f>
        <v>Valide</v>
      </c>
      <c r="AH564" s="15" t="str">
        <f t="shared" si="8"/>
        <v>En attente</v>
      </c>
    </row>
    <row r="565" spans="1:34" s="15" customFormat="1" ht="45" hidden="1" customHeight="1" x14ac:dyDescent="0.3">
      <c r="A565" s="42">
        <v>566</v>
      </c>
      <c r="B565" s="19" t="s">
        <v>26</v>
      </c>
      <c r="C565" s="19" t="s">
        <v>15</v>
      </c>
      <c r="D565" s="20" t="s">
        <v>743</v>
      </c>
      <c r="E565" s="20" t="s">
        <v>96</v>
      </c>
      <c r="F565" s="21" t="s">
        <v>80</v>
      </c>
      <c r="G565" s="38" t="s">
        <v>2054</v>
      </c>
      <c r="H565" s="39"/>
      <c r="I565" s="39" t="s">
        <v>2055</v>
      </c>
      <c r="J565" s="21" t="s">
        <v>407</v>
      </c>
      <c r="K565" s="21" t="s">
        <v>744</v>
      </c>
      <c r="L565" s="21" t="s">
        <v>100</v>
      </c>
      <c r="M565" s="21" t="s">
        <v>744</v>
      </c>
      <c r="N565" s="21" t="s">
        <v>151</v>
      </c>
      <c r="O565" s="20" t="s">
        <v>2056</v>
      </c>
      <c r="P565" s="45">
        <v>45818</v>
      </c>
      <c r="Q565" s="39" t="s">
        <v>2057</v>
      </c>
      <c r="R565" s="19">
        <v>8597.7099999999991</v>
      </c>
      <c r="S565" s="21">
        <v>0.2</v>
      </c>
      <c r="T565" s="21">
        <v>10317.251999999999</v>
      </c>
      <c r="U565" s="60" t="s">
        <v>2058</v>
      </c>
      <c r="V565" s="22">
        <v>45827</v>
      </c>
      <c r="W565" s="54" t="s">
        <v>91</v>
      </c>
      <c r="X565" s="23"/>
      <c r="Y565" s="23" t="s">
        <v>92</v>
      </c>
      <c r="Z565" s="56" t="s">
        <v>446</v>
      </c>
      <c r="AA565" s="24">
        <v>855298</v>
      </c>
      <c r="AB565" s="19"/>
      <c r="AC565" s="46" t="s">
        <v>94</v>
      </c>
      <c r="AD565" s="15" t="str">
        <f ca="1">IF(AND($D565&lt;&gt;"",COUNTIF(OFFSET(UFS!$E$2,MATCH($D565&amp;"",UFS!$A$2:$A$175,0)-1,0,COUNTIF(UFS!$A$2:$A$175,$D565&amp;""),1),M565)&gt;0),"Valide","Invalide")</f>
        <v>Valide</v>
      </c>
      <c r="AH565" s="15" t="str">
        <f t="shared" si="8"/>
        <v>En attente</v>
      </c>
    </row>
    <row r="566" spans="1:34" s="15" customFormat="1" ht="45" hidden="1" customHeight="1" x14ac:dyDescent="0.3">
      <c r="A566" s="42">
        <v>567</v>
      </c>
      <c r="B566" s="19" t="s">
        <v>24</v>
      </c>
      <c r="C566" s="19" t="s">
        <v>11</v>
      </c>
      <c r="D566" s="20" t="s">
        <v>123</v>
      </c>
      <c r="E566" s="20" t="s">
        <v>96</v>
      </c>
      <c r="F566" s="21" t="s">
        <v>80</v>
      </c>
      <c r="G566" s="38" t="s">
        <v>169</v>
      </c>
      <c r="H566" s="39"/>
      <c r="I566" s="39" t="s">
        <v>299</v>
      </c>
      <c r="J566" s="21" t="s">
        <v>124</v>
      </c>
      <c r="K566" s="21" t="s">
        <v>125</v>
      </c>
      <c r="L566" s="21" t="s">
        <v>126</v>
      </c>
      <c r="M566" s="21" t="s">
        <v>109</v>
      </c>
      <c r="N566" s="21" t="s">
        <v>109</v>
      </c>
      <c r="O566" s="20" t="s">
        <v>2059</v>
      </c>
      <c r="P566" s="45">
        <v>45827</v>
      </c>
      <c r="Q566" s="39" t="s">
        <v>2060</v>
      </c>
      <c r="R566" s="53">
        <v>1756.56</v>
      </c>
      <c r="S566" s="21">
        <v>0.1</v>
      </c>
      <c r="T566" s="21">
        <v>1932.2159999999999</v>
      </c>
      <c r="U566" s="44" t="s">
        <v>2061</v>
      </c>
      <c r="V566" s="22">
        <v>45828</v>
      </c>
      <c r="W566" s="54" t="s">
        <v>91</v>
      </c>
      <c r="X566" s="23"/>
      <c r="Y566" s="23" t="s">
        <v>92</v>
      </c>
      <c r="Z566" s="56" t="s">
        <v>928</v>
      </c>
      <c r="AA566" s="24">
        <v>855297</v>
      </c>
      <c r="AB566" s="45">
        <v>45853</v>
      </c>
      <c r="AC566" s="46" t="s">
        <v>94</v>
      </c>
      <c r="AD566" s="15" t="str">
        <f ca="1">IF(AND($D566&lt;&gt;"",COUNTIF(OFFSET(UFS!$E$2,MATCH($D566&amp;"",UFS!$A$2:$A$175,0)-1,0,COUNTIF(UFS!$A$2:$A$175,$D566&amp;""),1),M566)&gt;0),"Valide","Invalide")</f>
        <v>Valide</v>
      </c>
      <c r="AH566" s="15" t="str">
        <f t="shared" si="8"/>
        <v>En attente</v>
      </c>
    </row>
    <row r="567" spans="1:34" s="15" customFormat="1" ht="45" hidden="1" customHeight="1" x14ac:dyDescent="0.3">
      <c r="A567" s="42">
        <v>568</v>
      </c>
      <c r="B567" s="19" t="s">
        <v>24</v>
      </c>
      <c r="C567" s="19" t="s">
        <v>35</v>
      </c>
      <c r="D567" s="20" t="s">
        <v>123</v>
      </c>
      <c r="E567" s="20" t="s">
        <v>79</v>
      </c>
      <c r="F567" s="21" t="s">
        <v>80</v>
      </c>
      <c r="G567" s="38" t="s">
        <v>81</v>
      </c>
      <c r="H567" s="39" t="s">
        <v>426</v>
      </c>
      <c r="I567" s="39" t="s">
        <v>83</v>
      </c>
      <c r="J567" s="21" t="s">
        <v>124</v>
      </c>
      <c r="K567" s="21" t="s">
        <v>125</v>
      </c>
      <c r="L567" s="21" t="s">
        <v>126</v>
      </c>
      <c r="M567" s="21" t="s">
        <v>109</v>
      </c>
      <c r="N567" s="21" t="s">
        <v>109</v>
      </c>
      <c r="O567" s="20" t="s">
        <v>2062</v>
      </c>
      <c r="P567" s="45">
        <v>45827</v>
      </c>
      <c r="Q567" s="39" t="s">
        <v>2063</v>
      </c>
      <c r="R567" s="53">
        <v>3968.09</v>
      </c>
      <c r="S567" s="21">
        <v>0.1</v>
      </c>
      <c r="T567" s="21">
        <v>4364.8990000000003</v>
      </c>
      <c r="U567" s="44" t="s">
        <v>2064</v>
      </c>
      <c r="V567" s="22">
        <v>45828</v>
      </c>
      <c r="W567" s="54" t="s">
        <v>91</v>
      </c>
      <c r="X567" s="23"/>
      <c r="Y567" s="23" t="s">
        <v>92</v>
      </c>
      <c r="Z567" s="56" t="s">
        <v>446</v>
      </c>
      <c r="AA567" s="24">
        <v>855333</v>
      </c>
      <c r="AB567" s="47">
        <v>45866</v>
      </c>
      <c r="AC567" s="46" t="s">
        <v>94</v>
      </c>
      <c r="AD567" s="15" t="str">
        <f ca="1">IF(AND($D567&lt;&gt;"",COUNTIF(OFFSET(UFS!$E$2,MATCH($D567&amp;"",UFS!$A$2:$A$175,0)-1,0,COUNTIF(UFS!$A$2:$A$175,$D567&amp;""),1),M567)&gt;0),"Valide","Invalide")</f>
        <v>Valide</v>
      </c>
      <c r="AH567" s="15" t="str">
        <f t="shared" si="8"/>
        <v>En attente</v>
      </c>
    </row>
    <row r="568" spans="1:34" s="15" customFormat="1" ht="80.849999999999994" hidden="1" customHeight="1" x14ac:dyDescent="0.3">
      <c r="A568" s="42">
        <v>569</v>
      </c>
      <c r="B568" s="19" t="s">
        <v>24</v>
      </c>
      <c r="C568" s="19" t="s">
        <v>35</v>
      </c>
      <c r="D568" s="20" t="s">
        <v>123</v>
      </c>
      <c r="E568" s="20" t="s">
        <v>96</v>
      </c>
      <c r="F568" s="21" t="s">
        <v>80</v>
      </c>
      <c r="G568" s="38" t="s">
        <v>201</v>
      </c>
      <c r="H568" s="39"/>
      <c r="I568" s="39" t="s">
        <v>2065</v>
      </c>
      <c r="J568" s="21" t="s">
        <v>124</v>
      </c>
      <c r="K568" s="21" t="s">
        <v>125</v>
      </c>
      <c r="L568" s="21" t="s">
        <v>126</v>
      </c>
      <c r="M568" s="21" t="s">
        <v>109</v>
      </c>
      <c r="N568" s="21" t="s">
        <v>109</v>
      </c>
      <c r="O568" s="20" t="s">
        <v>2066</v>
      </c>
      <c r="P568" s="45">
        <v>45819</v>
      </c>
      <c r="Q568" s="39" t="s">
        <v>2067</v>
      </c>
      <c r="R568" s="19">
        <v>7191.3</v>
      </c>
      <c r="S568" s="21">
        <v>0.1</v>
      </c>
      <c r="T568" s="21">
        <v>7910.43</v>
      </c>
      <c r="U568" s="44" t="s">
        <v>2068</v>
      </c>
      <c r="V568" s="22">
        <v>45828</v>
      </c>
      <c r="W568" s="54" t="s">
        <v>91</v>
      </c>
      <c r="X568" s="23"/>
      <c r="Y568" s="23" t="s">
        <v>92</v>
      </c>
      <c r="Z568" s="56" t="s">
        <v>446</v>
      </c>
      <c r="AA568" s="24">
        <v>855033</v>
      </c>
      <c r="AB568" s="59" t="s">
        <v>2069</v>
      </c>
      <c r="AC568" s="46" t="s">
        <v>94</v>
      </c>
      <c r="AD568" s="15" t="str">
        <f ca="1">IF(AND($D568&lt;&gt;"",COUNTIF(OFFSET(UFS!$E$2,MATCH($D568&amp;"",UFS!$A$2:$A$175,0)-1,0,COUNTIF(UFS!$A$2:$A$175,$D568&amp;""),1),M568)&gt;0),"Valide","Invalide")</f>
        <v>Valide</v>
      </c>
      <c r="AH568" s="15" t="str">
        <f t="shared" si="8"/>
        <v>En attente</v>
      </c>
    </row>
    <row r="569" spans="1:34" s="15" customFormat="1" ht="45" hidden="1" customHeight="1" x14ac:dyDescent="0.3">
      <c r="A569" s="42">
        <v>570</v>
      </c>
      <c r="B569" s="19" t="s">
        <v>4</v>
      </c>
      <c r="C569" s="19" t="s">
        <v>17</v>
      </c>
      <c r="D569" s="20" t="s">
        <v>2070</v>
      </c>
      <c r="E569" s="20" t="s">
        <v>79</v>
      </c>
      <c r="F569" s="21" t="s">
        <v>80</v>
      </c>
      <c r="G569" s="38" t="s">
        <v>241</v>
      </c>
      <c r="H569" s="39" t="s">
        <v>517</v>
      </c>
      <c r="I569" s="39" t="s">
        <v>518</v>
      </c>
      <c r="J569" s="21" t="s">
        <v>84</v>
      </c>
      <c r="K569" s="21" t="s">
        <v>113</v>
      </c>
      <c r="L569" s="21" t="s">
        <v>120</v>
      </c>
      <c r="M569" s="21" t="s">
        <v>115</v>
      </c>
      <c r="N569" s="21" t="s">
        <v>2071</v>
      </c>
      <c r="O569" s="20" t="s">
        <v>2072</v>
      </c>
      <c r="P569" s="45">
        <v>45820</v>
      </c>
      <c r="Q569" s="39" t="s">
        <v>2073</v>
      </c>
      <c r="R569" s="19">
        <v>4563.3</v>
      </c>
      <c r="S569" s="21">
        <v>0.2</v>
      </c>
      <c r="T569" s="21">
        <v>5475.96</v>
      </c>
      <c r="U569" s="44" t="s">
        <v>1484</v>
      </c>
      <c r="V569" s="22">
        <v>45831</v>
      </c>
      <c r="W569" s="54" t="s">
        <v>91</v>
      </c>
      <c r="X569" s="23"/>
      <c r="Y569" s="23" t="s">
        <v>92</v>
      </c>
      <c r="Z569" s="56" t="s">
        <v>2074</v>
      </c>
      <c r="AA569" s="24">
        <v>855299</v>
      </c>
      <c r="AB569" s="19"/>
      <c r="AC569" s="19"/>
      <c r="AD569" s="15" t="str">
        <f ca="1">IF(AND($D569&lt;&gt;"",COUNTIF(OFFSET(UFS!$E$2,MATCH($D569&amp;"",UFS!$A$2:$A$175,0)-1,0,COUNTIF(UFS!$A$2:$A$175,$D569&amp;""),1),M569)&gt;0),"Valide","Invalide")</f>
        <v>Valide</v>
      </c>
      <c r="AH569" s="15" t="str">
        <f t="shared" si="8"/>
        <v>En attente</v>
      </c>
    </row>
    <row r="570" spans="1:34" s="15" customFormat="1" ht="45" hidden="1" customHeight="1" x14ac:dyDescent="0.3">
      <c r="A570" s="42">
        <v>571</v>
      </c>
      <c r="B570" s="19" t="s">
        <v>20</v>
      </c>
      <c r="C570" s="19" t="s">
        <v>37</v>
      </c>
      <c r="D570" s="20" t="s">
        <v>628</v>
      </c>
      <c r="E570" s="20" t="s">
        <v>79</v>
      </c>
      <c r="F570" s="21" t="s">
        <v>80</v>
      </c>
      <c r="G570" s="38" t="s">
        <v>241</v>
      </c>
      <c r="H570" s="39" t="s">
        <v>367</v>
      </c>
      <c r="I570" s="39" t="s">
        <v>368</v>
      </c>
      <c r="J570" s="21" t="s">
        <v>124</v>
      </c>
      <c r="K570" s="21" t="s">
        <v>125</v>
      </c>
      <c r="L570" s="21" t="s">
        <v>629</v>
      </c>
      <c r="M570" s="21" t="s">
        <v>136</v>
      </c>
      <c r="N570" s="21" t="s">
        <v>102</v>
      </c>
      <c r="O570" s="20" t="s">
        <v>2075</v>
      </c>
      <c r="P570" s="45">
        <v>45825</v>
      </c>
      <c r="Q570" s="39" t="s">
        <v>2076</v>
      </c>
      <c r="R570" s="19">
        <v>1414.46</v>
      </c>
      <c r="S570" s="21">
        <v>0.1</v>
      </c>
      <c r="T570" s="21">
        <v>1555.9059999999999</v>
      </c>
      <c r="U570" s="44" t="s">
        <v>2077</v>
      </c>
      <c r="V570" s="22">
        <v>45831</v>
      </c>
      <c r="W570" s="54" t="s">
        <v>91</v>
      </c>
      <c r="X570" s="23"/>
      <c r="Y570" s="23" t="s">
        <v>92</v>
      </c>
      <c r="Z570" s="56" t="s">
        <v>928</v>
      </c>
      <c r="AA570" s="24">
        <v>855317</v>
      </c>
      <c r="AB570" s="19"/>
      <c r="AC570" s="46" t="s">
        <v>94</v>
      </c>
      <c r="AD570" s="15" t="str">
        <f ca="1">IF(AND($D570&lt;&gt;"",COUNTIF(OFFSET(UFS!$E$2,MATCH($D570&amp;"",UFS!$A$2:$A$175,0)-1,0,COUNTIF(UFS!$A$2:$A$175,$D570&amp;""),1),M570)&gt;0),"Valide","Invalide")</f>
        <v>Valide</v>
      </c>
      <c r="AH570" s="15" t="str">
        <f t="shared" si="8"/>
        <v>En attente</v>
      </c>
    </row>
    <row r="571" spans="1:34" s="15" customFormat="1" ht="45" hidden="1" customHeight="1" x14ac:dyDescent="0.3">
      <c r="A571" s="42">
        <v>572</v>
      </c>
      <c r="B571" s="19" t="s">
        <v>20</v>
      </c>
      <c r="C571" s="19" t="s">
        <v>37</v>
      </c>
      <c r="D571" s="20" t="s">
        <v>628</v>
      </c>
      <c r="E571" s="20" t="s">
        <v>79</v>
      </c>
      <c r="F571" s="21" t="s">
        <v>80</v>
      </c>
      <c r="G571" s="38" t="s">
        <v>241</v>
      </c>
      <c r="H571" s="39" t="s">
        <v>367</v>
      </c>
      <c r="I571" s="39" t="s">
        <v>368</v>
      </c>
      <c r="J571" s="21" t="s">
        <v>124</v>
      </c>
      <c r="K571" s="21" t="s">
        <v>125</v>
      </c>
      <c r="L571" s="21" t="s">
        <v>629</v>
      </c>
      <c r="M571" s="21" t="s">
        <v>136</v>
      </c>
      <c r="N571" s="21" t="s">
        <v>102</v>
      </c>
      <c r="O571" s="20" t="s">
        <v>2078</v>
      </c>
      <c r="P571" s="45">
        <v>45825</v>
      </c>
      <c r="Q571" s="39" t="s">
        <v>2079</v>
      </c>
      <c r="R571" s="19">
        <v>135</v>
      </c>
      <c r="S571" s="21">
        <v>0.1</v>
      </c>
      <c r="T571" s="21">
        <v>148.5</v>
      </c>
      <c r="U571" s="44" t="s">
        <v>2080</v>
      </c>
      <c r="V571" s="22">
        <v>45831</v>
      </c>
      <c r="W571" s="54" t="s">
        <v>91</v>
      </c>
      <c r="X571" s="23"/>
      <c r="Y571" s="23" t="s">
        <v>92</v>
      </c>
      <c r="Z571" s="56" t="s">
        <v>928</v>
      </c>
      <c r="AA571" s="24">
        <v>855314</v>
      </c>
      <c r="AB571" s="19"/>
      <c r="AC571" s="46" t="s">
        <v>94</v>
      </c>
      <c r="AD571" s="15" t="str">
        <f ca="1">IF(AND($D571&lt;&gt;"",COUNTIF(OFFSET(UFS!$E$2,MATCH($D571&amp;"",UFS!$A$2:$A$175,0)-1,0,COUNTIF(UFS!$A$2:$A$175,$D571&amp;""),1),M571)&gt;0),"Valide","Invalide")</f>
        <v>Valide</v>
      </c>
      <c r="AH571" s="15" t="str">
        <f t="shared" si="8"/>
        <v>En attente</v>
      </c>
    </row>
    <row r="572" spans="1:34" s="15" customFormat="1" ht="45" hidden="1" customHeight="1" x14ac:dyDescent="0.3">
      <c r="A572" s="42">
        <v>573</v>
      </c>
      <c r="B572" s="19" t="s">
        <v>20</v>
      </c>
      <c r="C572" s="19" t="s">
        <v>37</v>
      </c>
      <c r="D572" s="20" t="s">
        <v>2081</v>
      </c>
      <c r="E572" s="20" t="s">
        <v>79</v>
      </c>
      <c r="F572" s="21" t="s">
        <v>80</v>
      </c>
      <c r="G572" s="38" t="s">
        <v>241</v>
      </c>
      <c r="H572" s="39" t="s">
        <v>367</v>
      </c>
      <c r="I572" s="39" t="s">
        <v>368</v>
      </c>
      <c r="J572" s="21" t="s">
        <v>144</v>
      </c>
      <c r="K572" s="21" t="s">
        <v>145</v>
      </c>
      <c r="L572" s="21" t="s">
        <v>254</v>
      </c>
      <c r="M572" s="21" t="s">
        <v>255</v>
      </c>
      <c r="N572" s="21" t="s">
        <v>256</v>
      </c>
      <c r="O572" s="20" t="s">
        <v>2082</v>
      </c>
      <c r="P572" s="45">
        <v>45813</v>
      </c>
      <c r="Q572" s="39" t="s">
        <v>2083</v>
      </c>
      <c r="R572" s="19">
        <v>90</v>
      </c>
      <c r="S572" s="21">
        <v>0.2</v>
      </c>
      <c r="T572" s="21">
        <v>108</v>
      </c>
      <c r="U572" s="44" t="s">
        <v>2084</v>
      </c>
      <c r="V572" s="22">
        <v>45831</v>
      </c>
      <c r="W572" s="54" t="s">
        <v>91</v>
      </c>
      <c r="X572" s="23"/>
      <c r="Y572" s="23" t="s">
        <v>92</v>
      </c>
      <c r="Z572" s="56" t="s">
        <v>928</v>
      </c>
      <c r="AA572" s="24">
        <v>855304</v>
      </c>
      <c r="AB572" s="19"/>
      <c r="AC572" s="46" t="s">
        <v>94</v>
      </c>
      <c r="AD572" s="15" t="e">
        <f ca="1">IF(AND($D572&lt;&gt;"",COUNTIF(OFFSET(UFS!$E$2,MATCH($D572&amp;"",UFS!$A$2:$A$175,0)-1,0,COUNTIF(UFS!$A$2:$A$175,$D572&amp;""),1),M572)&gt;0),"Valide","Invalide")</f>
        <v>#N/A</v>
      </c>
      <c r="AH572" s="15" t="str">
        <f t="shared" si="8"/>
        <v>En attente</v>
      </c>
    </row>
    <row r="573" spans="1:34" s="15" customFormat="1" ht="45" hidden="1" customHeight="1" x14ac:dyDescent="0.3">
      <c r="A573" s="42">
        <v>574</v>
      </c>
      <c r="B573" s="19" t="s">
        <v>20</v>
      </c>
      <c r="C573" s="19" t="s">
        <v>37</v>
      </c>
      <c r="D573" s="20" t="s">
        <v>413</v>
      </c>
      <c r="E573" s="20" t="s">
        <v>79</v>
      </c>
      <c r="F573" s="21" t="s">
        <v>80</v>
      </c>
      <c r="G573" s="38" t="s">
        <v>241</v>
      </c>
      <c r="H573" s="39" t="s">
        <v>367</v>
      </c>
      <c r="I573" s="39" t="s">
        <v>368</v>
      </c>
      <c r="J573" s="21" t="s">
        <v>183</v>
      </c>
      <c r="K573" s="21" t="s">
        <v>184</v>
      </c>
      <c r="L573" s="21" t="s">
        <v>185</v>
      </c>
      <c r="M573" s="21" t="s">
        <v>109</v>
      </c>
      <c r="N573" s="21" t="s">
        <v>109</v>
      </c>
      <c r="O573" s="20" t="s">
        <v>2085</v>
      </c>
      <c r="P573" s="45">
        <v>45813</v>
      </c>
      <c r="Q573" s="39" t="s">
        <v>2086</v>
      </c>
      <c r="R573" s="19">
        <v>90</v>
      </c>
      <c r="S573" s="21">
        <v>0.1</v>
      </c>
      <c r="T573" s="21">
        <v>99</v>
      </c>
      <c r="U573" s="60" t="s">
        <v>2087</v>
      </c>
      <c r="V573" s="22">
        <v>45831</v>
      </c>
      <c r="W573" s="54" t="s">
        <v>91</v>
      </c>
      <c r="X573" s="23"/>
      <c r="Y573" s="23" t="s">
        <v>92</v>
      </c>
      <c r="Z573" s="56" t="s">
        <v>928</v>
      </c>
      <c r="AA573" s="24">
        <v>855301</v>
      </c>
      <c r="AB573" s="19"/>
      <c r="AC573" s="46" t="s">
        <v>94</v>
      </c>
      <c r="AD573" s="15" t="str">
        <f ca="1">IF(AND($D573&lt;&gt;"",COUNTIF(OFFSET(UFS!$E$2,MATCH($D573&amp;"",UFS!$A$2:$A$175,0)-1,0,COUNTIF(UFS!$A$2:$A$175,$D573&amp;""),1),M573)&gt;0),"Valide","Invalide")</f>
        <v>Valide</v>
      </c>
      <c r="AH573" s="15" t="str">
        <f t="shared" si="8"/>
        <v>En attente</v>
      </c>
    </row>
    <row r="574" spans="1:34" s="15" customFormat="1" ht="45" hidden="1" customHeight="1" x14ac:dyDescent="0.3">
      <c r="A574" s="42">
        <v>575</v>
      </c>
      <c r="B574" s="19" t="s">
        <v>24</v>
      </c>
      <c r="C574" s="19" t="s">
        <v>30</v>
      </c>
      <c r="D574" s="20" t="s">
        <v>152</v>
      </c>
      <c r="E574" s="20" t="s">
        <v>79</v>
      </c>
      <c r="F574" s="21" t="s">
        <v>80</v>
      </c>
      <c r="G574" s="38" t="s">
        <v>81</v>
      </c>
      <c r="H574" s="39" t="s">
        <v>82</v>
      </c>
      <c r="I574" s="39" t="s">
        <v>83</v>
      </c>
      <c r="J574" s="21" t="s">
        <v>84</v>
      </c>
      <c r="K574" s="21" t="s">
        <v>113</v>
      </c>
      <c r="L574" s="21" t="s">
        <v>86</v>
      </c>
      <c r="M574" s="21" t="s">
        <v>115</v>
      </c>
      <c r="N574" s="21" t="s">
        <v>102</v>
      </c>
      <c r="O574" s="20" t="s">
        <v>2088</v>
      </c>
      <c r="P574" s="45">
        <v>45831</v>
      </c>
      <c r="Q574" s="39" t="s">
        <v>2089</v>
      </c>
      <c r="R574" s="19">
        <v>1005.85</v>
      </c>
      <c r="S574" s="21">
        <v>0.1</v>
      </c>
      <c r="T574" s="21">
        <v>1106.4349999999999</v>
      </c>
      <c r="U574" s="44" t="s">
        <v>2090</v>
      </c>
      <c r="V574" s="22">
        <v>45832</v>
      </c>
      <c r="W574" s="54" t="s">
        <v>91</v>
      </c>
      <c r="X574" s="23"/>
      <c r="Y574" s="23" t="s">
        <v>92</v>
      </c>
      <c r="Z574" s="56" t="s">
        <v>446</v>
      </c>
      <c r="AA574" s="24">
        <v>855791</v>
      </c>
      <c r="AB574" s="19"/>
      <c r="AC574" s="46" t="s">
        <v>94</v>
      </c>
      <c r="AD574" s="15" t="str">
        <f ca="1">IF(AND($D574&lt;&gt;"",COUNTIF(OFFSET(UFS!$E$2,MATCH($D574&amp;"",UFS!$A$2:$A$175,0)-1,0,COUNTIF(UFS!$A$2:$A$175,$D574&amp;""),1),M574)&gt;0),"Valide","Invalide")</f>
        <v>Valide</v>
      </c>
      <c r="AH574" s="15" t="str">
        <f t="shared" si="8"/>
        <v>En attente</v>
      </c>
    </row>
    <row r="575" spans="1:34" s="15" customFormat="1" ht="45" hidden="1" customHeight="1" x14ac:dyDescent="0.3">
      <c r="A575" s="42">
        <v>576</v>
      </c>
      <c r="B575" s="19" t="s">
        <v>709</v>
      </c>
      <c r="C575" s="19" t="s">
        <v>23</v>
      </c>
      <c r="D575" s="20" t="s">
        <v>130</v>
      </c>
      <c r="E575" s="20" t="s">
        <v>79</v>
      </c>
      <c r="F575" s="21" t="s">
        <v>80</v>
      </c>
      <c r="G575" s="38" t="s">
        <v>241</v>
      </c>
      <c r="H575" s="39" t="s">
        <v>643</v>
      </c>
      <c r="I575" s="39" t="s">
        <v>644</v>
      </c>
      <c r="J575" s="21" t="s">
        <v>124</v>
      </c>
      <c r="K575" s="126" t="s">
        <v>125</v>
      </c>
      <c r="L575" s="21" t="s">
        <v>2030</v>
      </c>
      <c r="M575" s="21" t="s">
        <v>711</v>
      </c>
      <c r="N575" s="21" t="s">
        <v>711</v>
      </c>
      <c r="O575" s="20" t="s">
        <v>2091</v>
      </c>
      <c r="P575" s="45">
        <v>45797</v>
      </c>
      <c r="Q575" s="39" t="s">
        <v>2092</v>
      </c>
      <c r="R575" s="19">
        <v>253.2</v>
      </c>
      <c r="S575" s="21">
        <v>0.1</v>
      </c>
      <c r="T575" s="21">
        <v>278.52</v>
      </c>
      <c r="U575" s="60" t="s">
        <v>714</v>
      </c>
      <c r="V575" s="22">
        <v>45832</v>
      </c>
      <c r="W575" s="54" t="s">
        <v>91</v>
      </c>
      <c r="X575" s="23"/>
      <c r="Y575" s="23" t="s">
        <v>92</v>
      </c>
      <c r="Z575" s="56" t="s">
        <v>1338</v>
      </c>
      <c r="AA575" s="24">
        <v>856073</v>
      </c>
      <c r="AB575" s="19"/>
      <c r="AC575" s="19"/>
      <c r="AD575" s="15" t="str">
        <f ca="1">IF(AND($D575&lt;&gt;"",COUNTIF(OFFSET(UFS!$E$2,MATCH($D575&amp;"",UFS!$A$2:$A$175,0)-1,0,COUNTIF(UFS!$A$2:$A$175,$D575&amp;""),1),M575)&gt;0),"Valide","Invalide")</f>
        <v>Invalide</v>
      </c>
      <c r="AH575" s="15" t="str">
        <f t="shared" si="8"/>
        <v>En attente</v>
      </c>
    </row>
    <row r="576" spans="1:34" s="15" customFormat="1" ht="45" hidden="1" customHeight="1" x14ac:dyDescent="0.3">
      <c r="A576" s="42">
        <v>577</v>
      </c>
      <c r="B576" s="19" t="s">
        <v>26</v>
      </c>
      <c r="C576" s="19" t="s">
        <v>30</v>
      </c>
      <c r="D576" s="20" t="s">
        <v>406</v>
      </c>
      <c r="E576" s="20" t="s">
        <v>79</v>
      </c>
      <c r="F576" s="21" t="s">
        <v>80</v>
      </c>
      <c r="G576" s="38" t="s">
        <v>81</v>
      </c>
      <c r="H576" s="39" t="s">
        <v>211</v>
      </c>
      <c r="I576" s="39" t="s">
        <v>83</v>
      </c>
      <c r="J576" s="21" t="s">
        <v>407</v>
      </c>
      <c r="K576" s="21" t="s">
        <v>108</v>
      </c>
      <c r="L576" s="21" t="s">
        <v>100</v>
      </c>
      <c r="M576" s="21" t="s">
        <v>108</v>
      </c>
      <c r="N576" s="21" t="s">
        <v>408</v>
      </c>
      <c r="O576" s="20" t="s">
        <v>2093</v>
      </c>
      <c r="P576" s="45">
        <v>45791</v>
      </c>
      <c r="Q576" s="39" t="s">
        <v>2094</v>
      </c>
      <c r="R576" s="19">
        <v>5450.96</v>
      </c>
      <c r="S576" s="21">
        <v>0.2</v>
      </c>
      <c r="T576" s="21">
        <v>6541.152</v>
      </c>
      <c r="U576" s="44" t="s">
        <v>2095</v>
      </c>
      <c r="V576" s="22">
        <v>45832</v>
      </c>
      <c r="W576" s="54" t="s">
        <v>91</v>
      </c>
      <c r="X576" s="23"/>
      <c r="Y576" s="23" t="s">
        <v>92</v>
      </c>
      <c r="Z576" s="56" t="s">
        <v>1338</v>
      </c>
      <c r="AA576" s="24">
        <v>856138</v>
      </c>
      <c r="AB576" s="19"/>
      <c r="AC576" s="46" t="s">
        <v>94</v>
      </c>
      <c r="AD576" s="15" t="str">
        <f ca="1">IF(AND($D576&lt;&gt;"",COUNTIF(OFFSET(UFS!$E$2,MATCH($D576&amp;"",UFS!$A$2:$A$175,0)-1,0,COUNTIF(UFS!$A$2:$A$175,$D576&amp;""),1),M576)&gt;0),"Valide","Invalide")</f>
        <v>Valide</v>
      </c>
      <c r="AH576" s="15" t="str">
        <f t="shared" si="8"/>
        <v>En attente</v>
      </c>
    </row>
    <row r="577" spans="1:34" s="15" customFormat="1" ht="45" hidden="1" customHeight="1" x14ac:dyDescent="0.3">
      <c r="A577" s="42">
        <v>578</v>
      </c>
      <c r="B577" s="19" t="s">
        <v>709</v>
      </c>
      <c r="C577" s="19" t="s">
        <v>23</v>
      </c>
      <c r="D577" s="20" t="s">
        <v>582</v>
      </c>
      <c r="E577" s="20" t="s">
        <v>79</v>
      </c>
      <c r="F577" s="21" t="s">
        <v>80</v>
      </c>
      <c r="G577" s="38" t="s">
        <v>241</v>
      </c>
      <c r="H577" s="39" t="s">
        <v>643</v>
      </c>
      <c r="I577" s="39" t="s">
        <v>644</v>
      </c>
      <c r="J577" s="21" t="s">
        <v>144</v>
      </c>
      <c r="K577" s="21" t="s">
        <v>1298</v>
      </c>
      <c r="L577" s="21" t="s">
        <v>328</v>
      </c>
      <c r="M577" s="21" t="s">
        <v>1750</v>
      </c>
      <c r="N577" s="21" t="s">
        <v>102</v>
      </c>
      <c r="O577" s="20" t="s">
        <v>2096</v>
      </c>
      <c r="P577" s="45">
        <v>45825</v>
      </c>
      <c r="Q577" s="39" t="s">
        <v>2097</v>
      </c>
      <c r="R577" s="19">
        <v>189.9</v>
      </c>
      <c r="S577" s="21">
        <v>0.1</v>
      </c>
      <c r="T577" s="21">
        <v>208.89</v>
      </c>
      <c r="U577" s="60" t="s">
        <v>714</v>
      </c>
      <c r="V577" s="22">
        <v>45832</v>
      </c>
      <c r="W577" s="54" t="s">
        <v>91</v>
      </c>
      <c r="X577" s="23"/>
      <c r="Y577" s="23" t="s">
        <v>92</v>
      </c>
      <c r="Z577" s="56" t="s">
        <v>1338</v>
      </c>
      <c r="AA577" s="24">
        <v>856074</v>
      </c>
      <c r="AB577" s="19"/>
      <c r="AC577" s="19"/>
      <c r="AD577" s="15" t="str">
        <f ca="1">IF(AND($D577&lt;&gt;"",COUNTIF(OFFSET(UFS!$E$2,MATCH($D577&amp;"",UFS!$A$2:$A$175,0)-1,0,COUNTIF(UFS!$A$2:$A$175,$D577&amp;""),1),M577)&gt;0),"Valide","Invalide")</f>
        <v>Invalide</v>
      </c>
      <c r="AH577" s="15" t="str">
        <f t="shared" si="8"/>
        <v>En attente</v>
      </c>
    </row>
    <row r="578" spans="1:34" s="15" customFormat="1" ht="45" hidden="1" customHeight="1" x14ac:dyDescent="0.3">
      <c r="A578" s="42">
        <v>579</v>
      </c>
      <c r="B578" s="19" t="s">
        <v>4</v>
      </c>
      <c r="C578" s="19" t="s">
        <v>1357</v>
      </c>
      <c r="D578" s="20" t="s">
        <v>1358</v>
      </c>
      <c r="E578" s="20" t="s">
        <v>79</v>
      </c>
      <c r="F578" s="21" t="s">
        <v>80</v>
      </c>
      <c r="G578" s="38" t="s">
        <v>241</v>
      </c>
      <c r="H578" s="39" t="s">
        <v>381</v>
      </c>
      <c r="I578" s="39" t="s">
        <v>382</v>
      </c>
      <c r="J578" s="21" t="s">
        <v>98</v>
      </c>
      <c r="K578" s="21" t="s">
        <v>859</v>
      </c>
      <c r="L578" s="21" t="s">
        <v>100</v>
      </c>
      <c r="M578" s="21" t="s">
        <v>109</v>
      </c>
      <c r="N578" s="21" t="s">
        <v>109</v>
      </c>
      <c r="O578" s="20" t="s">
        <v>2098</v>
      </c>
      <c r="P578" s="45">
        <v>45811</v>
      </c>
      <c r="Q578" s="39" t="s">
        <v>2099</v>
      </c>
      <c r="R578" s="19">
        <v>4966.28</v>
      </c>
      <c r="S578" s="21">
        <v>0.2</v>
      </c>
      <c r="T578" s="21">
        <v>5959.5360000000001</v>
      </c>
      <c r="U578" s="60" t="s">
        <v>2100</v>
      </c>
      <c r="V578" s="22">
        <v>45834</v>
      </c>
      <c r="W578" s="54" t="s">
        <v>91</v>
      </c>
      <c r="X578" s="23"/>
      <c r="Y578" s="23" t="s">
        <v>92</v>
      </c>
      <c r="Z578" s="56" t="s">
        <v>2101</v>
      </c>
      <c r="AA578" s="24">
        <v>863990</v>
      </c>
      <c r="AB578" s="19"/>
      <c r="AC578" s="19"/>
      <c r="AD578" s="15" t="str">
        <f ca="1">IF(AND($D578&lt;&gt;"",COUNTIF(OFFSET(UFS!$E$2,MATCH($D578&amp;"",UFS!$A$2:$A$175,0)-1,0,COUNTIF(UFS!$A$2:$A$175,$D578&amp;""),1),M578)&gt;0),"Valide","Invalide")</f>
        <v>Valide</v>
      </c>
      <c r="AH578" s="15" t="str">
        <f t="shared" si="8"/>
        <v>En attente</v>
      </c>
    </row>
    <row r="579" spans="1:34" s="15" customFormat="1" ht="45" hidden="1" customHeight="1" x14ac:dyDescent="0.3">
      <c r="A579" s="42">
        <v>580</v>
      </c>
      <c r="B579" s="19" t="s">
        <v>709</v>
      </c>
      <c r="C579" s="19" t="s">
        <v>23</v>
      </c>
      <c r="D579" s="20" t="s">
        <v>130</v>
      </c>
      <c r="E579" s="20" t="s">
        <v>79</v>
      </c>
      <c r="F579" s="21" t="s">
        <v>80</v>
      </c>
      <c r="G579" s="38" t="s">
        <v>241</v>
      </c>
      <c r="H579" s="39" t="s">
        <v>643</v>
      </c>
      <c r="I579" s="39" t="s">
        <v>644</v>
      </c>
      <c r="J579" s="21" t="s">
        <v>124</v>
      </c>
      <c r="K579" s="126" t="s">
        <v>125</v>
      </c>
      <c r="L579" s="21" t="s">
        <v>2030</v>
      </c>
      <c r="M579" s="21" t="s">
        <v>711</v>
      </c>
      <c r="N579" s="21" t="s">
        <v>711</v>
      </c>
      <c r="O579" s="20" t="s">
        <v>2102</v>
      </c>
      <c r="P579" s="45">
        <v>45827</v>
      </c>
      <c r="Q579" s="39" t="s">
        <v>2103</v>
      </c>
      <c r="R579" s="19">
        <v>253.2</v>
      </c>
      <c r="S579" s="21">
        <v>0.1</v>
      </c>
      <c r="T579" s="21">
        <v>278.52</v>
      </c>
      <c r="U579" s="60" t="s">
        <v>714</v>
      </c>
      <c r="V579" s="22">
        <v>45832</v>
      </c>
      <c r="W579" s="54" t="s">
        <v>91</v>
      </c>
      <c r="X579" s="23"/>
      <c r="Y579" s="23" t="s">
        <v>92</v>
      </c>
      <c r="Z579" s="56" t="s">
        <v>1338</v>
      </c>
      <c r="AA579" s="24">
        <v>856081</v>
      </c>
      <c r="AB579" s="19"/>
      <c r="AC579" s="19"/>
      <c r="AD579" s="15" t="str">
        <f ca="1">IF(AND($D579&lt;&gt;"",COUNTIF(OFFSET(UFS!$E$2,MATCH($D579&amp;"",UFS!$A$2:$A$175,0)-1,0,COUNTIF(UFS!$A$2:$A$175,$D579&amp;""),1),M579)&gt;0),"Valide","Invalide")</f>
        <v>Invalide</v>
      </c>
      <c r="AH579" s="15" t="str">
        <f t="shared" ref="AH579:AH642" si="9">IF(T579&lt;&gt;"","En attente","")</f>
        <v>En attente</v>
      </c>
    </row>
    <row r="580" spans="1:34" s="15" customFormat="1" ht="45" hidden="1" customHeight="1" x14ac:dyDescent="0.3">
      <c r="A580" s="42">
        <v>581</v>
      </c>
      <c r="B580" s="19" t="s">
        <v>26</v>
      </c>
      <c r="C580" s="19" t="s">
        <v>11</v>
      </c>
      <c r="D580" s="20" t="s">
        <v>810</v>
      </c>
      <c r="E580" s="20" t="s">
        <v>96</v>
      </c>
      <c r="F580" s="21" t="s">
        <v>80</v>
      </c>
      <c r="G580" s="38" t="s">
        <v>320</v>
      </c>
      <c r="H580" s="39"/>
      <c r="I580" s="39" t="s">
        <v>2104</v>
      </c>
      <c r="J580" s="21" t="s">
        <v>144</v>
      </c>
      <c r="K580" s="21" t="s">
        <v>145</v>
      </c>
      <c r="L580" s="21" t="s">
        <v>146</v>
      </c>
      <c r="M580" s="21" t="s">
        <v>812</v>
      </c>
      <c r="N580" s="21" t="s">
        <v>813</v>
      </c>
      <c r="O580" s="20" t="s">
        <v>2105</v>
      </c>
      <c r="P580" s="45">
        <v>45797</v>
      </c>
      <c r="Q580" s="39" t="s">
        <v>2106</v>
      </c>
      <c r="R580" s="19">
        <v>622.15</v>
      </c>
      <c r="S580" s="21">
        <v>0.1</v>
      </c>
      <c r="T580" s="21">
        <v>684.36500000000001</v>
      </c>
      <c r="U580" s="44" t="s">
        <v>816</v>
      </c>
      <c r="V580" s="22">
        <v>45832</v>
      </c>
      <c r="W580" s="54" t="s">
        <v>91</v>
      </c>
      <c r="X580" s="23"/>
      <c r="Y580" s="23" t="s">
        <v>92</v>
      </c>
      <c r="Z580" s="56" t="s">
        <v>1338</v>
      </c>
      <c r="AA580" s="24">
        <v>856143</v>
      </c>
      <c r="AB580" s="19"/>
      <c r="AC580" s="46" t="s">
        <v>94</v>
      </c>
      <c r="AD580" s="15" t="str">
        <f ca="1">IF(AND($D580&lt;&gt;"",COUNTIF(OFFSET(UFS!$E$2,MATCH($D580&amp;"",UFS!$A$2:$A$175,0)-1,0,COUNTIF(UFS!$A$2:$A$175,$D580&amp;""),1),M580)&gt;0),"Valide","Invalide")</f>
        <v>Valide</v>
      </c>
      <c r="AH580" s="15" t="str">
        <f t="shared" si="9"/>
        <v>En attente</v>
      </c>
    </row>
    <row r="581" spans="1:34" s="15" customFormat="1" ht="45" hidden="1" customHeight="1" x14ac:dyDescent="0.3">
      <c r="A581" s="42">
        <v>582</v>
      </c>
      <c r="B581" s="19" t="s">
        <v>4</v>
      </c>
      <c r="C581" s="19" t="s">
        <v>34</v>
      </c>
      <c r="D581" s="20" t="s">
        <v>200</v>
      </c>
      <c r="E581" s="20" t="s">
        <v>79</v>
      </c>
      <c r="F581" s="21" t="s">
        <v>80</v>
      </c>
      <c r="G581" s="38" t="s">
        <v>81</v>
      </c>
      <c r="H581" s="39" t="s">
        <v>267</v>
      </c>
      <c r="I581" s="39" t="s">
        <v>83</v>
      </c>
      <c r="J581" s="21" t="s">
        <v>144</v>
      </c>
      <c r="K581" s="21" t="s">
        <v>145</v>
      </c>
      <c r="L581" s="21" t="s">
        <v>203</v>
      </c>
      <c r="M581" s="21" t="s">
        <v>109</v>
      </c>
      <c r="N581" s="21" t="s">
        <v>109</v>
      </c>
      <c r="O581" s="20" t="s">
        <v>2107</v>
      </c>
      <c r="P581" s="45">
        <v>45747</v>
      </c>
      <c r="Q581" s="39" t="s">
        <v>2108</v>
      </c>
      <c r="R581" s="19">
        <v>16786.150000000001</v>
      </c>
      <c r="S581" s="21">
        <v>0.2</v>
      </c>
      <c r="T581" s="21">
        <v>20143.38</v>
      </c>
      <c r="U581" s="44" t="s">
        <v>2109</v>
      </c>
      <c r="V581" s="22">
        <v>45832</v>
      </c>
      <c r="W581" s="54" t="s">
        <v>91</v>
      </c>
      <c r="X581" s="23"/>
      <c r="Y581" s="23" t="s">
        <v>92</v>
      </c>
      <c r="Z581" s="83" t="s">
        <v>928</v>
      </c>
      <c r="AA581" s="24">
        <v>860071</v>
      </c>
      <c r="AB581" s="19"/>
      <c r="AC581" s="19"/>
      <c r="AD581" s="15" t="e">
        <f ca="1">IF(AND($D581&lt;&gt;"",COUNTIF(OFFSET(UFS!$E$2,MATCH($D581&amp;"",UFS!$A$2:$A$175,0)-1,0,COUNTIF(UFS!$A$2:$A$175,$D581&amp;""),1),M581)&gt;0),"Valide","Invalide")</f>
        <v>#N/A</v>
      </c>
      <c r="AH581" s="15" t="str">
        <f t="shared" si="9"/>
        <v>En attente</v>
      </c>
    </row>
    <row r="582" spans="1:34" s="15" customFormat="1" ht="45" hidden="1" customHeight="1" x14ac:dyDescent="0.3">
      <c r="A582" s="42">
        <v>583</v>
      </c>
      <c r="B582" s="19" t="s">
        <v>20</v>
      </c>
      <c r="C582" s="19" t="s">
        <v>1</v>
      </c>
      <c r="D582" s="20" t="s">
        <v>130</v>
      </c>
      <c r="E582" s="20" t="s">
        <v>79</v>
      </c>
      <c r="F582" s="21" t="s">
        <v>80</v>
      </c>
      <c r="G582" s="38" t="s">
        <v>182</v>
      </c>
      <c r="H582" s="39" t="s">
        <v>82</v>
      </c>
      <c r="I582" s="39" t="s">
        <v>83</v>
      </c>
      <c r="J582" s="21" t="s">
        <v>124</v>
      </c>
      <c r="K582" s="21" t="s">
        <v>125</v>
      </c>
      <c r="L582" s="21" t="s">
        <v>126</v>
      </c>
      <c r="M582" s="21" t="s">
        <v>131</v>
      </c>
      <c r="N582" s="21" t="s">
        <v>102</v>
      </c>
      <c r="O582" s="20" t="s">
        <v>2110</v>
      </c>
      <c r="P582" s="45">
        <v>45814</v>
      </c>
      <c r="Q582" s="39" t="s">
        <v>2111</v>
      </c>
      <c r="R582" s="19">
        <v>471.9</v>
      </c>
      <c r="S582" s="21">
        <v>0.1</v>
      </c>
      <c r="T582" s="21">
        <v>519.09</v>
      </c>
      <c r="U582" s="44" t="s">
        <v>2112</v>
      </c>
      <c r="V582" s="22">
        <v>45832</v>
      </c>
      <c r="W582" s="54" t="s">
        <v>91</v>
      </c>
      <c r="X582" s="23"/>
      <c r="Y582" s="23" t="s">
        <v>92</v>
      </c>
      <c r="Z582" s="56" t="s">
        <v>2074</v>
      </c>
      <c r="AA582" s="24">
        <v>855291</v>
      </c>
      <c r="AB582" s="19"/>
      <c r="AC582" s="46" t="s">
        <v>94</v>
      </c>
      <c r="AD582" s="15" t="str">
        <f ca="1">IF(AND($D582&lt;&gt;"",COUNTIF(OFFSET(UFS!$E$2,MATCH($D582&amp;"",UFS!$A$2:$A$175,0)-1,0,COUNTIF(UFS!$A$2:$A$175,$D582&amp;""),1),M582)&gt;0),"Valide","Invalide")</f>
        <v>Valide</v>
      </c>
      <c r="AH582" s="15" t="str">
        <f t="shared" si="9"/>
        <v>En attente</v>
      </c>
    </row>
    <row r="583" spans="1:34" s="15" customFormat="1" ht="45" hidden="1" customHeight="1" x14ac:dyDescent="0.3">
      <c r="A583" s="42">
        <v>584</v>
      </c>
      <c r="B583" s="19" t="s">
        <v>24</v>
      </c>
      <c r="C583" s="19" t="s">
        <v>25</v>
      </c>
      <c r="D583" s="20" t="s">
        <v>1659</v>
      </c>
      <c r="E583" s="20" t="s">
        <v>79</v>
      </c>
      <c r="F583" s="21" t="s">
        <v>80</v>
      </c>
      <c r="G583" s="38" t="s">
        <v>81</v>
      </c>
      <c r="H583" s="39" t="s">
        <v>82</v>
      </c>
      <c r="I583" s="39" t="s">
        <v>83</v>
      </c>
      <c r="J583" s="21" t="s">
        <v>144</v>
      </c>
      <c r="K583" s="21" t="s">
        <v>145</v>
      </c>
      <c r="L583" s="21" t="s">
        <v>1660</v>
      </c>
      <c r="M583" s="21" t="s">
        <v>1661</v>
      </c>
      <c r="N583" s="21" t="s">
        <v>1662</v>
      </c>
      <c r="O583" s="20" t="s">
        <v>2113</v>
      </c>
      <c r="P583" s="45">
        <v>45831</v>
      </c>
      <c r="Q583" s="39" t="s">
        <v>2114</v>
      </c>
      <c r="R583" s="53">
        <v>1808.1</v>
      </c>
      <c r="S583" s="21">
        <v>0.2</v>
      </c>
      <c r="T583" s="21">
        <v>2169.7199999999998</v>
      </c>
      <c r="U583" s="60" t="s">
        <v>2115</v>
      </c>
      <c r="V583" s="22">
        <v>45832</v>
      </c>
      <c r="W583" s="54" t="s">
        <v>91</v>
      </c>
      <c r="X583" s="23"/>
      <c r="Y583" s="23" t="s">
        <v>92</v>
      </c>
      <c r="Z583" s="56" t="s">
        <v>446</v>
      </c>
      <c r="AA583" s="24">
        <v>855787</v>
      </c>
      <c r="AB583" s="45">
        <v>45873</v>
      </c>
      <c r="AC583" s="46" t="s">
        <v>94</v>
      </c>
      <c r="AD583" s="15" t="str">
        <f ca="1">IF(AND($D583&lt;&gt;"",COUNTIF(OFFSET(UFS!$E$2,MATCH($D583&amp;"",UFS!$A$2:$A$175,0)-1,0,COUNTIF(UFS!$A$2:$A$175,$D583&amp;""),1),M583)&gt;0),"Valide","Invalide")</f>
        <v>Valide</v>
      </c>
      <c r="AH583" s="15" t="str">
        <f t="shared" si="9"/>
        <v>En attente</v>
      </c>
    </row>
    <row r="584" spans="1:34" s="15" customFormat="1" ht="45" hidden="1" customHeight="1" x14ac:dyDescent="0.3">
      <c r="A584" s="42">
        <v>585</v>
      </c>
      <c r="B584" s="19" t="s">
        <v>24</v>
      </c>
      <c r="C584" s="19" t="s">
        <v>25</v>
      </c>
      <c r="D584" s="20" t="s">
        <v>233</v>
      </c>
      <c r="E584" s="20" t="s">
        <v>79</v>
      </c>
      <c r="F584" s="21" t="s">
        <v>80</v>
      </c>
      <c r="G584" s="38" t="s">
        <v>81</v>
      </c>
      <c r="H584" s="39" t="s">
        <v>82</v>
      </c>
      <c r="I584" s="39" t="s">
        <v>83</v>
      </c>
      <c r="J584" s="21" t="s">
        <v>124</v>
      </c>
      <c r="K584" s="21" t="s">
        <v>235</v>
      </c>
      <c r="L584" s="21" t="s">
        <v>177</v>
      </c>
      <c r="M584" s="21" t="s">
        <v>109</v>
      </c>
      <c r="N584" s="21" t="s">
        <v>109</v>
      </c>
      <c r="O584" s="20" t="s">
        <v>2116</v>
      </c>
      <c r="P584" s="45">
        <v>45832</v>
      </c>
      <c r="Q584" s="39" t="s">
        <v>2117</v>
      </c>
      <c r="R584" s="53">
        <v>11280.84</v>
      </c>
      <c r="S584" s="21">
        <v>0.1</v>
      </c>
      <c r="T584" s="21">
        <v>12408.924000000001</v>
      </c>
      <c r="U584" s="44" t="s">
        <v>2118</v>
      </c>
      <c r="V584" s="22">
        <v>45832</v>
      </c>
      <c r="W584" s="54" t="s">
        <v>91</v>
      </c>
      <c r="X584" s="23"/>
      <c r="Y584" s="23" t="s">
        <v>92</v>
      </c>
      <c r="Z584" s="56" t="s">
        <v>928</v>
      </c>
      <c r="AA584" s="24">
        <v>855790</v>
      </c>
      <c r="AB584" s="47">
        <v>45888</v>
      </c>
      <c r="AC584" s="46" t="s">
        <v>94</v>
      </c>
      <c r="AD584" s="15" t="str">
        <f ca="1">IF(AND($D584&lt;&gt;"",COUNTIF(OFFSET(UFS!$E$2,MATCH($D584&amp;"",UFS!$A$2:$A$175,0)-1,0,COUNTIF(UFS!$A$2:$A$175,$D584&amp;""),1),M584)&gt;0),"Valide","Invalide")</f>
        <v>Valide</v>
      </c>
      <c r="AH584" s="15" t="str">
        <f t="shared" si="9"/>
        <v>En attente</v>
      </c>
    </row>
    <row r="585" spans="1:34" s="15" customFormat="1" ht="45" hidden="1" customHeight="1" x14ac:dyDescent="0.3">
      <c r="A585" s="42">
        <v>586</v>
      </c>
      <c r="B585" s="19" t="s">
        <v>26</v>
      </c>
      <c r="C585" s="19" t="s">
        <v>11</v>
      </c>
      <c r="D585" s="20" t="s">
        <v>95</v>
      </c>
      <c r="E585" s="20" t="s">
        <v>96</v>
      </c>
      <c r="F585" s="21" t="s">
        <v>80</v>
      </c>
      <c r="G585" s="38" t="s">
        <v>169</v>
      </c>
      <c r="H585" s="39"/>
      <c r="I585" s="39"/>
      <c r="J585" s="21" t="s">
        <v>98</v>
      </c>
      <c r="K585" s="21" t="s">
        <v>99</v>
      </c>
      <c r="L585" s="21" t="s">
        <v>100</v>
      </c>
      <c r="M585" s="21" t="s">
        <v>101</v>
      </c>
      <c r="N585" s="21" t="s">
        <v>102</v>
      </c>
      <c r="O585" s="20" t="s">
        <v>2119</v>
      </c>
      <c r="P585" s="45">
        <v>45790</v>
      </c>
      <c r="Q585" s="39" t="s">
        <v>2120</v>
      </c>
      <c r="R585" s="19">
        <v>2012.77</v>
      </c>
      <c r="S585" s="21">
        <v>0.1</v>
      </c>
      <c r="T585" s="21">
        <v>2214.047</v>
      </c>
      <c r="U585" s="44" t="s">
        <v>2121</v>
      </c>
      <c r="V585" s="22">
        <v>45833</v>
      </c>
      <c r="W585" s="54" t="s">
        <v>91</v>
      </c>
      <c r="X585" s="23"/>
      <c r="Y585" s="23" t="s">
        <v>92</v>
      </c>
      <c r="Z585" s="56"/>
      <c r="AA585" s="24">
        <v>855504</v>
      </c>
      <c r="AB585" s="19"/>
      <c r="AC585" s="46" t="s">
        <v>94</v>
      </c>
      <c r="AD585" s="15" t="str">
        <f ca="1">IF(AND($D585&lt;&gt;"",COUNTIF(OFFSET(UFS!$E$2,MATCH($D585&amp;"",UFS!$A$2:$A$175,0)-1,0,COUNTIF(UFS!$A$2:$A$175,$D585&amp;""),1),M585)&gt;0),"Valide","Invalide")</f>
        <v>Valide</v>
      </c>
      <c r="AH585" s="15" t="str">
        <f t="shared" si="9"/>
        <v>En attente</v>
      </c>
    </row>
    <row r="586" spans="1:34" s="15" customFormat="1" ht="45" hidden="1" customHeight="1" x14ac:dyDescent="0.3">
      <c r="A586" s="42">
        <v>587</v>
      </c>
      <c r="B586" s="19" t="s">
        <v>10</v>
      </c>
      <c r="C586" s="19" t="s">
        <v>1334</v>
      </c>
      <c r="D586" s="20" t="s">
        <v>200</v>
      </c>
      <c r="E586" s="20" t="s">
        <v>96</v>
      </c>
      <c r="F586" s="21" t="s">
        <v>80</v>
      </c>
      <c r="G586" s="38" t="s">
        <v>681</v>
      </c>
      <c r="H586" s="39"/>
      <c r="I586" s="39"/>
      <c r="J586" s="21" t="s">
        <v>144</v>
      </c>
      <c r="K586" s="21" t="s">
        <v>145</v>
      </c>
      <c r="L586" s="21" t="s">
        <v>203</v>
      </c>
      <c r="M586" s="21" t="s">
        <v>109</v>
      </c>
      <c r="N586" s="21" t="s">
        <v>109</v>
      </c>
      <c r="O586" s="20" t="s">
        <v>2122</v>
      </c>
      <c r="P586" s="45">
        <v>45824</v>
      </c>
      <c r="Q586" s="87" t="s">
        <v>2123</v>
      </c>
      <c r="R586" s="19">
        <v>20523</v>
      </c>
      <c r="S586" s="21">
        <v>0.2</v>
      </c>
      <c r="T586" s="21">
        <v>24627.599999999999</v>
      </c>
      <c r="U586" s="98" t="s">
        <v>1337</v>
      </c>
      <c r="V586" s="22">
        <v>45833</v>
      </c>
      <c r="W586" s="54" t="s">
        <v>91</v>
      </c>
      <c r="X586" s="23"/>
      <c r="Y586" s="23" t="s">
        <v>92</v>
      </c>
      <c r="Z586" s="56" t="s">
        <v>1338</v>
      </c>
      <c r="AA586" s="24">
        <v>855401</v>
      </c>
      <c r="AB586" s="19"/>
      <c r="AC586" s="46" t="s">
        <v>94</v>
      </c>
      <c r="AD586" s="15" t="e">
        <f ca="1">IF(AND($D586&lt;&gt;"",COUNTIF(OFFSET(UFS!$E$2,MATCH($D586&amp;"",UFS!$A$2:$A$175,0)-1,0,COUNTIF(UFS!$A$2:$A$175,$D586&amp;""),1),M586)&gt;0),"Valide","Invalide")</f>
        <v>#N/A</v>
      </c>
      <c r="AH586" s="15" t="str">
        <f t="shared" si="9"/>
        <v>En attente</v>
      </c>
    </row>
    <row r="587" spans="1:34" s="15" customFormat="1" ht="45" hidden="1" customHeight="1" x14ac:dyDescent="0.3">
      <c r="A587" s="42">
        <v>588</v>
      </c>
      <c r="B587" s="19" t="s">
        <v>20</v>
      </c>
      <c r="C587" s="19" t="s">
        <v>35</v>
      </c>
      <c r="D587" s="20" t="s">
        <v>123</v>
      </c>
      <c r="E587" s="20" t="s">
        <v>79</v>
      </c>
      <c r="F587" s="21" t="s">
        <v>80</v>
      </c>
      <c r="G587" s="38" t="s">
        <v>81</v>
      </c>
      <c r="H587" s="39" t="s">
        <v>215</v>
      </c>
      <c r="I587" s="39" t="s">
        <v>83</v>
      </c>
      <c r="J587" s="21" t="s">
        <v>124</v>
      </c>
      <c r="K587" s="21" t="s">
        <v>125</v>
      </c>
      <c r="L587" s="21" t="s">
        <v>126</v>
      </c>
      <c r="M587" s="21" t="s">
        <v>109</v>
      </c>
      <c r="N587" s="21" t="s">
        <v>109</v>
      </c>
      <c r="O587" s="20" t="s">
        <v>2124</v>
      </c>
      <c r="P587" s="45">
        <v>45810</v>
      </c>
      <c r="Q587" s="39" t="s">
        <v>2125</v>
      </c>
      <c r="R587" s="19">
        <v>2553.5</v>
      </c>
      <c r="S587" s="21">
        <v>0.1</v>
      </c>
      <c r="T587" s="21">
        <v>2808.85</v>
      </c>
      <c r="U587" s="60" t="s">
        <v>2126</v>
      </c>
      <c r="V587" s="22">
        <v>45833</v>
      </c>
      <c r="W587" s="54" t="s">
        <v>91</v>
      </c>
      <c r="X587" s="23"/>
      <c r="Y587" s="23" t="s">
        <v>92</v>
      </c>
      <c r="Z587" s="56" t="s">
        <v>1338</v>
      </c>
      <c r="AA587" s="24">
        <v>855839</v>
      </c>
      <c r="AB587" s="19"/>
      <c r="AC587" s="19"/>
      <c r="AD587" s="15" t="str">
        <f ca="1">IF(AND($D587&lt;&gt;"",COUNTIF(OFFSET(UFS!$E$2,MATCH($D587&amp;"",UFS!$A$2:$A$175,0)-1,0,COUNTIF(UFS!$A$2:$A$175,$D587&amp;""),1),M587)&gt;0),"Valide","Invalide")</f>
        <v>Valide</v>
      </c>
      <c r="AH587" s="15" t="str">
        <f t="shared" si="9"/>
        <v>En attente</v>
      </c>
    </row>
    <row r="588" spans="1:34" s="15" customFormat="1" ht="45" hidden="1" customHeight="1" x14ac:dyDescent="0.3">
      <c r="A588" s="42">
        <v>589</v>
      </c>
      <c r="B588" s="19" t="s">
        <v>709</v>
      </c>
      <c r="C588" s="19" t="s">
        <v>23</v>
      </c>
      <c r="D588" s="20" t="s">
        <v>800</v>
      </c>
      <c r="E588" s="20" t="s">
        <v>79</v>
      </c>
      <c r="F588" s="21" t="s">
        <v>80</v>
      </c>
      <c r="G588" s="38" t="s">
        <v>241</v>
      </c>
      <c r="H588" s="39" t="s">
        <v>643</v>
      </c>
      <c r="I588" s="39" t="s">
        <v>644</v>
      </c>
      <c r="J588" s="21" t="s">
        <v>1719</v>
      </c>
      <c r="K588" s="21" t="s">
        <v>1298</v>
      </c>
      <c r="L588" s="21" t="s">
        <v>499</v>
      </c>
      <c r="M588" s="21" t="s">
        <v>801</v>
      </c>
      <c r="N588" s="21" t="s">
        <v>102</v>
      </c>
      <c r="O588" s="20" t="s">
        <v>2127</v>
      </c>
      <c r="P588" s="45">
        <v>45833</v>
      </c>
      <c r="Q588" s="39" t="s">
        <v>2128</v>
      </c>
      <c r="R588" s="19">
        <v>379.8</v>
      </c>
      <c r="S588" s="21">
        <v>0.1</v>
      </c>
      <c r="T588" s="21">
        <v>417.78</v>
      </c>
      <c r="U588" s="60" t="s">
        <v>714</v>
      </c>
      <c r="V588" s="22">
        <v>45833</v>
      </c>
      <c r="W588" s="54" t="s">
        <v>91</v>
      </c>
      <c r="X588" s="23"/>
      <c r="Y588" s="23" t="s">
        <v>92</v>
      </c>
      <c r="Z588" s="56"/>
      <c r="AA588" s="24">
        <v>855502</v>
      </c>
      <c r="AB588" s="19"/>
      <c r="AC588" s="19"/>
      <c r="AD588" s="15" t="str">
        <f ca="1">IF(AND($D588&lt;&gt;"",COUNTIF(OFFSET(UFS!$E$2,MATCH($D588&amp;"",UFS!$A$2:$A$175,0)-1,0,COUNTIF(UFS!$A$2:$A$175,$D588&amp;""),1),M588)&gt;0),"Valide","Invalide")</f>
        <v>Valide</v>
      </c>
      <c r="AH588" s="15" t="str">
        <f t="shared" si="9"/>
        <v>En attente</v>
      </c>
    </row>
    <row r="589" spans="1:34" s="15" customFormat="1" ht="45" hidden="1" customHeight="1" x14ac:dyDescent="0.3">
      <c r="A589" s="42">
        <v>590</v>
      </c>
      <c r="B589" s="19" t="s">
        <v>26</v>
      </c>
      <c r="C589" s="19" t="s">
        <v>1</v>
      </c>
      <c r="D589" s="20" t="s">
        <v>2129</v>
      </c>
      <c r="E589" s="20" t="s">
        <v>79</v>
      </c>
      <c r="F589" s="21" t="s">
        <v>80</v>
      </c>
      <c r="G589" s="38" t="s">
        <v>182</v>
      </c>
      <c r="H589" s="39" t="s">
        <v>82</v>
      </c>
      <c r="I589" s="39" t="s">
        <v>83</v>
      </c>
      <c r="J589" s="21" t="s">
        <v>634</v>
      </c>
      <c r="K589" s="21" t="s">
        <v>2130</v>
      </c>
      <c r="L589" s="21" t="s">
        <v>342</v>
      </c>
      <c r="M589" s="21" t="s">
        <v>2130</v>
      </c>
      <c r="N589" s="21" t="s">
        <v>151</v>
      </c>
      <c r="O589" s="20" t="s">
        <v>2131</v>
      </c>
      <c r="P589" s="45">
        <v>45833</v>
      </c>
      <c r="Q589" s="39" t="s">
        <v>2132</v>
      </c>
      <c r="R589" s="19">
        <v>369.66</v>
      </c>
      <c r="S589" s="21">
        <v>0.2</v>
      </c>
      <c r="T589" s="21">
        <v>443.59200000000004</v>
      </c>
      <c r="U589" s="44" t="s">
        <v>2133</v>
      </c>
      <c r="V589" s="22">
        <v>45833</v>
      </c>
      <c r="W589" s="54" t="s">
        <v>91</v>
      </c>
      <c r="X589" s="23"/>
      <c r="Y589" s="23" t="s">
        <v>92</v>
      </c>
      <c r="Z589" s="56" t="s">
        <v>1338</v>
      </c>
      <c r="AA589" s="24">
        <v>856174</v>
      </c>
      <c r="AB589" s="19"/>
      <c r="AC589" s="19"/>
      <c r="AD589" s="15" t="str">
        <f ca="1">IF(AND($D589&lt;&gt;"",COUNTIF(OFFSET(UFS!$E$2,MATCH($D589&amp;"",UFS!$A$2:$A$175,0)-1,0,COUNTIF(UFS!$A$2:$A$175,$D589&amp;""),1),M589)&gt;0),"Valide","Invalide")</f>
        <v>Valide</v>
      </c>
      <c r="AH589" s="15" t="str">
        <f t="shared" si="9"/>
        <v>En attente</v>
      </c>
    </row>
    <row r="590" spans="1:34" s="15" customFormat="1" ht="45" hidden="1" customHeight="1" x14ac:dyDescent="0.3">
      <c r="A590" s="42">
        <v>591</v>
      </c>
      <c r="B590" s="19" t="s">
        <v>26</v>
      </c>
      <c r="C590" s="19" t="s">
        <v>1</v>
      </c>
      <c r="D590" s="20" t="s">
        <v>512</v>
      </c>
      <c r="E590" s="20" t="s">
        <v>79</v>
      </c>
      <c r="F590" s="21" t="s">
        <v>80</v>
      </c>
      <c r="G590" s="38" t="s">
        <v>182</v>
      </c>
      <c r="H590" s="39" t="s">
        <v>82</v>
      </c>
      <c r="I590" s="39" t="s">
        <v>83</v>
      </c>
      <c r="J590" s="21" t="s">
        <v>98</v>
      </c>
      <c r="K590" s="21" t="s">
        <v>99</v>
      </c>
      <c r="L590" s="21" t="s">
        <v>100</v>
      </c>
      <c r="M590" s="21" t="s">
        <v>101</v>
      </c>
      <c r="N590" s="21" t="s">
        <v>87</v>
      </c>
      <c r="O590" s="20" t="s">
        <v>2134</v>
      </c>
      <c r="P590" s="45">
        <v>45832</v>
      </c>
      <c r="Q590" s="39" t="s">
        <v>2135</v>
      </c>
      <c r="R590" s="19">
        <v>3884.77</v>
      </c>
      <c r="S590" s="21">
        <v>0.2</v>
      </c>
      <c r="T590" s="21">
        <v>4661.7240000000002</v>
      </c>
      <c r="U590" s="44" t="s">
        <v>2136</v>
      </c>
      <c r="V590" s="22">
        <v>45833</v>
      </c>
      <c r="W590" s="54" t="s">
        <v>91</v>
      </c>
      <c r="X590" s="23"/>
      <c r="Y590" s="23" t="s">
        <v>376</v>
      </c>
      <c r="Z590" s="56"/>
      <c r="AA590" s="24"/>
      <c r="AB590" s="19"/>
      <c r="AC590" s="19"/>
      <c r="AD590" s="15" t="str">
        <f ca="1">IF(AND($D590&lt;&gt;"",COUNTIF(OFFSET(UFS!$E$2,MATCH($D590&amp;"",UFS!$A$2:$A$175,0)-1,0,COUNTIF(UFS!$A$2:$A$175,$D590&amp;""),1),M590)&gt;0),"Valide","Invalide")</f>
        <v>Valide</v>
      </c>
      <c r="AH590" s="15" t="str">
        <f t="shared" si="9"/>
        <v>En attente</v>
      </c>
    </row>
    <row r="591" spans="1:34" s="15" customFormat="1" ht="45" hidden="1" customHeight="1" x14ac:dyDescent="0.3">
      <c r="A591" s="42">
        <v>592</v>
      </c>
      <c r="B591" s="19" t="s">
        <v>26</v>
      </c>
      <c r="C591" s="19" t="s">
        <v>11</v>
      </c>
      <c r="D591" s="20" t="s">
        <v>1076</v>
      </c>
      <c r="E591" s="20" t="s">
        <v>96</v>
      </c>
      <c r="F591" s="21" t="s">
        <v>80</v>
      </c>
      <c r="G591" s="38" t="s">
        <v>169</v>
      </c>
      <c r="H591" s="39"/>
      <c r="I591" s="39" t="s">
        <v>2137</v>
      </c>
      <c r="J591" s="21" t="s">
        <v>144</v>
      </c>
      <c r="K591" s="21" t="s">
        <v>145</v>
      </c>
      <c r="L591" s="21" t="s">
        <v>120</v>
      </c>
      <c r="M591" s="21" t="s">
        <v>1077</v>
      </c>
      <c r="N591" s="21" t="s">
        <v>165</v>
      </c>
      <c r="O591" s="20" t="s">
        <v>2138</v>
      </c>
      <c r="P591" s="45">
        <v>45811</v>
      </c>
      <c r="Q591" s="39" t="s">
        <v>2139</v>
      </c>
      <c r="R591" s="19">
        <v>681.61</v>
      </c>
      <c r="S591" s="21">
        <v>0.2</v>
      </c>
      <c r="T591" s="21">
        <v>817.93200000000002</v>
      </c>
      <c r="U591" s="44" t="s">
        <v>2140</v>
      </c>
      <c r="V591" s="22">
        <v>45833</v>
      </c>
      <c r="W591" s="54" t="s">
        <v>91</v>
      </c>
      <c r="X591" s="23"/>
      <c r="Y591" s="23" t="s">
        <v>92</v>
      </c>
      <c r="Z591" s="56"/>
      <c r="AA591" s="24">
        <v>855507</v>
      </c>
      <c r="AB591" s="19"/>
      <c r="AC591" s="46" t="s">
        <v>94</v>
      </c>
      <c r="AD591" s="15" t="str">
        <f ca="1">IF(AND($D591&lt;&gt;"",COUNTIF(OFFSET(UFS!$E$2,MATCH($D591&amp;"",UFS!$A$2:$A$175,0)-1,0,COUNTIF(UFS!$A$2:$A$175,$D591&amp;""),1),M591)&gt;0),"Valide","Invalide")</f>
        <v>Valide</v>
      </c>
      <c r="AH591" s="15" t="str">
        <f t="shared" si="9"/>
        <v>En attente</v>
      </c>
    </row>
    <row r="592" spans="1:34" s="15" customFormat="1" ht="45" hidden="1" customHeight="1" x14ac:dyDescent="0.3">
      <c r="A592" s="42">
        <v>593</v>
      </c>
      <c r="B592" s="19" t="s">
        <v>10</v>
      </c>
      <c r="C592" s="19" t="s">
        <v>2141</v>
      </c>
      <c r="D592" s="20" t="s">
        <v>200</v>
      </c>
      <c r="E592" s="20" t="s">
        <v>79</v>
      </c>
      <c r="F592" s="21" t="s">
        <v>80</v>
      </c>
      <c r="G592" s="38" t="s">
        <v>163</v>
      </c>
      <c r="H592" s="39"/>
      <c r="I592" s="39"/>
      <c r="J592" s="21" t="s">
        <v>144</v>
      </c>
      <c r="K592" s="21" t="s">
        <v>145</v>
      </c>
      <c r="L592" s="21" t="s">
        <v>203</v>
      </c>
      <c r="M592" s="21" t="s">
        <v>109</v>
      </c>
      <c r="N592" s="21" t="s">
        <v>109</v>
      </c>
      <c r="O592" s="20" t="s">
        <v>2142</v>
      </c>
      <c r="P592" s="45">
        <v>45824</v>
      </c>
      <c r="Q592" s="39" t="s">
        <v>2143</v>
      </c>
      <c r="R592" s="19">
        <v>24489</v>
      </c>
      <c r="S592" s="21">
        <v>0.2</v>
      </c>
      <c r="T592" s="21">
        <v>29386.799999999999</v>
      </c>
      <c r="U592" s="60" t="s">
        <v>2144</v>
      </c>
      <c r="V592" s="22">
        <v>45834</v>
      </c>
      <c r="W592" s="54" t="s">
        <v>91</v>
      </c>
      <c r="X592" s="23"/>
      <c r="Y592" s="23" t="s">
        <v>92</v>
      </c>
      <c r="Z592" s="56"/>
      <c r="AA592" s="24">
        <v>855510</v>
      </c>
      <c r="AB592" s="19"/>
      <c r="AC592" s="19"/>
      <c r="AD592" s="15" t="e">
        <f ca="1">IF(AND($D592&lt;&gt;"",COUNTIF(OFFSET(UFS!$E$2,MATCH($D592&amp;"",UFS!$A$2:$A$175,0)-1,0,COUNTIF(UFS!$A$2:$A$175,$D592&amp;""),1),M592)&gt;0),"Valide","Invalide")</f>
        <v>#N/A</v>
      </c>
      <c r="AH592" s="15" t="str">
        <f t="shared" si="9"/>
        <v>En attente</v>
      </c>
    </row>
    <row r="593" spans="1:34" s="15" customFormat="1" ht="45" hidden="1" customHeight="1" x14ac:dyDescent="0.3">
      <c r="A593" s="42">
        <v>594</v>
      </c>
      <c r="B593" s="19" t="s">
        <v>16</v>
      </c>
      <c r="C593" s="19" t="s">
        <v>30</v>
      </c>
      <c r="D593" s="20" t="s">
        <v>810</v>
      </c>
      <c r="E593" s="20" t="s">
        <v>96</v>
      </c>
      <c r="F593" s="21" t="s">
        <v>80</v>
      </c>
      <c r="G593" s="38" t="s">
        <v>169</v>
      </c>
      <c r="H593" s="39"/>
      <c r="I593" s="39" t="s">
        <v>1746</v>
      </c>
      <c r="J593" s="21" t="s">
        <v>144</v>
      </c>
      <c r="K593" s="21" t="s">
        <v>145</v>
      </c>
      <c r="L593" s="21" t="s">
        <v>146</v>
      </c>
      <c r="M593" s="21" t="s">
        <v>812</v>
      </c>
      <c r="N593" s="21" t="s">
        <v>813</v>
      </c>
      <c r="O593" s="20" t="s">
        <v>2145</v>
      </c>
      <c r="P593" s="45">
        <v>45819</v>
      </c>
      <c r="Q593" s="39" t="s">
        <v>2146</v>
      </c>
      <c r="R593" s="19">
        <v>15830.12</v>
      </c>
      <c r="S593" s="21">
        <v>0.1</v>
      </c>
      <c r="T593" s="21">
        <v>17413.132000000001</v>
      </c>
      <c r="U593" s="44" t="s">
        <v>2147</v>
      </c>
      <c r="V593" s="22">
        <v>45834</v>
      </c>
      <c r="W593" s="54" t="s">
        <v>91</v>
      </c>
      <c r="X593" s="23"/>
      <c r="Y593" s="23" t="s">
        <v>92</v>
      </c>
      <c r="Z593" s="56" t="s">
        <v>1338</v>
      </c>
      <c r="AA593" s="24">
        <v>858750</v>
      </c>
      <c r="AB593" s="19"/>
      <c r="AC593" s="46" t="s">
        <v>94</v>
      </c>
      <c r="AD593" s="15" t="str">
        <f ca="1">IF(AND($D593&lt;&gt;"",COUNTIF(OFFSET(UFS!$E$2,MATCH($D593&amp;"",UFS!$A$2:$A$175,0)-1,0,COUNTIF(UFS!$A$2:$A$175,$D593&amp;""),1),M593)&gt;0),"Valide","Invalide")</f>
        <v>Valide</v>
      </c>
      <c r="AH593" s="15" t="str">
        <f t="shared" si="9"/>
        <v>En attente</v>
      </c>
    </row>
    <row r="594" spans="1:34" s="15" customFormat="1" ht="45" hidden="1" customHeight="1" x14ac:dyDescent="0.3">
      <c r="A594" s="42">
        <v>595</v>
      </c>
      <c r="B594" s="19" t="s">
        <v>26</v>
      </c>
      <c r="C594" s="19" t="s">
        <v>15</v>
      </c>
      <c r="D594" s="20" t="s">
        <v>1669</v>
      </c>
      <c r="E594" s="20" t="s">
        <v>96</v>
      </c>
      <c r="F594" s="21" t="s">
        <v>80</v>
      </c>
      <c r="G594" s="38" t="s">
        <v>1029</v>
      </c>
      <c r="H594" s="39"/>
      <c r="I594" s="39" t="s">
        <v>2148</v>
      </c>
      <c r="J594" s="21" t="s">
        <v>144</v>
      </c>
      <c r="K594" s="21" t="s">
        <v>145</v>
      </c>
      <c r="L594" s="21" t="s">
        <v>146</v>
      </c>
      <c r="M594" s="21" t="s">
        <v>1671</v>
      </c>
      <c r="N594" s="21" t="s">
        <v>813</v>
      </c>
      <c r="O594" s="20" t="s">
        <v>2149</v>
      </c>
      <c r="P594" s="45">
        <v>45846</v>
      </c>
      <c r="Q594" s="39" t="s">
        <v>2150</v>
      </c>
      <c r="R594" s="19">
        <v>3258.72</v>
      </c>
      <c r="S594" s="21">
        <v>0.1</v>
      </c>
      <c r="T594" s="21">
        <v>3584.5919999999996</v>
      </c>
      <c r="U594" s="60" t="s">
        <v>2151</v>
      </c>
      <c r="V594" s="22">
        <v>45835</v>
      </c>
      <c r="W594" s="54" t="s">
        <v>91</v>
      </c>
      <c r="X594" s="23"/>
      <c r="Y594" s="23" t="s">
        <v>92</v>
      </c>
      <c r="Z594" s="103" t="s">
        <v>1338</v>
      </c>
      <c r="AA594" s="24">
        <v>858323</v>
      </c>
      <c r="AB594" s="19"/>
      <c r="AC594" s="46" t="s">
        <v>94</v>
      </c>
      <c r="AD594" s="15" t="str">
        <f ca="1">IF(AND($D594&lt;&gt;"",COUNTIF(OFFSET(UFS!$E$2,MATCH($D594&amp;"",UFS!$A$2:$A$175,0)-1,0,COUNTIF(UFS!$A$2:$A$175,$D594&amp;""),1),M594)&gt;0),"Valide","Invalide")</f>
        <v>Valide</v>
      </c>
      <c r="AH594" s="15" t="str">
        <f t="shared" si="9"/>
        <v>En attente</v>
      </c>
    </row>
    <row r="595" spans="1:34" s="15" customFormat="1" ht="45" hidden="1" customHeight="1" x14ac:dyDescent="0.3">
      <c r="A595" s="42">
        <v>596</v>
      </c>
      <c r="B595" s="19" t="s">
        <v>26</v>
      </c>
      <c r="C595" s="19" t="s">
        <v>30</v>
      </c>
      <c r="D595" s="20" t="s">
        <v>1669</v>
      </c>
      <c r="E595" s="20" t="s">
        <v>96</v>
      </c>
      <c r="F595" s="21" t="s">
        <v>80</v>
      </c>
      <c r="G595" s="38" t="s">
        <v>320</v>
      </c>
      <c r="H595" s="39"/>
      <c r="I595" s="39" t="s">
        <v>2148</v>
      </c>
      <c r="J595" s="21" t="s">
        <v>144</v>
      </c>
      <c r="K595" s="21" t="s">
        <v>145</v>
      </c>
      <c r="L595" s="21" t="s">
        <v>146</v>
      </c>
      <c r="M595" s="21" t="s">
        <v>1671</v>
      </c>
      <c r="N595" s="21" t="s">
        <v>813</v>
      </c>
      <c r="O595" s="20" t="s">
        <v>2152</v>
      </c>
      <c r="P595" s="45">
        <v>45846</v>
      </c>
      <c r="Q595" s="39" t="s">
        <v>2153</v>
      </c>
      <c r="R595" s="19">
        <v>18040.45</v>
      </c>
      <c r="S595" s="21">
        <v>0.1</v>
      </c>
      <c r="T595" s="21">
        <v>19844.495000000003</v>
      </c>
      <c r="U595" s="44" t="s">
        <v>2154</v>
      </c>
      <c r="V595" s="22">
        <v>45835</v>
      </c>
      <c r="W595" s="54" t="s">
        <v>91</v>
      </c>
      <c r="X595" s="23"/>
      <c r="Y595" s="23" t="s">
        <v>92</v>
      </c>
      <c r="Z595" s="103" t="s">
        <v>1338</v>
      </c>
      <c r="AA595" s="24">
        <v>858318</v>
      </c>
      <c r="AB595" s="19"/>
      <c r="AC595" s="46" t="s">
        <v>94</v>
      </c>
      <c r="AD595" s="15" t="str">
        <f ca="1">IF(AND($D595&lt;&gt;"",COUNTIF(OFFSET(UFS!$E$2,MATCH($D595&amp;"",UFS!$A$2:$A$175,0)-1,0,COUNTIF(UFS!$A$2:$A$175,$D595&amp;""),1),M595)&gt;0),"Valide","Invalide")</f>
        <v>Valide</v>
      </c>
      <c r="AH595" s="15" t="str">
        <f t="shared" si="9"/>
        <v>En attente</v>
      </c>
    </row>
    <row r="596" spans="1:34" s="15" customFormat="1" ht="45" hidden="1" customHeight="1" x14ac:dyDescent="0.3">
      <c r="A596" s="42">
        <v>597</v>
      </c>
      <c r="B596" s="19" t="s">
        <v>6</v>
      </c>
      <c r="C596" s="19" t="s">
        <v>21</v>
      </c>
      <c r="D596" s="20" t="s">
        <v>200</v>
      </c>
      <c r="E596" s="20" t="s">
        <v>79</v>
      </c>
      <c r="F596" s="21" t="s">
        <v>80</v>
      </c>
      <c r="G596" s="38" t="s">
        <v>533</v>
      </c>
      <c r="H596" s="39" t="s">
        <v>534</v>
      </c>
      <c r="I596" s="39" t="s">
        <v>535</v>
      </c>
      <c r="J596" s="21" t="s">
        <v>144</v>
      </c>
      <c r="K596" s="21" t="s">
        <v>145</v>
      </c>
      <c r="L596" s="21" t="s">
        <v>203</v>
      </c>
      <c r="M596" s="21" t="s">
        <v>109</v>
      </c>
      <c r="N596" s="21" t="s">
        <v>109</v>
      </c>
      <c r="O596" s="20" t="s">
        <v>2155</v>
      </c>
      <c r="P596" s="45">
        <v>45819</v>
      </c>
      <c r="Q596" s="39" t="s">
        <v>2156</v>
      </c>
      <c r="R596" s="19">
        <v>3795.7</v>
      </c>
      <c r="S596" s="21">
        <v>0.2</v>
      </c>
      <c r="T596" s="21">
        <v>4554.84</v>
      </c>
      <c r="U596" s="44" t="s">
        <v>2157</v>
      </c>
      <c r="V596" s="22">
        <v>45835</v>
      </c>
      <c r="W596" s="54" t="s">
        <v>91</v>
      </c>
      <c r="X596" s="23"/>
      <c r="Y596" s="23" t="s">
        <v>92</v>
      </c>
      <c r="Z596" s="56" t="s">
        <v>928</v>
      </c>
      <c r="AA596" s="24">
        <v>856915</v>
      </c>
      <c r="AB596" s="19"/>
      <c r="AC596" s="46" t="s">
        <v>94</v>
      </c>
      <c r="AD596" s="15" t="e">
        <f ca="1">IF(AND($D596&lt;&gt;"",COUNTIF(OFFSET(UFS!$E$2,MATCH($D596&amp;"",UFS!$A$2:$A$175,0)-1,0,COUNTIF(UFS!$A$2:$A$175,$D596&amp;""),1),M596)&gt;0),"Valide","Invalide")</f>
        <v>#N/A</v>
      </c>
      <c r="AH596" s="15" t="str">
        <f t="shared" si="9"/>
        <v>En attente</v>
      </c>
    </row>
    <row r="597" spans="1:34" s="15" customFormat="1" ht="45" hidden="1" customHeight="1" x14ac:dyDescent="0.3">
      <c r="A597" s="42">
        <v>598</v>
      </c>
      <c r="B597" s="19" t="s">
        <v>6</v>
      </c>
      <c r="C597" s="19" t="s">
        <v>21</v>
      </c>
      <c r="D597" s="20" t="s">
        <v>200</v>
      </c>
      <c r="E597" s="20" t="s">
        <v>79</v>
      </c>
      <c r="F597" s="21" t="s">
        <v>80</v>
      </c>
      <c r="G597" s="38" t="s">
        <v>533</v>
      </c>
      <c r="H597" s="39" t="s">
        <v>534</v>
      </c>
      <c r="I597" s="39" t="s">
        <v>535</v>
      </c>
      <c r="J597" s="21" t="s">
        <v>144</v>
      </c>
      <c r="K597" s="21" t="s">
        <v>145</v>
      </c>
      <c r="L597" s="21" t="s">
        <v>203</v>
      </c>
      <c r="M597" s="21" t="s">
        <v>109</v>
      </c>
      <c r="N597" s="21" t="s">
        <v>109</v>
      </c>
      <c r="O597" s="20" t="s">
        <v>2158</v>
      </c>
      <c r="P597" s="45">
        <v>45819</v>
      </c>
      <c r="Q597" s="39" t="s">
        <v>2159</v>
      </c>
      <c r="R597" s="19">
        <v>741.52</v>
      </c>
      <c r="S597" s="21">
        <v>0.2</v>
      </c>
      <c r="T597" s="21">
        <v>889.82399999999996</v>
      </c>
      <c r="U597" s="44" t="s">
        <v>2160</v>
      </c>
      <c r="V597" s="22">
        <v>45835</v>
      </c>
      <c r="W597" s="54" t="s">
        <v>91</v>
      </c>
      <c r="X597" s="23"/>
      <c r="Y597" s="23" t="s">
        <v>92</v>
      </c>
      <c r="Z597" s="56" t="s">
        <v>2161</v>
      </c>
      <c r="AA597" s="24">
        <v>3018</v>
      </c>
      <c r="AB597" s="19"/>
      <c r="AC597" s="46" t="s">
        <v>94</v>
      </c>
      <c r="AD597" s="15" t="e">
        <f ca="1">IF(AND($D597&lt;&gt;"",COUNTIF(OFFSET(UFS!$E$2,MATCH($D597&amp;"",UFS!$A$2:$A$175,0)-1,0,COUNTIF(UFS!$A$2:$A$175,$D597&amp;""),1),M597)&gt;0),"Valide","Invalide")</f>
        <v>#N/A</v>
      </c>
      <c r="AH597" s="15" t="str">
        <f t="shared" si="9"/>
        <v>En attente</v>
      </c>
    </row>
    <row r="598" spans="1:34" s="15" customFormat="1" ht="45" hidden="1" customHeight="1" x14ac:dyDescent="0.3">
      <c r="A598" s="42">
        <v>599</v>
      </c>
      <c r="B598" s="19" t="s">
        <v>6</v>
      </c>
      <c r="C598" s="19" t="s">
        <v>31</v>
      </c>
      <c r="D598" s="20" t="s">
        <v>106</v>
      </c>
      <c r="E598" s="20" t="s">
        <v>79</v>
      </c>
      <c r="F598" s="21" t="s">
        <v>80</v>
      </c>
      <c r="G598" s="38" t="s">
        <v>241</v>
      </c>
      <c r="H598" s="39" t="s">
        <v>242</v>
      </c>
      <c r="I598" s="39" t="s">
        <v>243</v>
      </c>
      <c r="J598" s="21" t="s">
        <v>98</v>
      </c>
      <c r="K598" s="21" t="s">
        <v>108</v>
      </c>
      <c r="L598" s="21" t="s">
        <v>100</v>
      </c>
      <c r="M598" s="21" t="s">
        <v>109</v>
      </c>
      <c r="N598" s="21" t="s">
        <v>109</v>
      </c>
      <c r="O598" s="20" t="s">
        <v>2162</v>
      </c>
      <c r="P598" s="45">
        <v>45793</v>
      </c>
      <c r="Q598" s="39" t="s">
        <v>2163</v>
      </c>
      <c r="R598" s="19">
        <v>130</v>
      </c>
      <c r="S598" s="21">
        <v>0.1</v>
      </c>
      <c r="T598" s="21">
        <v>143</v>
      </c>
      <c r="U598" s="44" t="s">
        <v>2164</v>
      </c>
      <c r="V598" s="22">
        <v>45835</v>
      </c>
      <c r="W598" s="54" t="s">
        <v>91</v>
      </c>
      <c r="X598" s="23"/>
      <c r="Y598" s="23" t="s">
        <v>92</v>
      </c>
      <c r="Z598" s="56" t="s">
        <v>2165</v>
      </c>
      <c r="AA598" s="24">
        <v>856189</v>
      </c>
      <c r="AB598" s="19"/>
      <c r="AC598" s="19"/>
      <c r="AD598" s="15" t="str">
        <f ca="1">IF(AND($D598&lt;&gt;"",COUNTIF(OFFSET(UFS!$E$2,MATCH($D598&amp;"",UFS!$A$2:$A$175,0)-1,0,COUNTIF(UFS!$A$2:$A$175,$D598&amp;""),1),M598)&gt;0),"Valide","Invalide")</f>
        <v>Valide</v>
      </c>
      <c r="AH598" s="15" t="str">
        <f t="shared" si="9"/>
        <v>En attente</v>
      </c>
    </row>
    <row r="599" spans="1:34" s="15" customFormat="1" ht="45" hidden="1" customHeight="1" x14ac:dyDescent="0.3">
      <c r="A599" s="42">
        <v>600</v>
      </c>
      <c r="B599" s="19" t="s">
        <v>6</v>
      </c>
      <c r="C599" s="19" t="s">
        <v>31</v>
      </c>
      <c r="D599" s="20" t="s">
        <v>106</v>
      </c>
      <c r="E599" s="20" t="s">
        <v>79</v>
      </c>
      <c r="F599" s="21" t="s">
        <v>80</v>
      </c>
      <c r="G599" s="38" t="s">
        <v>241</v>
      </c>
      <c r="H599" s="39" t="s">
        <v>242</v>
      </c>
      <c r="I599" s="39" t="s">
        <v>243</v>
      </c>
      <c r="J599" s="21" t="s">
        <v>98</v>
      </c>
      <c r="K599" s="21" t="s">
        <v>108</v>
      </c>
      <c r="L599" s="21" t="s">
        <v>100</v>
      </c>
      <c r="M599" s="21" t="s">
        <v>109</v>
      </c>
      <c r="N599" s="21" t="s">
        <v>109</v>
      </c>
      <c r="O599" s="20" t="s">
        <v>2166</v>
      </c>
      <c r="P599" s="45">
        <v>45793</v>
      </c>
      <c r="Q599" s="39" t="s">
        <v>2167</v>
      </c>
      <c r="R599" s="19">
        <v>130</v>
      </c>
      <c r="S599" s="21">
        <v>0.1</v>
      </c>
      <c r="T599" s="21">
        <v>143</v>
      </c>
      <c r="U599" s="44" t="s">
        <v>2168</v>
      </c>
      <c r="V599" s="22">
        <v>45835</v>
      </c>
      <c r="W599" s="54" t="s">
        <v>91</v>
      </c>
      <c r="X599" s="23"/>
      <c r="Y599" s="23" t="s">
        <v>92</v>
      </c>
      <c r="Z599" s="56" t="s">
        <v>2165</v>
      </c>
      <c r="AA599" s="24">
        <v>856193</v>
      </c>
      <c r="AB599" s="19"/>
      <c r="AC599" s="19"/>
      <c r="AD599" s="15" t="str">
        <f ca="1">IF(AND($D599&lt;&gt;"",COUNTIF(OFFSET(UFS!$E$2,MATCH($D599&amp;"",UFS!$A$2:$A$175,0)-1,0,COUNTIF(UFS!$A$2:$A$175,$D599&amp;""),1),M599)&gt;0),"Valide","Invalide")</f>
        <v>Valide</v>
      </c>
      <c r="AH599" s="15" t="str">
        <f t="shared" si="9"/>
        <v>En attente</v>
      </c>
    </row>
    <row r="600" spans="1:34" s="15" customFormat="1" ht="45" hidden="1" customHeight="1" x14ac:dyDescent="0.3">
      <c r="A600" s="42">
        <v>601</v>
      </c>
      <c r="B600" s="19" t="s">
        <v>6</v>
      </c>
      <c r="C600" s="19" t="s">
        <v>31</v>
      </c>
      <c r="D600" s="20" t="s">
        <v>106</v>
      </c>
      <c r="E600" s="20" t="s">
        <v>79</v>
      </c>
      <c r="F600" s="21" t="s">
        <v>80</v>
      </c>
      <c r="G600" s="38" t="s">
        <v>241</v>
      </c>
      <c r="H600" s="39" t="s">
        <v>242</v>
      </c>
      <c r="I600" s="39" t="s">
        <v>243</v>
      </c>
      <c r="J600" s="21" t="s">
        <v>98</v>
      </c>
      <c r="K600" s="21" t="s">
        <v>108</v>
      </c>
      <c r="L600" s="21" t="s">
        <v>100</v>
      </c>
      <c r="M600" s="21" t="s">
        <v>109</v>
      </c>
      <c r="N600" s="21" t="s">
        <v>109</v>
      </c>
      <c r="O600" s="89">
        <v>438430335</v>
      </c>
      <c r="P600" s="45">
        <v>45797</v>
      </c>
      <c r="Q600" s="39" t="s">
        <v>2169</v>
      </c>
      <c r="R600" s="19">
        <v>375.5</v>
      </c>
      <c r="S600" s="21">
        <v>0.1</v>
      </c>
      <c r="T600" s="21">
        <v>413.05</v>
      </c>
      <c r="U600" s="44" t="s">
        <v>2170</v>
      </c>
      <c r="V600" s="22">
        <v>45835</v>
      </c>
      <c r="W600" s="54" t="s">
        <v>91</v>
      </c>
      <c r="X600" s="23"/>
      <c r="Y600" s="23" t="s">
        <v>92</v>
      </c>
      <c r="Z600" s="56" t="s">
        <v>2165</v>
      </c>
      <c r="AA600" s="24">
        <v>856195</v>
      </c>
      <c r="AB600" s="19"/>
      <c r="AC600" s="19"/>
      <c r="AD600" s="15" t="str">
        <f ca="1">IF(AND($D600&lt;&gt;"",COUNTIF(OFFSET(UFS!$E$2,MATCH($D600&amp;"",UFS!$A$2:$A$175,0)-1,0,COUNTIF(UFS!$A$2:$A$175,$D600&amp;""),1),M600)&gt;0),"Valide","Invalide")</f>
        <v>Valide</v>
      </c>
      <c r="AH600" s="15" t="str">
        <f t="shared" si="9"/>
        <v>En attente</v>
      </c>
    </row>
    <row r="601" spans="1:34" s="15" customFormat="1" ht="45" hidden="1" customHeight="1" x14ac:dyDescent="0.3">
      <c r="A601" s="42">
        <v>602</v>
      </c>
      <c r="B601" s="19" t="s">
        <v>24</v>
      </c>
      <c r="C601" s="19" t="s">
        <v>32</v>
      </c>
      <c r="D601" s="20" t="s">
        <v>1659</v>
      </c>
      <c r="E601" s="20" t="s">
        <v>79</v>
      </c>
      <c r="F601" s="21" t="s">
        <v>80</v>
      </c>
      <c r="G601" s="38" t="s">
        <v>81</v>
      </c>
      <c r="H601" s="39" t="s">
        <v>211</v>
      </c>
      <c r="I601" s="39" t="s">
        <v>83</v>
      </c>
      <c r="J601" s="21" t="s">
        <v>144</v>
      </c>
      <c r="K601" s="21" t="s">
        <v>145</v>
      </c>
      <c r="L601" s="21" t="s">
        <v>1660</v>
      </c>
      <c r="M601" s="21" t="s">
        <v>1661</v>
      </c>
      <c r="N601" s="21" t="s">
        <v>1662</v>
      </c>
      <c r="O601" s="20" t="s">
        <v>2171</v>
      </c>
      <c r="P601" s="45">
        <v>45838</v>
      </c>
      <c r="Q601" s="39" t="s">
        <v>2172</v>
      </c>
      <c r="R601" s="19">
        <v>1024.78</v>
      </c>
      <c r="S601" s="21">
        <v>0.2</v>
      </c>
      <c r="T601" s="21">
        <v>1229.7359999999999</v>
      </c>
      <c r="U601" s="44" t="s">
        <v>2173</v>
      </c>
      <c r="V601" s="22">
        <v>45838</v>
      </c>
      <c r="W601" s="54" t="s">
        <v>91</v>
      </c>
      <c r="X601" s="23"/>
      <c r="Y601" s="23" t="s">
        <v>92</v>
      </c>
      <c r="Z601" s="56" t="s">
        <v>928</v>
      </c>
      <c r="AA601" s="24">
        <v>855840</v>
      </c>
      <c r="AB601" s="47">
        <v>45847</v>
      </c>
      <c r="AC601" s="46" t="s">
        <v>94</v>
      </c>
      <c r="AD601" s="15" t="str">
        <f ca="1">IF(AND($D601&lt;&gt;"",COUNTIF(OFFSET(UFS!$E$2,MATCH($D601&amp;"",UFS!$A$2:$A$175,0)-1,0,COUNTIF(UFS!$A$2:$A$175,$D601&amp;""),1),M601)&gt;0),"Valide","Invalide")</f>
        <v>Valide</v>
      </c>
      <c r="AH601" s="15" t="str">
        <f t="shared" si="9"/>
        <v>En attente</v>
      </c>
    </row>
    <row r="602" spans="1:34" s="15" customFormat="1" ht="45" hidden="1" customHeight="1" x14ac:dyDescent="0.3">
      <c r="A602" s="42">
        <v>603</v>
      </c>
      <c r="B602" s="19" t="s">
        <v>24</v>
      </c>
      <c r="C602" s="19" t="s">
        <v>30</v>
      </c>
      <c r="D602" s="20" t="s">
        <v>260</v>
      </c>
      <c r="E602" s="20" t="s">
        <v>79</v>
      </c>
      <c r="F602" s="21" t="s">
        <v>80</v>
      </c>
      <c r="G602" s="38" t="s">
        <v>81</v>
      </c>
      <c r="H602" s="39" t="s">
        <v>82</v>
      </c>
      <c r="I602" s="39" t="s">
        <v>83</v>
      </c>
      <c r="J602" s="21" t="s">
        <v>84</v>
      </c>
      <c r="K602" s="21" t="s">
        <v>113</v>
      </c>
      <c r="L602" s="21" t="s">
        <v>86</v>
      </c>
      <c r="M602" s="21" t="s">
        <v>109</v>
      </c>
      <c r="N602" s="21" t="s">
        <v>109</v>
      </c>
      <c r="O602" s="90" t="s">
        <v>2174</v>
      </c>
      <c r="P602" s="45">
        <v>45835</v>
      </c>
      <c r="Q602" s="39" t="s">
        <v>2175</v>
      </c>
      <c r="R602" s="19">
        <v>1341.13</v>
      </c>
      <c r="S602" s="21">
        <v>0.1</v>
      </c>
      <c r="T602" s="21">
        <v>1475.2430000000002</v>
      </c>
      <c r="U602" s="44" t="s">
        <v>2176</v>
      </c>
      <c r="V602" s="22">
        <v>45838</v>
      </c>
      <c r="W602" s="54" t="s">
        <v>91</v>
      </c>
      <c r="X602" s="23"/>
      <c r="Y602" s="23" t="s">
        <v>92</v>
      </c>
      <c r="Z602" s="56" t="s">
        <v>1338</v>
      </c>
      <c r="AA602" s="24">
        <v>856034</v>
      </c>
      <c r="AB602" s="47">
        <v>45845</v>
      </c>
      <c r="AC602" s="46" t="s">
        <v>94</v>
      </c>
      <c r="AD602" s="15" t="str">
        <f ca="1">IF(AND($D602&lt;&gt;"",COUNTIF(OFFSET(UFS!$E$2,MATCH($D602&amp;"",UFS!$A$2:$A$175,0)-1,0,COUNTIF(UFS!$A$2:$A$175,$D602&amp;""),1),M602)&gt;0),"Valide","Invalide")</f>
        <v>Valide</v>
      </c>
      <c r="AH602" s="15" t="str">
        <f t="shared" si="9"/>
        <v>En attente</v>
      </c>
    </row>
    <row r="603" spans="1:34" s="15" customFormat="1" ht="45" customHeight="1" x14ac:dyDescent="0.3">
      <c r="A603" s="42">
        <v>604</v>
      </c>
      <c r="B603" s="19" t="s">
        <v>24</v>
      </c>
      <c r="C603" s="19"/>
      <c r="D603" s="20"/>
      <c r="E603" s="20"/>
      <c r="F603" s="21"/>
      <c r="G603" s="38"/>
      <c r="H603" s="39"/>
      <c r="I603" s="39"/>
      <c r="J603" s="21"/>
      <c r="K603" s="21"/>
      <c r="L603" s="21"/>
      <c r="M603" s="21"/>
      <c r="N603" s="21"/>
      <c r="O603" s="20"/>
      <c r="P603" s="19"/>
      <c r="Q603" s="39"/>
      <c r="R603" s="19"/>
      <c r="S603" s="21"/>
      <c r="T603" s="21"/>
      <c r="U603" s="39"/>
      <c r="V603" s="21"/>
      <c r="W603" s="54"/>
      <c r="X603" s="23"/>
      <c r="Y603" s="23"/>
      <c r="Z603" s="56"/>
      <c r="AA603" s="24"/>
      <c r="AB603" s="19"/>
      <c r="AC603" s="19"/>
      <c r="AD603" s="15" t="e">
        <f ca="1">IF(AND($D603&lt;&gt;"",COUNTIF(OFFSET(UFS!$E$2,MATCH($D603&amp;"",UFS!$A$2:$A$175,0)-1,0,COUNTIF(UFS!$A$2:$A$175,$D603&amp;""),1),M603)&gt;0),"Valide","Invalide")</f>
        <v>#N/A</v>
      </c>
      <c r="AH603" s="15" t="str">
        <f t="shared" si="9"/>
        <v/>
      </c>
    </row>
    <row r="604" spans="1:34" s="15" customFormat="1" ht="45" hidden="1" customHeight="1" x14ac:dyDescent="0.3">
      <c r="A604" s="42">
        <v>605</v>
      </c>
      <c r="B604" s="19" t="s">
        <v>425</v>
      </c>
      <c r="C604" s="19" t="s">
        <v>35</v>
      </c>
      <c r="D604" s="20" t="s">
        <v>604</v>
      </c>
      <c r="E604" s="20" t="s">
        <v>79</v>
      </c>
      <c r="F604" s="21" t="s">
        <v>80</v>
      </c>
      <c r="G604" s="38" t="s">
        <v>182</v>
      </c>
      <c r="H604" s="39" t="s">
        <v>426</v>
      </c>
      <c r="I604" s="39" t="s">
        <v>83</v>
      </c>
      <c r="J604" s="21" t="s">
        <v>144</v>
      </c>
      <c r="K604" s="21" t="s">
        <v>145</v>
      </c>
      <c r="L604" s="21" t="s">
        <v>146</v>
      </c>
      <c r="M604" s="21" t="s">
        <v>146</v>
      </c>
      <c r="N604" s="21" t="s">
        <v>605</v>
      </c>
      <c r="O604" s="20" t="s">
        <v>2177</v>
      </c>
      <c r="P604" s="45">
        <v>45838</v>
      </c>
      <c r="Q604" s="39" t="s">
        <v>2178</v>
      </c>
      <c r="R604" s="19">
        <v>942.95</v>
      </c>
      <c r="S604" s="21">
        <v>0.2</v>
      </c>
      <c r="T604" s="21">
        <v>1131.54</v>
      </c>
      <c r="U604" s="60" t="s">
        <v>429</v>
      </c>
      <c r="V604" s="22">
        <v>45838</v>
      </c>
      <c r="W604" s="54" t="s">
        <v>91</v>
      </c>
      <c r="X604" s="23"/>
      <c r="Y604" s="23" t="s">
        <v>92</v>
      </c>
      <c r="Z604" s="56" t="s">
        <v>1338</v>
      </c>
      <c r="AA604" s="24">
        <v>858295</v>
      </c>
      <c r="AB604" s="19"/>
      <c r="AC604" s="19"/>
      <c r="AD604" s="15" t="str">
        <f ca="1">IF(AND($D604&lt;&gt;"",COUNTIF(OFFSET(UFS!$E$2,MATCH($D604&amp;"",UFS!$A$2:$A$175,0)-1,0,COUNTIF(UFS!$A$2:$A$175,$D604&amp;""),1),M604)&gt;0),"Valide","Invalide")</f>
        <v>Valide</v>
      </c>
      <c r="AH604" s="15" t="str">
        <f t="shared" si="9"/>
        <v>En attente</v>
      </c>
    </row>
    <row r="605" spans="1:34" s="15" customFormat="1" ht="45" hidden="1" customHeight="1" x14ac:dyDescent="0.3">
      <c r="A605" s="42">
        <v>606</v>
      </c>
      <c r="B605" s="19" t="s">
        <v>16</v>
      </c>
      <c r="C605" s="19" t="s">
        <v>11</v>
      </c>
      <c r="D605" s="20" t="s">
        <v>810</v>
      </c>
      <c r="E605" s="20" t="s">
        <v>96</v>
      </c>
      <c r="F605" s="21" t="s">
        <v>80</v>
      </c>
      <c r="G605" s="38" t="s">
        <v>169</v>
      </c>
      <c r="H605" s="39"/>
      <c r="I605" s="39" t="s">
        <v>1746</v>
      </c>
      <c r="J605" s="21" t="s">
        <v>144</v>
      </c>
      <c r="K605" s="21" t="s">
        <v>145</v>
      </c>
      <c r="L605" s="21" t="s">
        <v>146</v>
      </c>
      <c r="M605" s="21" t="s">
        <v>812</v>
      </c>
      <c r="N605" s="21" t="s">
        <v>813</v>
      </c>
      <c r="O605" s="20" t="s">
        <v>2179</v>
      </c>
      <c r="P605" s="45">
        <v>45849</v>
      </c>
      <c r="Q605" s="39" t="s">
        <v>2180</v>
      </c>
      <c r="R605" s="19">
        <v>26132.17</v>
      </c>
      <c r="S605" s="21">
        <v>0.1</v>
      </c>
      <c r="T605" s="21">
        <v>28745.386999999999</v>
      </c>
      <c r="U605" s="44" t="s">
        <v>2181</v>
      </c>
      <c r="V605" s="22">
        <v>45838</v>
      </c>
      <c r="W605" s="54" t="s">
        <v>91</v>
      </c>
      <c r="X605" s="23"/>
      <c r="Y605" s="23" t="s">
        <v>347</v>
      </c>
      <c r="Z605" s="56" t="s">
        <v>2182</v>
      </c>
      <c r="AA605" s="24"/>
      <c r="AB605" s="19"/>
      <c r="AC605" s="19"/>
      <c r="AD605" s="15" t="str">
        <f ca="1">IF(AND($D605&lt;&gt;"",COUNTIF(OFFSET(UFS!$E$2,MATCH($D605&amp;"",UFS!$A$2:$A$175,0)-1,0,COUNTIF(UFS!$A$2:$A$175,$D605&amp;""),1),M605)&gt;0),"Valide","Invalide")</f>
        <v>Valide</v>
      </c>
      <c r="AH605" s="15" t="str">
        <f t="shared" si="9"/>
        <v>En attente</v>
      </c>
    </row>
    <row r="606" spans="1:34" s="15" customFormat="1" ht="45" hidden="1" customHeight="1" x14ac:dyDescent="0.3">
      <c r="A606" s="42">
        <v>607</v>
      </c>
      <c r="B606" s="19" t="s">
        <v>16</v>
      </c>
      <c r="C606" s="19" t="s">
        <v>1</v>
      </c>
      <c r="D606" s="20" t="s">
        <v>911</v>
      </c>
      <c r="E606" s="20" t="s">
        <v>79</v>
      </c>
      <c r="F606" s="21" t="s">
        <v>80</v>
      </c>
      <c r="G606" s="38" t="s">
        <v>182</v>
      </c>
      <c r="H606" s="39" t="s">
        <v>82</v>
      </c>
      <c r="I606" s="39" t="s">
        <v>83</v>
      </c>
      <c r="J606" s="21" t="s">
        <v>144</v>
      </c>
      <c r="K606" s="21" t="s">
        <v>145</v>
      </c>
      <c r="L606" s="21" t="s">
        <v>270</v>
      </c>
      <c r="M606" s="21" t="s">
        <v>912</v>
      </c>
      <c r="N606" s="21" t="s">
        <v>102</v>
      </c>
      <c r="O606" s="20" t="s">
        <v>2183</v>
      </c>
      <c r="P606" s="45">
        <v>45838</v>
      </c>
      <c r="Q606" s="39" t="s">
        <v>2184</v>
      </c>
      <c r="R606" s="19">
        <v>1646.77</v>
      </c>
      <c r="S606" s="21">
        <v>0.1</v>
      </c>
      <c r="T606" s="21">
        <v>1811.4469999999999</v>
      </c>
      <c r="U606" s="60" t="s">
        <v>2185</v>
      </c>
      <c r="V606" s="22">
        <v>45838</v>
      </c>
      <c r="W606" s="54" t="s">
        <v>91</v>
      </c>
      <c r="X606" s="23"/>
      <c r="Y606" s="23" t="s">
        <v>92</v>
      </c>
      <c r="Z606" s="56" t="s">
        <v>1338</v>
      </c>
      <c r="AA606" s="24">
        <v>856035</v>
      </c>
      <c r="AB606" s="19"/>
      <c r="AC606" s="46" t="s">
        <v>94</v>
      </c>
      <c r="AD606" s="15" t="str">
        <f ca="1">IF(AND($D606&lt;&gt;"",COUNTIF(OFFSET(UFS!$E$2,MATCH($D606&amp;"",UFS!$A$2:$A$175,0)-1,0,COUNTIF(UFS!$A$2:$A$175,$D606&amp;""),1),M606)&gt;0),"Valide","Invalide")</f>
        <v>Valide</v>
      </c>
      <c r="AH606" s="15" t="str">
        <f t="shared" si="9"/>
        <v>En attente</v>
      </c>
    </row>
    <row r="607" spans="1:34" s="15" customFormat="1" ht="45" hidden="1" customHeight="1" x14ac:dyDescent="0.3">
      <c r="A607" s="42">
        <v>608</v>
      </c>
      <c r="B607" s="19" t="s">
        <v>709</v>
      </c>
      <c r="C607" s="19" t="s">
        <v>23</v>
      </c>
      <c r="D607" s="20" t="s">
        <v>1899</v>
      </c>
      <c r="E607" s="20" t="s">
        <v>79</v>
      </c>
      <c r="F607" s="21" t="s">
        <v>80</v>
      </c>
      <c r="G607" s="38" t="s">
        <v>241</v>
      </c>
      <c r="H607" s="39" t="s">
        <v>643</v>
      </c>
      <c r="I607" s="39" t="s">
        <v>644</v>
      </c>
      <c r="J607" s="21" t="s">
        <v>144</v>
      </c>
      <c r="K607" s="21" t="s">
        <v>1298</v>
      </c>
      <c r="L607" s="21" t="s">
        <v>192</v>
      </c>
      <c r="M607" s="21" t="s">
        <v>2186</v>
      </c>
      <c r="N607" s="21" t="s">
        <v>102</v>
      </c>
      <c r="O607" s="20" t="s">
        <v>2187</v>
      </c>
      <c r="P607" s="45">
        <v>45838</v>
      </c>
      <c r="Q607" s="39" t="s">
        <v>2188</v>
      </c>
      <c r="R607" s="19">
        <v>126.6</v>
      </c>
      <c r="S607" s="21">
        <v>0.1</v>
      </c>
      <c r="T607" s="21">
        <v>139.26</v>
      </c>
      <c r="U607" s="60" t="s">
        <v>714</v>
      </c>
      <c r="V607" s="22">
        <v>45839</v>
      </c>
      <c r="W607" s="54" t="s">
        <v>91</v>
      </c>
      <c r="X607" s="23"/>
      <c r="Y607" s="23" t="s">
        <v>92</v>
      </c>
      <c r="Z607" s="56" t="s">
        <v>1338</v>
      </c>
      <c r="AA607" s="24">
        <v>856090</v>
      </c>
      <c r="AB607" s="19"/>
      <c r="AC607" s="19"/>
      <c r="AD607" s="15" t="str">
        <f ca="1">IF(AND($D607&lt;&gt;"",COUNTIF(OFFSET(UFS!$E$2,MATCH($D607&amp;"",UFS!$A$2:$A$175,0)-1,0,COUNTIF(UFS!$A$2:$A$175,$D607&amp;""),1),M607)&gt;0),"Valide","Invalide")</f>
        <v>Invalide</v>
      </c>
      <c r="AH607" s="15" t="str">
        <f t="shared" si="9"/>
        <v>En attente</v>
      </c>
    </row>
    <row r="608" spans="1:34" s="15" customFormat="1" ht="45" hidden="1" customHeight="1" x14ac:dyDescent="0.3">
      <c r="A608" s="42">
        <v>609</v>
      </c>
      <c r="B608" s="19" t="s">
        <v>709</v>
      </c>
      <c r="C608" s="19" t="s">
        <v>23</v>
      </c>
      <c r="D608" s="20" t="s">
        <v>134</v>
      </c>
      <c r="E608" s="20" t="s">
        <v>79</v>
      </c>
      <c r="F608" s="21" t="s">
        <v>80</v>
      </c>
      <c r="G608" s="38" t="s">
        <v>241</v>
      </c>
      <c r="H608" s="39" t="s">
        <v>643</v>
      </c>
      <c r="I608" s="39" t="s">
        <v>644</v>
      </c>
      <c r="J608" s="21" t="s">
        <v>124</v>
      </c>
      <c r="K608" s="21" t="s">
        <v>2189</v>
      </c>
      <c r="L608" s="21" t="s">
        <v>135</v>
      </c>
      <c r="M608" s="21" t="s">
        <v>136</v>
      </c>
      <c r="N608" s="21" t="s">
        <v>711</v>
      </c>
      <c r="O608" s="20" t="s">
        <v>2190</v>
      </c>
      <c r="P608" s="45">
        <v>45832</v>
      </c>
      <c r="Q608" s="39" t="s">
        <v>2191</v>
      </c>
      <c r="R608" s="19">
        <v>425.75</v>
      </c>
      <c r="S608" s="21">
        <v>0.1</v>
      </c>
      <c r="T608" s="21">
        <v>468.33</v>
      </c>
      <c r="U608" s="60" t="s">
        <v>714</v>
      </c>
      <c r="V608" s="22">
        <v>45839</v>
      </c>
      <c r="W608" s="54" t="s">
        <v>91</v>
      </c>
      <c r="X608" s="23"/>
      <c r="Y608" s="23" t="s">
        <v>92</v>
      </c>
      <c r="Z608" s="56" t="s">
        <v>1338</v>
      </c>
      <c r="AA608" s="24">
        <v>856093</v>
      </c>
      <c r="AB608" s="19"/>
      <c r="AC608" s="19"/>
      <c r="AD608" s="15" t="str">
        <f ca="1">IF(AND($D608&lt;&gt;"",COUNTIF(OFFSET(UFS!$E$2,MATCH($D608&amp;"",UFS!$A$2:$A$175,0)-1,0,COUNTIF(UFS!$A$2:$A$175,$D608&amp;""),1),M608)&gt;0),"Valide","Invalide")</f>
        <v>Valide</v>
      </c>
      <c r="AH608" s="15" t="str">
        <f t="shared" si="9"/>
        <v>En attente</v>
      </c>
    </row>
    <row r="609" spans="1:34" s="15" customFormat="1" ht="45" hidden="1" customHeight="1" x14ac:dyDescent="0.3">
      <c r="A609" s="42">
        <v>610</v>
      </c>
      <c r="B609" s="19" t="s">
        <v>709</v>
      </c>
      <c r="C609" s="19" t="s">
        <v>23</v>
      </c>
      <c r="D609" s="20" t="s">
        <v>181</v>
      </c>
      <c r="E609" s="20" t="s">
        <v>79</v>
      </c>
      <c r="F609" s="21" t="s">
        <v>80</v>
      </c>
      <c r="G609" s="38" t="s">
        <v>241</v>
      </c>
      <c r="H609" s="39" t="s">
        <v>643</v>
      </c>
      <c r="I609" s="39" t="s">
        <v>644</v>
      </c>
      <c r="J609" s="21" t="s">
        <v>183</v>
      </c>
      <c r="K609" s="21" t="s">
        <v>184</v>
      </c>
      <c r="L609" s="21" t="s">
        <v>711</v>
      </c>
      <c r="M609" s="21" t="s">
        <v>184</v>
      </c>
      <c r="N609" s="21" t="s">
        <v>2192</v>
      </c>
      <c r="O609" s="20" t="s">
        <v>2193</v>
      </c>
      <c r="P609" s="45">
        <v>45835</v>
      </c>
      <c r="Q609" s="39" t="s">
        <v>2194</v>
      </c>
      <c r="R609" s="19">
        <v>824.12</v>
      </c>
      <c r="S609" s="21">
        <v>0.1</v>
      </c>
      <c r="T609" s="21">
        <v>906.51</v>
      </c>
      <c r="U609" s="60" t="s">
        <v>714</v>
      </c>
      <c r="V609" s="22">
        <v>45839</v>
      </c>
      <c r="W609" s="54" t="s">
        <v>91</v>
      </c>
      <c r="X609" s="23"/>
      <c r="Y609" s="23" t="s">
        <v>92</v>
      </c>
      <c r="Z609" s="56" t="s">
        <v>1338</v>
      </c>
      <c r="AA609" s="24">
        <v>856099</v>
      </c>
      <c r="AB609" s="19"/>
      <c r="AC609" s="19"/>
      <c r="AD609" s="15" t="str">
        <f ca="1">IF(AND($D609&lt;&gt;"",COUNTIF(OFFSET(UFS!$E$2,MATCH($D609&amp;"",UFS!$A$2:$A$175,0)-1,0,COUNTIF(UFS!$A$2:$A$175,$D609&amp;""),1),M609)&gt;0),"Valide","Invalide")</f>
        <v>Invalide</v>
      </c>
      <c r="AH609" s="15" t="str">
        <f t="shared" si="9"/>
        <v>En attente</v>
      </c>
    </row>
    <row r="610" spans="1:34" s="15" customFormat="1" ht="45" hidden="1" customHeight="1" x14ac:dyDescent="0.3">
      <c r="A610" s="42">
        <v>611</v>
      </c>
      <c r="B610" s="19" t="s">
        <v>16</v>
      </c>
      <c r="C610" s="19" t="s">
        <v>28</v>
      </c>
      <c r="D610" s="20" t="s">
        <v>810</v>
      </c>
      <c r="E610" s="20" t="s">
        <v>96</v>
      </c>
      <c r="F610" s="21" t="s">
        <v>80</v>
      </c>
      <c r="G610" s="38" t="s">
        <v>294</v>
      </c>
      <c r="H610" s="39"/>
      <c r="I610" s="39" t="s">
        <v>1746</v>
      </c>
      <c r="J610" s="21" t="s">
        <v>144</v>
      </c>
      <c r="K610" s="21" t="s">
        <v>145</v>
      </c>
      <c r="L610" s="21" t="s">
        <v>146</v>
      </c>
      <c r="M610" s="21" t="s">
        <v>812</v>
      </c>
      <c r="N610" s="21" t="s">
        <v>813</v>
      </c>
      <c r="O610" s="20" t="s">
        <v>2195</v>
      </c>
      <c r="P610" s="45">
        <v>45813</v>
      </c>
      <c r="Q610" s="39" t="s">
        <v>2196</v>
      </c>
      <c r="R610" s="19">
        <v>10954.25</v>
      </c>
      <c r="S610" s="21">
        <v>0.1</v>
      </c>
      <c r="T610" s="21">
        <v>12049.674999999999</v>
      </c>
      <c r="U610" s="60" t="s">
        <v>2197</v>
      </c>
      <c r="V610" s="22">
        <v>45839</v>
      </c>
      <c r="W610" s="54" t="s">
        <v>91</v>
      </c>
      <c r="X610" s="23"/>
      <c r="Y610" s="23" t="s">
        <v>92</v>
      </c>
      <c r="Z610" s="56" t="s">
        <v>1338</v>
      </c>
      <c r="AA610" s="24">
        <v>862903</v>
      </c>
      <c r="AB610" s="19"/>
      <c r="AC610" s="46" t="s">
        <v>94</v>
      </c>
      <c r="AD610" s="15" t="str">
        <f ca="1">IF(AND($D610&lt;&gt;"",COUNTIF(OFFSET(UFS!$E$2,MATCH($D610&amp;"",UFS!$A$2:$A$175,0)-1,0,COUNTIF(UFS!$A$2:$A$175,$D610&amp;""),1),M610)&gt;0),"Valide","Invalide")</f>
        <v>Valide</v>
      </c>
      <c r="AH610" s="15" t="str">
        <f t="shared" si="9"/>
        <v>En attente</v>
      </c>
    </row>
    <row r="611" spans="1:34" s="15" customFormat="1" ht="45" hidden="1" customHeight="1" x14ac:dyDescent="0.3">
      <c r="A611" s="42">
        <v>612</v>
      </c>
      <c r="B611" s="19" t="s">
        <v>16</v>
      </c>
      <c r="C611" s="19" t="s">
        <v>28</v>
      </c>
      <c r="D611" s="20" t="s">
        <v>810</v>
      </c>
      <c r="E611" s="20" t="s">
        <v>96</v>
      </c>
      <c r="F611" s="21" t="s">
        <v>80</v>
      </c>
      <c r="G611" s="38" t="s">
        <v>294</v>
      </c>
      <c r="H611" s="39"/>
      <c r="I611" s="39" t="s">
        <v>1746</v>
      </c>
      <c r="J611" s="21" t="s">
        <v>144</v>
      </c>
      <c r="K611" s="21" t="s">
        <v>145</v>
      </c>
      <c r="L611" s="21" t="s">
        <v>146</v>
      </c>
      <c r="M611" s="21" t="s">
        <v>812</v>
      </c>
      <c r="N611" s="21" t="s">
        <v>813</v>
      </c>
      <c r="O611" s="20" t="s">
        <v>2198</v>
      </c>
      <c r="P611" s="45" t="s">
        <v>2199</v>
      </c>
      <c r="Q611" s="39" t="s">
        <v>2200</v>
      </c>
      <c r="R611" s="19">
        <v>10030.76</v>
      </c>
      <c r="S611" s="21">
        <v>0.1</v>
      </c>
      <c r="T611" s="21">
        <v>11033.836000000001</v>
      </c>
      <c r="U611" s="60" t="s">
        <v>2197</v>
      </c>
      <c r="V611" s="22">
        <v>45839</v>
      </c>
      <c r="W611" s="54"/>
      <c r="X611" s="23"/>
      <c r="Y611" s="23" t="s">
        <v>92</v>
      </c>
      <c r="Z611" s="56" t="s">
        <v>1338</v>
      </c>
      <c r="AA611" s="24">
        <v>859806</v>
      </c>
      <c r="AB611" s="19"/>
      <c r="AC611" s="19"/>
      <c r="AD611" s="15" t="str">
        <f ca="1">IF(AND($D611&lt;&gt;"",COUNTIF(OFFSET(UFS!$E$2,MATCH($D611&amp;"",UFS!$A$2:$A$175,0)-1,0,COUNTIF(UFS!$A$2:$A$175,$D611&amp;""),1),M611)&gt;0),"Valide","Invalide")</f>
        <v>Valide</v>
      </c>
      <c r="AH611" s="15" t="str">
        <f t="shared" si="9"/>
        <v>En attente</v>
      </c>
    </row>
    <row r="612" spans="1:34" s="15" customFormat="1" ht="45" hidden="1" customHeight="1" x14ac:dyDescent="0.3">
      <c r="A612" s="42">
        <v>613</v>
      </c>
      <c r="B612" s="19" t="s">
        <v>24</v>
      </c>
      <c r="C612" s="19" t="s">
        <v>3</v>
      </c>
      <c r="D612" s="20" t="s">
        <v>460</v>
      </c>
      <c r="E612" s="20" t="s">
        <v>79</v>
      </c>
      <c r="F612" s="21" t="s">
        <v>80</v>
      </c>
      <c r="G612" s="38" t="s">
        <v>163</v>
      </c>
      <c r="H612" s="39"/>
      <c r="I612" s="39"/>
      <c r="J612" s="21" t="s">
        <v>461</v>
      </c>
      <c r="K612" s="21" t="s">
        <v>145</v>
      </c>
      <c r="L612" s="21" t="s">
        <v>120</v>
      </c>
      <c r="M612" s="21" t="s">
        <v>343</v>
      </c>
      <c r="N612" s="21" t="s">
        <v>87</v>
      </c>
      <c r="O612" s="20" t="s">
        <v>2201</v>
      </c>
      <c r="P612" s="45">
        <v>45840</v>
      </c>
      <c r="Q612" s="39" t="s">
        <v>2202</v>
      </c>
      <c r="R612" s="19">
        <v>1220</v>
      </c>
      <c r="S612" s="21">
        <v>0.2</v>
      </c>
      <c r="T612" s="21">
        <v>1464</v>
      </c>
      <c r="U612" s="60" t="s">
        <v>2203</v>
      </c>
      <c r="V612" s="22">
        <v>45840</v>
      </c>
      <c r="W612" s="54" t="s">
        <v>91</v>
      </c>
      <c r="X612" s="23"/>
      <c r="Y612" s="23" t="s">
        <v>92</v>
      </c>
      <c r="Z612" s="56" t="s">
        <v>1338</v>
      </c>
      <c r="AA612" s="24">
        <v>858762</v>
      </c>
      <c r="AB612" s="47">
        <v>45867</v>
      </c>
      <c r="AC612" s="46" t="s">
        <v>94</v>
      </c>
      <c r="AD612" s="15" t="str">
        <f ca="1">IF(AND($D612&lt;&gt;"",COUNTIF(OFFSET(UFS!$E$2,MATCH($D612&amp;"",UFS!$A$2:$A$175,0)-1,0,COUNTIF(UFS!$A$2:$A$175,$D612&amp;""),1),M612)&gt;0),"Valide","Invalide")</f>
        <v>Valide</v>
      </c>
      <c r="AH612" s="15" t="str">
        <f t="shared" si="9"/>
        <v>En attente</v>
      </c>
    </row>
    <row r="613" spans="1:34" s="15" customFormat="1" ht="45" hidden="1" customHeight="1" x14ac:dyDescent="0.3">
      <c r="A613" s="42">
        <v>614</v>
      </c>
      <c r="B613" s="19" t="s">
        <v>0</v>
      </c>
      <c r="C613" s="19" t="s">
        <v>1</v>
      </c>
      <c r="D613" s="20" t="s">
        <v>2204</v>
      </c>
      <c r="E613" s="20" t="s">
        <v>79</v>
      </c>
      <c r="F613" s="21" t="s">
        <v>80</v>
      </c>
      <c r="G613" s="38" t="s">
        <v>182</v>
      </c>
      <c r="H613" s="39" t="s">
        <v>82</v>
      </c>
      <c r="I613" s="39" t="s">
        <v>83</v>
      </c>
      <c r="J613" s="21" t="s">
        <v>144</v>
      </c>
      <c r="K613" s="21" t="s">
        <v>145</v>
      </c>
      <c r="L613" s="21" t="s">
        <v>499</v>
      </c>
      <c r="M613" s="21" t="s">
        <v>2205</v>
      </c>
      <c r="N613" s="21" t="s">
        <v>2206</v>
      </c>
      <c r="O613" s="20" t="s">
        <v>2207</v>
      </c>
      <c r="P613" s="45">
        <v>45698</v>
      </c>
      <c r="Q613" s="39" t="s">
        <v>2208</v>
      </c>
      <c r="R613" s="19">
        <v>5399.68</v>
      </c>
      <c r="S613" s="21">
        <v>0.2</v>
      </c>
      <c r="T613" s="21">
        <v>6479.616</v>
      </c>
      <c r="U613" s="44" t="s">
        <v>2209</v>
      </c>
      <c r="V613" s="22">
        <v>45840</v>
      </c>
      <c r="W613" s="54" t="s">
        <v>91</v>
      </c>
      <c r="X613" s="23"/>
      <c r="Y613" s="23" t="s">
        <v>376</v>
      </c>
      <c r="Z613" s="56" t="s">
        <v>2210</v>
      </c>
      <c r="AA613" s="24"/>
      <c r="AB613" s="45"/>
      <c r="AC613" s="19"/>
      <c r="AD613" s="15" t="str">
        <f ca="1">IF(AND($D613&lt;&gt;"",COUNTIF(OFFSET(UFS!$E$2,MATCH($D613&amp;"",UFS!$A$2:$A$175,0)-1,0,COUNTIF(UFS!$A$2:$A$175,$D613&amp;""),1),M613)&gt;0),"Valide","Invalide")</f>
        <v>Valide</v>
      </c>
      <c r="AH613" s="15" t="str">
        <f t="shared" si="9"/>
        <v>En attente</v>
      </c>
    </row>
    <row r="614" spans="1:34" s="15" customFormat="1" ht="68.25" hidden="1" customHeight="1" x14ac:dyDescent="0.3">
      <c r="A614" s="42">
        <v>615</v>
      </c>
      <c r="B614" s="19" t="s">
        <v>0</v>
      </c>
      <c r="C614" s="19" t="s">
        <v>11</v>
      </c>
      <c r="D614" s="20" t="s">
        <v>2211</v>
      </c>
      <c r="E614" s="20" t="s">
        <v>79</v>
      </c>
      <c r="F614" s="21" t="s">
        <v>80</v>
      </c>
      <c r="G614" s="38" t="s">
        <v>182</v>
      </c>
      <c r="H614" s="39" t="s">
        <v>82</v>
      </c>
      <c r="I614" s="39" t="s">
        <v>83</v>
      </c>
      <c r="J614" s="21" t="s">
        <v>84</v>
      </c>
      <c r="K614" s="21" t="s">
        <v>113</v>
      </c>
      <c r="L614" s="21" t="s">
        <v>120</v>
      </c>
      <c r="M614" s="21" t="s">
        <v>115</v>
      </c>
      <c r="N614" s="21" t="s">
        <v>271</v>
      </c>
      <c r="O614" s="20" t="s">
        <v>2212</v>
      </c>
      <c r="P614" s="45">
        <v>45838</v>
      </c>
      <c r="Q614" s="39" t="s">
        <v>2213</v>
      </c>
      <c r="R614" s="19">
        <v>486.46</v>
      </c>
      <c r="S614" s="21">
        <v>0.2</v>
      </c>
      <c r="T614" s="21">
        <v>583.75199999999995</v>
      </c>
      <c r="U614" s="44" t="s">
        <v>2214</v>
      </c>
      <c r="V614" s="22">
        <v>45840</v>
      </c>
      <c r="W614" s="54" t="s">
        <v>91</v>
      </c>
      <c r="X614" s="23"/>
      <c r="Y614" s="23" t="s">
        <v>92</v>
      </c>
      <c r="Z614" s="56" t="s">
        <v>2215</v>
      </c>
      <c r="AA614" s="24">
        <v>856148</v>
      </c>
      <c r="AB614" s="19"/>
      <c r="AC614" s="46" t="s">
        <v>94</v>
      </c>
      <c r="AD614" s="15" t="str">
        <f ca="1">IF(AND($D614&lt;&gt;"",COUNTIF(OFFSET(UFS!$E$2,MATCH($D614&amp;"",UFS!$A$2:$A$175,0)-1,0,COUNTIF(UFS!$A$2:$A$175,$D614&amp;""),1),M614)&gt;0),"Valide","Invalide")</f>
        <v>Valide</v>
      </c>
      <c r="AH614" s="15" t="str">
        <f t="shared" si="9"/>
        <v>En attente</v>
      </c>
    </row>
    <row r="615" spans="1:34" s="15" customFormat="1" ht="45" hidden="1" customHeight="1" x14ac:dyDescent="0.3">
      <c r="A615" s="42">
        <v>616</v>
      </c>
      <c r="B615" s="19" t="s">
        <v>26</v>
      </c>
      <c r="C615" s="19" t="s">
        <v>28</v>
      </c>
      <c r="D615" s="20" t="s">
        <v>406</v>
      </c>
      <c r="E615" s="20" t="s">
        <v>79</v>
      </c>
      <c r="F615" s="21" t="s">
        <v>80</v>
      </c>
      <c r="G615" s="38" t="s">
        <v>182</v>
      </c>
      <c r="H615" s="39" t="s">
        <v>82</v>
      </c>
      <c r="I615" s="39" t="s">
        <v>83</v>
      </c>
      <c r="J615" s="21" t="s">
        <v>407</v>
      </c>
      <c r="K615" s="21" t="s">
        <v>108</v>
      </c>
      <c r="L615" s="21" t="s">
        <v>100</v>
      </c>
      <c r="M615" s="21" t="s">
        <v>108</v>
      </c>
      <c r="N615" s="21" t="s">
        <v>408</v>
      </c>
      <c r="O615" s="20" t="s">
        <v>2216</v>
      </c>
      <c r="P615" s="45">
        <v>45812</v>
      </c>
      <c r="Q615" s="39" t="s">
        <v>2217</v>
      </c>
      <c r="R615" s="19">
        <v>5407.68</v>
      </c>
      <c r="S615" s="21">
        <v>0.2</v>
      </c>
      <c r="T615" s="21">
        <v>6489.2160000000003</v>
      </c>
      <c r="U615" s="44" t="s">
        <v>2218</v>
      </c>
      <c r="V615" s="22">
        <v>45840</v>
      </c>
      <c r="W615" s="54" t="s">
        <v>91</v>
      </c>
      <c r="X615" s="23"/>
      <c r="Y615" s="23" t="s">
        <v>92</v>
      </c>
      <c r="Z615" s="56" t="s">
        <v>928</v>
      </c>
      <c r="AA615" s="24">
        <v>856162</v>
      </c>
      <c r="AB615" s="19"/>
      <c r="AC615" s="19"/>
      <c r="AD615" s="15" t="str">
        <f ca="1">IF(AND($D615&lt;&gt;"",COUNTIF(OFFSET(UFS!$E$2,MATCH($D615&amp;"",UFS!$A$2:$A$175,0)-1,0,COUNTIF(UFS!$A$2:$A$175,$D615&amp;""),1),M615)&gt;0),"Valide","Invalide")</f>
        <v>Valide</v>
      </c>
      <c r="AH615" s="15" t="str">
        <f t="shared" si="9"/>
        <v>En attente</v>
      </c>
    </row>
    <row r="616" spans="1:34" s="15" customFormat="1" ht="45" hidden="1" customHeight="1" x14ac:dyDescent="0.3">
      <c r="A616" s="42">
        <v>617</v>
      </c>
      <c r="B616" s="19" t="s">
        <v>16</v>
      </c>
      <c r="C616" s="19" t="s">
        <v>3</v>
      </c>
      <c r="D616" s="20" t="s">
        <v>810</v>
      </c>
      <c r="E616" s="20" t="s">
        <v>79</v>
      </c>
      <c r="F616" s="21" t="s">
        <v>80</v>
      </c>
      <c r="G616" s="38" t="s">
        <v>163</v>
      </c>
      <c r="H616" s="39"/>
      <c r="I616" s="39"/>
      <c r="J616" s="21" t="s">
        <v>144</v>
      </c>
      <c r="K616" s="21" t="s">
        <v>145</v>
      </c>
      <c r="L616" s="21" t="s">
        <v>146</v>
      </c>
      <c r="M616" s="21" t="s">
        <v>812</v>
      </c>
      <c r="N616" s="21" t="s">
        <v>813</v>
      </c>
      <c r="O616" s="20" t="s">
        <v>2219</v>
      </c>
      <c r="P616" s="45">
        <v>45839</v>
      </c>
      <c r="Q616" s="44" t="s">
        <v>2220</v>
      </c>
      <c r="R616" s="19">
        <v>1150</v>
      </c>
      <c r="S616" s="21">
        <v>0.1</v>
      </c>
      <c r="T616" s="21">
        <v>1265</v>
      </c>
      <c r="U616" s="44" t="s">
        <v>2221</v>
      </c>
      <c r="V616" s="22">
        <v>45840</v>
      </c>
      <c r="W616" s="54" t="s">
        <v>91</v>
      </c>
      <c r="X616" s="23"/>
      <c r="Y616" s="23" t="s">
        <v>92</v>
      </c>
      <c r="Z616" s="56" t="s">
        <v>928</v>
      </c>
      <c r="AA616" s="24">
        <v>856923</v>
      </c>
      <c r="AB616" s="19"/>
      <c r="AC616" s="46" t="s">
        <v>94</v>
      </c>
      <c r="AD616" s="15" t="str">
        <f ca="1">IF(AND($D616&lt;&gt;"",COUNTIF(OFFSET(UFS!$E$2,MATCH($D616&amp;"",UFS!$A$2:$A$175,0)-1,0,COUNTIF(UFS!$A$2:$A$175,$D616&amp;""),1),M616)&gt;0),"Valide","Invalide")</f>
        <v>Valide</v>
      </c>
      <c r="AH616" s="15" t="str">
        <f t="shared" si="9"/>
        <v>En attente</v>
      </c>
    </row>
    <row r="617" spans="1:34" s="15" customFormat="1" ht="45" hidden="1" customHeight="1" x14ac:dyDescent="0.3">
      <c r="A617" s="42">
        <v>618</v>
      </c>
      <c r="B617" s="19" t="s">
        <v>16</v>
      </c>
      <c r="C617" s="19" t="s">
        <v>5</v>
      </c>
      <c r="D617" s="20" t="s">
        <v>810</v>
      </c>
      <c r="E617" s="20" t="s">
        <v>96</v>
      </c>
      <c r="F617" s="21" t="s">
        <v>80</v>
      </c>
      <c r="G617" s="38" t="s">
        <v>288</v>
      </c>
      <c r="H617" s="39"/>
      <c r="I617" s="39" t="s">
        <v>1746</v>
      </c>
      <c r="J617" s="21" t="s">
        <v>144</v>
      </c>
      <c r="K617" s="21" t="s">
        <v>145</v>
      </c>
      <c r="L617" s="21" t="s">
        <v>146</v>
      </c>
      <c r="M617" s="21" t="s">
        <v>812</v>
      </c>
      <c r="N617" s="21" t="s">
        <v>813</v>
      </c>
      <c r="O617" s="20" t="s">
        <v>2222</v>
      </c>
      <c r="P617" s="45">
        <v>45814</v>
      </c>
      <c r="Q617" s="39" t="s">
        <v>2223</v>
      </c>
      <c r="R617" s="19">
        <v>8258.36</v>
      </c>
      <c r="S617" s="21">
        <v>0.1</v>
      </c>
      <c r="T617" s="21">
        <v>9084.1959999999999</v>
      </c>
      <c r="U617" s="44" t="s">
        <v>2224</v>
      </c>
      <c r="V617" s="22">
        <v>45840</v>
      </c>
      <c r="W617" s="54" t="s">
        <v>91</v>
      </c>
      <c r="X617" s="23"/>
      <c r="Y617" s="23" t="s">
        <v>92</v>
      </c>
      <c r="Z617" s="56" t="s">
        <v>1338</v>
      </c>
      <c r="AA617" s="24">
        <v>859808</v>
      </c>
      <c r="AB617" s="19"/>
      <c r="AC617" s="19"/>
      <c r="AD617" s="15" t="str">
        <f ca="1">IF(AND($D617&lt;&gt;"",COUNTIF(OFFSET(UFS!$E$2,MATCH($D617&amp;"",UFS!$A$2:$A$175,0)-1,0,COUNTIF(UFS!$A$2:$A$175,$D617&amp;""),1),M617)&gt;0),"Valide","Invalide")</f>
        <v>Valide</v>
      </c>
      <c r="AH617" s="15" t="str">
        <f t="shared" si="9"/>
        <v>En attente</v>
      </c>
    </row>
    <row r="618" spans="1:34" s="15" customFormat="1" ht="45" hidden="1" customHeight="1" x14ac:dyDescent="0.3">
      <c r="A618" s="42">
        <v>619</v>
      </c>
      <c r="B618" s="19" t="s">
        <v>709</v>
      </c>
      <c r="C618" s="19" t="s">
        <v>2225</v>
      </c>
      <c r="D618" s="20" t="s">
        <v>130</v>
      </c>
      <c r="E618" s="20" t="s">
        <v>79</v>
      </c>
      <c r="F618" s="21" t="s">
        <v>80</v>
      </c>
      <c r="G618" s="38" t="s">
        <v>241</v>
      </c>
      <c r="H618" s="39" t="s">
        <v>643</v>
      </c>
      <c r="I618" s="39" t="s">
        <v>644</v>
      </c>
      <c r="J618" s="21" t="s">
        <v>124</v>
      </c>
      <c r="K618" s="21" t="s">
        <v>2189</v>
      </c>
      <c r="L618" s="21" t="s">
        <v>711</v>
      </c>
      <c r="M618" s="21" t="s">
        <v>131</v>
      </c>
      <c r="N618" s="21" t="s">
        <v>102</v>
      </c>
      <c r="O618" s="20" t="s">
        <v>2226</v>
      </c>
      <c r="P618" s="45">
        <v>45840</v>
      </c>
      <c r="Q618" s="39" t="s">
        <v>2227</v>
      </c>
      <c r="R618" s="19">
        <v>1050</v>
      </c>
      <c r="S618" s="21">
        <v>0.2</v>
      </c>
      <c r="T618" s="21">
        <v>1260</v>
      </c>
      <c r="U618" s="60" t="s">
        <v>714</v>
      </c>
      <c r="V618" s="22">
        <v>45840</v>
      </c>
      <c r="W618" s="54" t="s">
        <v>91</v>
      </c>
      <c r="X618" s="23"/>
      <c r="Y618" s="23" t="s">
        <v>92</v>
      </c>
      <c r="Z618" s="56" t="s">
        <v>928</v>
      </c>
      <c r="AA618" s="24">
        <v>856102</v>
      </c>
      <c r="AB618" s="19"/>
      <c r="AC618" s="19"/>
      <c r="AD618" s="15" t="str">
        <f ca="1">IF(AND($D618&lt;&gt;"",COUNTIF(OFFSET(UFS!$E$2,MATCH($D618&amp;"",UFS!$A$2:$A$175,0)-1,0,COUNTIF(UFS!$A$2:$A$175,$D618&amp;""),1),M618)&gt;0),"Valide","Invalide")</f>
        <v>Valide</v>
      </c>
      <c r="AH618" s="15" t="str">
        <f t="shared" si="9"/>
        <v>En attente</v>
      </c>
    </row>
    <row r="619" spans="1:34" s="15" customFormat="1" ht="45" hidden="1" customHeight="1" x14ac:dyDescent="0.3">
      <c r="A619" s="42">
        <v>620</v>
      </c>
      <c r="B619" s="19" t="s">
        <v>4</v>
      </c>
      <c r="C619" s="19" t="s">
        <v>27</v>
      </c>
      <c r="D619" s="20" t="s">
        <v>260</v>
      </c>
      <c r="E619" s="20" t="s">
        <v>79</v>
      </c>
      <c r="F619" s="21" t="s">
        <v>80</v>
      </c>
      <c r="G619" s="38" t="s">
        <v>241</v>
      </c>
      <c r="H619" s="39" t="s">
        <v>381</v>
      </c>
      <c r="I619" s="39" t="s">
        <v>382</v>
      </c>
      <c r="J619" s="21" t="s">
        <v>84</v>
      </c>
      <c r="K619" s="21" t="s">
        <v>113</v>
      </c>
      <c r="L619" s="21" t="s">
        <v>86</v>
      </c>
      <c r="M619" s="21" t="s">
        <v>109</v>
      </c>
      <c r="N619" s="21" t="s">
        <v>109</v>
      </c>
      <c r="O619" s="20" t="s">
        <v>2228</v>
      </c>
      <c r="P619" s="45">
        <v>45839</v>
      </c>
      <c r="Q619" s="104" t="s">
        <v>2229</v>
      </c>
      <c r="R619" s="19">
        <v>390.85</v>
      </c>
      <c r="S619" s="21">
        <v>0.1</v>
      </c>
      <c r="T619" s="21">
        <v>429.935</v>
      </c>
      <c r="U619" s="44" t="s">
        <v>385</v>
      </c>
      <c r="V619" s="22">
        <v>45841</v>
      </c>
      <c r="W619" s="54" t="s">
        <v>91</v>
      </c>
      <c r="X619" s="23"/>
      <c r="Y619" s="23" t="s">
        <v>92</v>
      </c>
      <c r="Z619" s="56" t="s">
        <v>2230</v>
      </c>
      <c r="AA619" s="24">
        <v>856210</v>
      </c>
      <c r="AB619" s="19"/>
      <c r="AC619" s="19"/>
      <c r="AD619" s="15" t="str">
        <f ca="1">IF(AND($D619&lt;&gt;"",COUNTIF(OFFSET(UFS!$E$2,MATCH($D619&amp;"",UFS!$A$2:$A$175,0)-1,0,COUNTIF(UFS!$A$2:$A$175,$D619&amp;""),1),M619)&gt;0),"Valide","Invalide")</f>
        <v>Valide</v>
      </c>
      <c r="AH619" s="15" t="str">
        <f t="shared" si="9"/>
        <v>En attente</v>
      </c>
    </row>
    <row r="620" spans="1:34" s="15" customFormat="1" ht="45" hidden="1" customHeight="1" x14ac:dyDescent="0.3">
      <c r="A620" s="42">
        <v>621</v>
      </c>
      <c r="B620" s="19" t="s">
        <v>4</v>
      </c>
      <c r="C620" s="19" t="s">
        <v>27</v>
      </c>
      <c r="D620" s="20" t="s">
        <v>2033</v>
      </c>
      <c r="E620" s="20" t="s">
        <v>79</v>
      </c>
      <c r="F620" s="21" t="s">
        <v>80</v>
      </c>
      <c r="G620" s="38" t="s">
        <v>241</v>
      </c>
      <c r="H620" s="39" t="s">
        <v>381</v>
      </c>
      <c r="I620" s="39" t="s">
        <v>382</v>
      </c>
      <c r="J620" s="21" t="s">
        <v>144</v>
      </c>
      <c r="K620" s="21" t="s">
        <v>145</v>
      </c>
      <c r="L620" s="21" t="s">
        <v>254</v>
      </c>
      <c r="M620" s="21" t="s">
        <v>255</v>
      </c>
      <c r="N620" s="21" t="s">
        <v>2035</v>
      </c>
      <c r="O620" s="20" t="s">
        <v>2231</v>
      </c>
      <c r="P620" s="45">
        <v>45841</v>
      </c>
      <c r="Q620" s="39" t="s">
        <v>2232</v>
      </c>
      <c r="R620" s="19">
        <v>1482.66</v>
      </c>
      <c r="S620" s="21">
        <v>0.2</v>
      </c>
      <c r="T620" s="21">
        <v>1779.192</v>
      </c>
      <c r="U620" s="44" t="s">
        <v>385</v>
      </c>
      <c r="V620" s="22">
        <v>45841</v>
      </c>
      <c r="W620" s="54" t="s">
        <v>91</v>
      </c>
      <c r="X620" s="23"/>
      <c r="Y620" s="23" t="s">
        <v>92</v>
      </c>
      <c r="Z620" s="56" t="s">
        <v>1338</v>
      </c>
      <c r="AA620" s="24">
        <v>856211</v>
      </c>
      <c r="AB620" s="19"/>
      <c r="AC620" s="19"/>
      <c r="AD620" s="15" t="str">
        <f ca="1">IF(AND($D620&lt;&gt;"",COUNTIF(OFFSET(UFS!$E$2,MATCH($D620&amp;"",UFS!$A$2:$A$175,0)-1,0,COUNTIF(UFS!$A$2:$A$175,$D620&amp;""),1),M620)&gt;0),"Valide","Invalide")</f>
        <v>Valide</v>
      </c>
      <c r="AH620" s="15" t="str">
        <f t="shared" si="9"/>
        <v>En attente</v>
      </c>
    </row>
    <row r="621" spans="1:34" s="15" customFormat="1" ht="45" hidden="1" customHeight="1" x14ac:dyDescent="0.3">
      <c r="A621" s="42">
        <v>622</v>
      </c>
      <c r="B621" s="19" t="s">
        <v>4</v>
      </c>
      <c r="C621" s="19" t="s">
        <v>27</v>
      </c>
      <c r="D621" s="20" t="s">
        <v>2033</v>
      </c>
      <c r="E621" s="20" t="s">
        <v>79</v>
      </c>
      <c r="F621" s="21" t="s">
        <v>80</v>
      </c>
      <c r="G621" s="38" t="s">
        <v>241</v>
      </c>
      <c r="H621" s="39" t="s">
        <v>381</v>
      </c>
      <c r="I621" s="39" t="s">
        <v>382</v>
      </c>
      <c r="J621" s="21" t="s">
        <v>144</v>
      </c>
      <c r="K621" s="21" t="s">
        <v>145</v>
      </c>
      <c r="L621" s="21" t="s">
        <v>254</v>
      </c>
      <c r="M621" s="21" t="s">
        <v>255</v>
      </c>
      <c r="N621" s="21" t="s">
        <v>2035</v>
      </c>
      <c r="O621" s="20" t="s">
        <v>2233</v>
      </c>
      <c r="P621" s="45">
        <v>45841</v>
      </c>
      <c r="Q621" s="39" t="s">
        <v>2234</v>
      </c>
      <c r="R621" s="19">
        <v>3505.66</v>
      </c>
      <c r="S621" s="21">
        <v>0.2</v>
      </c>
      <c r="T621" s="21">
        <v>4206.7919999999995</v>
      </c>
      <c r="U621" s="44" t="s">
        <v>385</v>
      </c>
      <c r="V621" s="22">
        <v>45841</v>
      </c>
      <c r="W621" s="54" t="s">
        <v>91</v>
      </c>
      <c r="X621" s="23"/>
      <c r="Y621" s="23" t="s">
        <v>92</v>
      </c>
      <c r="Z621" s="56" t="s">
        <v>1338</v>
      </c>
      <c r="AA621" s="24">
        <v>856212</v>
      </c>
      <c r="AB621" s="19"/>
      <c r="AC621" s="19"/>
      <c r="AD621" s="15" t="str">
        <f ca="1">IF(AND($D621&lt;&gt;"",COUNTIF(OFFSET(UFS!$E$2,MATCH($D621&amp;"",UFS!$A$2:$A$175,0)-1,0,COUNTIF(UFS!$A$2:$A$175,$D621&amp;""),1),M621)&gt;0),"Valide","Invalide")</f>
        <v>Valide</v>
      </c>
      <c r="AH621" s="15" t="str">
        <f t="shared" si="9"/>
        <v>En attente</v>
      </c>
    </row>
    <row r="622" spans="1:34" s="15" customFormat="1" ht="45" hidden="1" customHeight="1" x14ac:dyDescent="0.3">
      <c r="A622" s="42">
        <v>623</v>
      </c>
      <c r="B622" s="19" t="s">
        <v>709</v>
      </c>
      <c r="C622" s="19" t="s">
        <v>23</v>
      </c>
      <c r="D622" s="20" t="s">
        <v>174</v>
      </c>
      <c r="E622" s="20" t="s">
        <v>79</v>
      </c>
      <c r="F622" s="21" t="s">
        <v>80</v>
      </c>
      <c r="G622" s="38" t="s">
        <v>241</v>
      </c>
      <c r="H622" s="39" t="s">
        <v>643</v>
      </c>
      <c r="I622" s="39" t="s">
        <v>644</v>
      </c>
      <c r="J622" s="21" t="s">
        <v>124</v>
      </c>
      <c r="K622" s="21" t="s">
        <v>2189</v>
      </c>
      <c r="L622" s="21" t="s">
        <v>711</v>
      </c>
      <c r="M622" s="21" t="s">
        <v>136</v>
      </c>
      <c r="N622" s="21" t="s">
        <v>102</v>
      </c>
      <c r="O622" s="20" t="s">
        <v>2235</v>
      </c>
      <c r="P622" s="45">
        <v>45608</v>
      </c>
      <c r="Q622" s="39" t="s">
        <v>2236</v>
      </c>
      <c r="R622" s="19">
        <v>7090.1</v>
      </c>
      <c r="S622" s="21">
        <v>0.1</v>
      </c>
      <c r="T622" s="21">
        <v>7799.11</v>
      </c>
      <c r="U622" s="60" t="s">
        <v>714</v>
      </c>
      <c r="V622" s="22">
        <v>45841</v>
      </c>
      <c r="W622" s="54" t="s">
        <v>91</v>
      </c>
      <c r="X622" s="23"/>
      <c r="Y622" s="23" t="s">
        <v>92</v>
      </c>
      <c r="Z622" s="56" t="s">
        <v>2237</v>
      </c>
      <c r="AA622" s="24">
        <v>862905</v>
      </c>
      <c r="AB622" s="19"/>
      <c r="AC622" s="19"/>
      <c r="AD622" s="15" t="str">
        <f ca="1">IF(AND($D622&lt;&gt;"",COUNTIF(OFFSET(UFS!$E$2,MATCH($D622&amp;"",UFS!$A$2:$A$175,0)-1,0,COUNTIF(UFS!$A$2:$A$175,$D622&amp;""),1),M622)&gt;0),"Valide","Invalide")</f>
        <v>Valide</v>
      </c>
      <c r="AH622" s="15" t="str">
        <f t="shared" si="9"/>
        <v>En attente</v>
      </c>
    </row>
    <row r="623" spans="1:34" s="15" customFormat="1" ht="45" hidden="1" customHeight="1" x14ac:dyDescent="0.3">
      <c r="A623" s="42">
        <v>624</v>
      </c>
      <c r="B623" s="19" t="s">
        <v>26</v>
      </c>
      <c r="C623" s="19" t="s">
        <v>28</v>
      </c>
      <c r="D623" s="20" t="s">
        <v>1358</v>
      </c>
      <c r="E623" s="20" t="s">
        <v>79</v>
      </c>
      <c r="F623" s="21" t="s">
        <v>80</v>
      </c>
      <c r="G623" s="38" t="s">
        <v>182</v>
      </c>
      <c r="H623" s="39" t="s">
        <v>82</v>
      </c>
      <c r="I623" s="39" t="s">
        <v>83</v>
      </c>
      <c r="J623" s="21" t="s">
        <v>98</v>
      </c>
      <c r="K623" s="21" t="s">
        <v>859</v>
      </c>
      <c r="L623" s="21" t="s">
        <v>100</v>
      </c>
      <c r="M623" s="21" t="s">
        <v>109</v>
      </c>
      <c r="N623" s="21" t="s">
        <v>109</v>
      </c>
      <c r="O623" s="20" t="s">
        <v>2238</v>
      </c>
      <c r="P623" s="45">
        <v>45833</v>
      </c>
      <c r="Q623" s="39" t="s">
        <v>2239</v>
      </c>
      <c r="R623" s="19">
        <v>2340.9499999999998</v>
      </c>
      <c r="S623" s="21">
        <v>0.2</v>
      </c>
      <c r="T623" s="21">
        <v>2809.14</v>
      </c>
      <c r="U623" s="60" t="s">
        <v>2240</v>
      </c>
      <c r="V623" s="22">
        <v>45841</v>
      </c>
      <c r="W623" s="54" t="s">
        <v>91</v>
      </c>
      <c r="X623" s="23"/>
      <c r="Y623" s="23" t="s">
        <v>92</v>
      </c>
      <c r="Z623" s="56" t="s">
        <v>2241</v>
      </c>
      <c r="AA623" s="106">
        <v>856813</v>
      </c>
      <c r="AB623" s="19"/>
      <c r="AC623" s="46" t="s">
        <v>94</v>
      </c>
      <c r="AD623" s="15" t="str">
        <f ca="1">IF(AND($D623&lt;&gt;"",COUNTIF(OFFSET(UFS!$E$2,MATCH($D623&amp;"",UFS!$A$2:$A$175,0)-1,0,COUNTIF(UFS!$A$2:$A$175,$D623&amp;""),1),M623)&gt;0),"Valide","Invalide")</f>
        <v>Valide</v>
      </c>
      <c r="AH623" s="15" t="str">
        <f t="shared" si="9"/>
        <v>En attente</v>
      </c>
    </row>
    <row r="624" spans="1:34" s="15" customFormat="1" ht="45" hidden="1" customHeight="1" x14ac:dyDescent="0.3">
      <c r="A624" s="42">
        <v>625</v>
      </c>
      <c r="B624" s="19" t="s">
        <v>2</v>
      </c>
      <c r="C624" s="19" t="s">
        <v>1757</v>
      </c>
      <c r="D624" s="20" t="s">
        <v>200</v>
      </c>
      <c r="E624" s="20" t="s">
        <v>96</v>
      </c>
      <c r="F624" s="21" t="s">
        <v>80</v>
      </c>
      <c r="G624" s="38" t="s">
        <v>1169</v>
      </c>
      <c r="H624" s="39" t="s">
        <v>1085</v>
      </c>
      <c r="I624" s="39"/>
      <c r="J624" s="21" t="s">
        <v>144</v>
      </c>
      <c r="K624" s="21" t="s">
        <v>145</v>
      </c>
      <c r="L624" s="21" t="s">
        <v>203</v>
      </c>
      <c r="M624" s="21" t="s">
        <v>109</v>
      </c>
      <c r="N624" s="21" t="s">
        <v>109</v>
      </c>
      <c r="O624" s="20" t="s">
        <v>2242</v>
      </c>
      <c r="P624" s="45">
        <v>45827</v>
      </c>
      <c r="Q624" s="39" t="s">
        <v>2243</v>
      </c>
      <c r="R624" s="19">
        <v>41980.35</v>
      </c>
      <c r="S624" s="21">
        <v>0.2</v>
      </c>
      <c r="T624" s="21">
        <v>50376.42</v>
      </c>
      <c r="U624" s="60" t="s">
        <v>1760</v>
      </c>
      <c r="V624" s="22">
        <v>45845</v>
      </c>
      <c r="W624" s="54" t="s">
        <v>91</v>
      </c>
      <c r="X624" s="23"/>
      <c r="Y624" s="23" t="s">
        <v>92</v>
      </c>
      <c r="Z624" s="56" t="s">
        <v>2244</v>
      </c>
      <c r="AA624" s="24">
        <v>856036</v>
      </c>
      <c r="AB624" s="19"/>
      <c r="AC624" s="19"/>
      <c r="AD624" s="15" t="e">
        <f ca="1">IF(AND($D624&lt;&gt;"",COUNTIF(OFFSET(UFS!$E$2,MATCH($D624&amp;"",UFS!$A$2:$A$175,0)-1,0,COUNTIF(UFS!$A$2:$A$175,$D624&amp;""),1),M624)&gt;0),"Valide","Invalide")</f>
        <v>#N/A</v>
      </c>
      <c r="AH624" s="15" t="str">
        <f t="shared" si="9"/>
        <v>En attente</v>
      </c>
    </row>
    <row r="625" spans="1:34" s="15" customFormat="1" ht="45" hidden="1" customHeight="1" x14ac:dyDescent="0.3">
      <c r="A625" s="42">
        <v>626</v>
      </c>
      <c r="B625" s="19" t="s">
        <v>709</v>
      </c>
      <c r="C625" s="19" t="s">
        <v>23</v>
      </c>
      <c r="D625" s="20" t="s">
        <v>334</v>
      </c>
      <c r="E625" s="20" t="s">
        <v>79</v>
      </c>
      <c r="F625" s="21" t="s">
        <v>80</v>
      </c>
      <c r="G625" s="38" t="s">
        <v>241</v>
      </c>
      <c r="H625" s="39" t="s">
        <v>643</v>
      </c>
      <c r="I625" s="39" t="s">
        <v>644</v>
      </c>
      <c r="J625" s="21" t="s">
        <v>144</v>
      </c>
      <c r="K625" s="21" t="s">
        <v>145</v>
      </c>
      <c r="L625" s="21" t="s">
        <v>278</v>
      </c>
      <c r="M625" s="21" t="s">
        <v>335</v>
      </c>
      <c r="N625" s="21" t="s">
        <v>102</v>
      </c>
      <c r="O625" s="20" t="s">
        <v>2245</v>
      </c>
      <c r="P625" s="45">
        <v>45841</v>
      </c>
      <c r="Q625" s="39" t="s">
        <v>2246</v>
      </c>
      <c r="R625" s="19">
        <v>883.5</v>
      </c>
      <c r="S625" s="21">
        <v>0.1</v>
      </c>
      <c r="T625" s="21">
        <v>971.85</v>
      </c>
      <c r="U625" s="60" t="s">
        <v>714</v>
      </c>
      <c r="V625" s="22">
        <v>45845</v>
      </c>
      <c r="W625" s="54" t="s">
        <v>91</v>
      </c>
      <c r="X625" s="23"/>
      <c r="Y625" s="23" t="s">
        <v>92</v>
      </c>
      <c r="Z625" s="56" t="s">
        <v>1338</v>
      </c>
      <c r="AA625" s="24">
        <v>856104</v>
      </c>
      <c r="AB625" s="19"/>
      <c r="AC625" s="19"/>
      <c r="AD625" s="15" t="str">
        <f ca="1">IF(AND($D625&lt;&gt;"",COUNTIF(OFFSET(UFS!$E$2,MATCH($D625&amp;"",UFS!$A$2:$A$175,0)-1,0,COUNTIF(UFS!$A$2:$A$175,$D625&amp;""),1),M625)&gt;0),"Valide","Invalide")</f>
        <v>Valide</v>
      </c>
      <c r="AH625" s="15" t="str">
        <f t="shared" si="9"/>
        <v>En attente</v>
      </c>
    </row>
    <row r="626" spans="1:34" s="15" customFormat="1" ht="45" hidden="1" customHeight="1" x14ac:dyDescent="0.3">
      <c r="A626" s="42">
        <v>627</v>
      </c>
      <c r="B626" s="19" t="s">
        <v>709</v>
      </c>
      <c r="C626" s="19" t="s">
        <v>23</v>
      </c>
      <c r="D626" s="20" t="s">
        <v>582</v>
      </c>
      <c r="E626" s="20" t="s">
        <v>79</v>
      </c>
      <c r="F626" s="21" t="s">
        <v>80</v>
      </c>
      <c r="G626" s="38" t="s">
        <v>241</v>
      </c>
      <c r="H626" s="39" t="s">
        <v>643</v>
      </c>
      <c r="I626" s="39" t="s">
        <v>644</v>
      </c>
      <c r="J626" s="21" t="s">
        <v>144</v>
      </c>
      <c r="K626" s="21" t="s">
        <v>145</v>
      </c>
      <c r="L626" s="21" t="s">
        <v>328</v>
      </c>
      <c r="M626" s="21" t="s">
        <v>1750</v>
      </c>
      <c r="N626" s="21" t="s">
        <v>711</v>
      </c>
      <c r="O626" s="20" t="s">
        <v>2247</v>
      </c>
      <c r="P626" s="45">
        <v>45842</v>
      </c>
      <c r="Q626" s="39" t="s">
        <v>2248</v>
      </c>
      <c r="R626" s="19">
        <v>1975.6</v>
      </c>
      <c r="S626" s="21">
        <v>0.1</v>
      </c>
      <c r="T626" s="21">
        <v>2173.16</v>
      </c>
      <c r="U626" s="60" t="s">
        <v>714</v>
      </c>
      <c r="V626" s="22">
        <v>45845</v>
      </c>
      <c r="W626" s="54" t="s">
        <v>91</v>
      </c>
      <c r="X626" s="23"/>
      <c r="Y626" s="23" t="s">
        <v>92</v>
      </c>
      <c r="Z626" s="56" t="s">
        <v>1338</v>
      </c>
      <c r="AA626" s="24">
        <v>856105</v>
      </c>
      <c r="AB626" s="19"/>
      <c r="AC626" s="19"/>
      <c r="AD626" s="15" t="str">
        <f ca="1">IF(AND($D626&lt;&gt;"",COUNTIF(OFFSET(UFS!$E$2,MATCH($D626&amp;"",UFS!$A$2:$A$175,0)-1,0,COUNTIF(UFS!$A$2:$A$175,$D626&amp;""),1),M626)&gt;0),"Valide","Invalide")</f>
        <v>Invalide</v>
      </c>
      <c r="AH626" s="15" t="str">
        <f t="shared" si="9"/>
        <v>En attente</v>
      </c>
    </row>
    <row r="627" spans="1:34" s="15" customFormat="1" ht="45" hidden="1" customHeight="1" x14ac:dyDescent="0.3">
      <c r="A627" s="42">
        <v>628</v>
      </c>
      <c r="B627" s="19" t="s">
        <v>16</v>
      </c>
      <c r="C627" s="19" t="s">
        <v>35</v>
      </c>
      <c r="D627" s="20" t="s">
        <v>810</v>
      </c>
      <c r="E627" s="20" t="s">
        <v>96</v>
      </c>
      <c r="F627" s="21" t="s">
        <v>80</v>
      </c>
      <c r="G627" s="38" t="s">
        <v>175</v>
      </c>
      <c r="H627" s="39"/>
      <c r="I627" s="39" t="s">
        <v>1746</v>
      </c>
      <c r="J627" s="21" t="s">
        <v>144</v>
      </c>
      <c r="K627" s="21" t="s">
        <v>145</v>
      </c>
      <c r="L627" s="21" t="s">
        <v>146</v>
      </c>
      <c r="M627" s="21" t="s">
        <v>812</v>
      </c>
      <c r="N627" s="21" t="s">
        <v>813</v>
      </c>
      <c r="O627" s="20" t="s">
        <v>2249</v>
      </c>
      <c r="P627" s="45">
        <v>45839</v>
      </c>
      <c r="Q627" s="39" t="s">
        <v>2250</v>
      </c>
      <c r="R627" s="19">
        <v>6960</v>
      </c>
      <c r="S627" s="21">
        <v>0.1</v>
      </c>
      <c r="T627" s="21">
        <v>7656</v>
      </c>
      <c r="U627" s="44" t="s">
        <v>2251</v>
      </c>
      <c r="V627" s="22">
        <v>45845</v>
      </c>
      <c r="W627" s="54" t="s">
        <v>91</v>
      </c>
      <c r="X627" s="23"/>
      <c r="Y627" s="23" t="s">
        <v>92</v>
      </c>
      <c r="Z627" s="56" t="s">
        <v>1338</v>
      </c>
      <c r="AA627" s="24">
        <v>859810</v>
      </c>
      <c r="AB627" s="19"/>
      <c r="AC627" s="19"/>
      <c r="AD627" s="15" t="str">
        <f ca="1">IF(AND($D627&lt;&gt;"",COUNTIF(OFFSET(UFS!$E$2,MATCH($D627&amp;"",UFS!$A$2:$A$175,0)-1,0,COUNTIF(UFS!$A$2:$A$175,$D627&amp;""),1),M627)&gt;0),"Valide","Invalide")</f>
        <v>Valide</v>
      </c>
      <c r="AH627" s="15" t="str">
        <f t="shared" si="9"/>
        <v>En attente</v>
      </c>
    </row>
    <row r="628" spans="1:34" s="15" customFormat="1" ht="45" hidden="1" customHeight="1" x14ac:dyDescent="0.3">
      <c r="A628" s="42">
        <v>629</v>
      </c>
      <c r="B628" s="19" t="s">
        <v>26</v>
      </c>
      <c r="C628" s="19" t="s">
        <v>35</v>
      </c>
      <c r="D628" s="20" t="s">
        <v>2033</v>
      </c>
      <c r="E628" s="20" t="s">
        <v>96</v>
      </c>
      <c r="F628" s="21" t="s">
        <v>80</v>
      </c>
      <c r="G628" s="38" t="s">
        <v>1422</v>
      </c>
      <c r="H628" s="39"/>
      <c r="I628" s="39" t="s">
        <v>2252</v>
      </c>
      <c r="J628" s="21" t="s">
        <v>144</v>
      </c>
      <c r="K628" s="21" t="s">
        <v>145</v>
      </c>
      <c r="L628" s="21" t="s">
        <v>254</v>
      </c>
      <c r="M628" s="21" t="s">
        <v>255</v>
      </c>
      <c r="N628" s="21" t="s">
        <v>2035</v>
      </c>
      <c r="O628" s="20" t="s">
        <v>2253</v>
      </c>
      <c r="P628" s="45">
        <v>45845</v>
      </c>
      <c r="Q628" s="39" t="s">
        <v>2254</v>
      </c>
      <c r="R628" s="19">
        <v>4401.0600000000004</v>
      </c>
      <c r="S628" s="21">
        <v>0.2</v>
      </c>
      <c r="T628" s="21">
        <v>5281.2720000000008</v>
      </c>
      <c r="U628" s="44" t="s">
        <v>2038</v>
      </c>
      <c r="V628" s="22">
        <v>45845</v>
      </c>
      <c r="W628" s="54" t="s">
        <v>91</v>
      </c>
      <c r="X628" s="23"/>
      <c r="Y628" s="23" t="s">
        <v>92</v>
      </c>
      <c r="Z628" s="56" t="s">
        <v>1338</v>
      </c>
      <c r="AA628" s="24">
        <v>856215</v>
      </c>
      <c r="AB628" s="19"/>
      <c r="AC628" s="46" t="s">
        <v>94</v>
      </c>
      <c r="AD628" s="15" t="str">
        <f ca="1">IF(AND($D628&lt;&gt;"",COUNTIF(OFFSET(UFS!$E$2,MATCH($D628&amp;"",UFS!$A$2:$A$175,0)-1,0,COUNTIF(UFS!$A$2:$A$175,$D628&amp;""),1),M628)&gt;0),"Valide","Invalide")</f>
        <v>Valide</v>
      </c>
      <c r="AH628" s="15" t="str">
        <f t="shared" si="9"/>
        <v>En attente</v>
      </c>
    </row>
    <row r="629" spans="1:34" s="15" customFormat="1" ht="45" hidden="1" customHeight="1" x14ac:dyDescent="0.3">
      <c r="A629" s="42">
        <v>630</v>
      </c>
      <c r="B629" s="19" t="s">
        <v>26</v>
      </c>
      <c r="C629" s="19" t="s">
        <v>15</v>
      </c>
      <c r="D629" s="20" t="s">
        <v>1358</v>
      </c>
      <c r="E629" s="20" t="s">
        <v>79</v>
      </c>
      <c r="F629" s="21" t="s">
        <v>80</v>
      </c>
      <c r="G629" s="38" t="s">
        <v>182</v>
      </c>
      <c r="H629" s="39" t="s">
        <v>139</v>
      </c>
      <c r="I629" s="39" t="s">
        <v>83</v>
      </c>
      <c r="J629" s="21" t="s">
        <v>98</v>
      </c>
      <c r="K629" s="21" t="s">
        <v>859</v>
      </c>
      <c r="L629" s="21" t="s">
        <v>100</v>
      </c>
      <c r="M629" s="21" t="s">
        <v>109</v>
      </c>
      <c r="N629" s="21" t="s">
        <v>109</v>
      </c>
      <c r="O629" s="20" t="s">
        <v>2255</v>
      </c>
      <c r="P629" s="45">
        <v>45841</v>
      </c>
      <c r="Q629" s="39" t="s">
        <v>2256</v>
      </c>
      <c r="R629" s="19">
        <v>393.93</v>
      </c>
      <c r="S629" s="21">
        <v>0.2</v>
      </c>
      <c r="T629" s="21">
        <v>472.71600000000001</v>
      </c>
      <c r="U629" s="60" t="s">
        <v>2257</v>
      </c>
      <c r="V629" s="22">
        <v>45845</v>
      </c>
      <c r="W629" s="54" t="s">
        <v>91</v>
      </c>
      <c r="X629" s="23"/>
      <c r="Y629" s="23" t="s">
        <v>92</v>
      </c>
      <c r="Z629" s="56" t="s">
        <v>2241</v>
      </c>
      <c r="AA629" s="108">
        <v>856816</v>
      </c>
      <c r="AB629" s="19"/>
      <c r="AC629" s="19"/>
      <c r="AD629" s="15" t="str">
        <f ca="1">IF(AND($D629&lt;&gt;"",COUNTIF(OFFSET(UFS!$E$2,MATCH($D629&amp;"",UFS!$A$2:$A$175,0)-1,0,COUNTIF(UFS!$A$2:$A$175,$D629&amp;""),1),M629)&gt;0),"Valide","Invalide")</f>
        <v>Valide</v>
      </c>
      <c r="AH629" s="15" t="str">
        <f t="shared" si="9"/>
        <v>En attente</v>
      </c>
    </row>
    <row r="630" spans="1:34" s="15" customFormat="1" ht="45" hidden="1" customHeight="1" x14ac:dyDescent="0.3">
      <c r="A630" s="42">
        <v>631</v>
      </c>
      <c r="B630" s="19" t="s">
        <v>18</v>
      </c>
      <c r="C630" s="19" t="s">
        <v>656</v>
      </c>
      <c r="D630" s="20" t="s">
        <v>200</v>
      </c>
      <c r="E630" s="20" t="s">
        <v>96</v>
      </c>
      <c r="F630" s="21" t="s">
        <v>80</v>
      </c>
      <c r="G630" s="38" t="s">
        <v>657</v>
      </c>
      <c r="H630" s="39"/>
      <c r="I630" s="39" t="s">
        <v>658</v>
      </c>
      <c r="J630" s="21" t="s">
        <v>144</v>
      </c>
      <c r="K630" s="21" t="s">
        <v>145</v>
      </c>
      <c r="L630" s="21" t="s">
        <v>203</v>
      </c>
      <c r="M630" s="21" t="s">
        <v>109</v>
      </c>
      <c r="N630" s="21" t="s">
        <v>109</v>
      </c>
      <c r="O630" s="20" t="s">
        <v>2258</v>
      </c>
      <c r="P630" s="45">
        <v>45824</v>
      </c>
      <c r="Q630" s="93" t="s">
        <v>2259</v>
      </c>
      <c r="R630" s="19">
        <v>10977.6</v>
      </c>
      <c r="S630" s="21">
        <v>0.2</v>
      </c>
      <c r="T630" s="21">
        <v>13173.12</v>
      </c>
      <c r="U630" s="44" t="s">
        <v>2260</v>
      </c>
      <c r="V630" s="22">
        <v>45845</v>
      </c>
      <c r="W630" s="54" t="s">
        <v>91</v>
      </c>
      <c r="X630" s="23"/>
      <c r="Y630" s="23" t="s">
        <v>92</v>
      </c>
      <c r="Z630" s="105" t="s">
        <v>1338</v>
      </c>
      <c r="AA630" s="24">
        <v>856472</v>
      </c>
      <c r="AB630" s="45">
        <v>45825</v>
      </c>
      <c r="AC630" s="46" t="s">
        <v>94</v>
      </c>
      <c r="AD630" s="15" t="e">
        <f ca="1">IF(AND($D630&lt;&gt;"",COUNTIF(OFFSET(UFS!$E$2,MATCH($D630&amp;"",UFS!$A$2:$A$175,0)-1,0,COUNTIF(UFS!$A$2:$A$175,$D630&amp;""),1),M630)&gt;0),"Valide","Invalide")</f>
        <v>#N/A</v>
      </c>
      <c r="AH630" s="15" t="str">
        <f t="shared" si="9"/>
        <v>En attente</v>
      </c>
    </row>
    <row r="631" spans="1:34" s="15" customFormat="1" ht="45" hidden="1" customHeight="1" x14ac:dyDescent="0.3">
      <c r="A631" s="42">
        <v>632</v>
      </c>
      <c r="B631" s="19" t="s">
        <v>18</v>
      </c>
      <c r="C631" s="19" t="s">
        <v>5</v>
      </c>
      <c r="D631" s="20" t="s">
        <v>200</v>
      </c>
      <c r="E631" s="20" t="s">
        <v>96</v>
      </c>
      <c r="F631" s="21" t="s">
        <v>80</v>
      </c>
      <c r="G631" s="38" t="s">
        <v>2261</v>
      </c>
      <c r="H631" s="39"/>
      <c r="I631" s="39" t="s">
        <v>658</v>
      </c>
      <c r="J631" s="21" t="s">
        <v>144</v>
      </c>
      <c r="K631" s="21" t="s">
        <v>145</v>
      </c>
      <c r="L631" s="21" t="s">
        <v>203</v>
      </c>
      <c r="M631" s="21" t="s">
        <v>109</v>
      </c>
      <c r="N631" s="21" t="s">
        <v>109</v>
      </c>
      <c r="O631" s="20" t="s">
        <v>2262</v>
      </c>
      <c r="P631" s="45">
        <v>45814</v>
      </c>
      <c r="Q631" s="39" t="s">
        <v>2263</v>
      </c>
      <c r="R631" s="19">
        <v>1237.7</v>
      </c>
      <c r="S631" s="21">
        <v>0.2</v>
      </c>
      <c r="T631" s="21">
        <v>1485.24</v>
      </c>
      <c r="U631" s="44" t="s">
        <v>2264</v>
      </c>
      <c r="V631" s="22">
        <v>45845</v>
      </c>
      <c r="W631" s="54" t="s">
        <v>91</v>
      </c>
      <c r="X631" s="23"/>
      <c r="Y631" s="23" t="s">
        <v>92</v>
      </c>
      <c r="Z631" s="56" t="s">
        <v>1338</v>
      </c>
      <c r="AA631" s="24">
        <v>856213</v>
      </c>
      <c r="AB631" s="45">
        <v>45840</v>
      </c>
      <c r="AC631" s="46" t="s">
        <v>94</v>
      </c>
      <c r="AD631" s="15" t="e">
        <f ca="1">IF(AND($D631&lt;&gt;"",COUNTIF(OFFSET(UFS!$E$2,MATCH($D631&amp;"",UFS!$A$2:$A$175,0)-1,0,COUNTIF(UFS!$A$2:$A$175,$D631&amp;""),1),M631)&gt;0),"Valide","Invalide")</f>
        <v>#N/A</v>
      </c>
      <c r="AH631" s="15" t="str">
        <f t="shared" si="9"/>
        <v>En attente</v>
      </c>
    </row>
    <row r="632" spans="1:34" s="15" customFormat="1" ht="59.7" hidden="1" customHeight="1" x14ac:dyDescent="0.3">
      <c r="A632" s="42">
        <v>633</v>
      </c>
      <c r="B632" s="19" t="s">
        <v>26</v>
      </c>
      <c r="C632" s="19" t="s">
        <v>35</v>
      </c>
      <c r="D632" s="20" t="s">
        <v>1358</v>
      </c>
      <c r="E632" s="20" t="s">
        <v>79</v>
      </c>
      <c r="F632" s="21" t="s">
        <v>80</v>
      </c>
      <c r="G632" s="38" t="s">
        <v>81</v>
      </c>
      <c r="H632" s="39" t="s">
        <v>426</v>
      </c>
      <c r="I632" s="39" t="s">
        <v>83</v>
      </c>
      <c r="J632" s="21" t="s">
        <v>98</v>
      </c>
      <c r="K632" s="21" t="s">
        <v>859</v>
      </c>
      <c r="L632" s="21" t="s">
        <v>100</v>
      </c>
      <c r="M632" s="21" t="s">
        <v>109</v>
      </c>
      <c r="N632" s="21" t="s">
        <v>109</v>
      </c>
      <c r="O632" s="20" t="s">
        <v>2265</v>
      </c>
      <c r="P632" s="45">
        <v>45831</v>
      </c>
      <c r="Q632" s="95" t="s">
        <v>2266</v>
      </c>
      <c r="R632" s="19">
        <v>4556.3</v>
      </c>
      <c r="S632" s="21">
        <v>0.2</v>
      </c>
      <c r="T632" s="21">
        <v>5467.56</v>
      </c>
      <c r="U632" s="60" t="s">
        <v>2267</v>
      </c>
      <c r="V632" s="22">
        <v>45846</v>
      </c>
      <c r="W632" s="54" t="s">
        <v>91</v>
      </c>
      <c r="X632" s="23"/>
      <c r="Y632" s="23" t="s">
        <v>92</v>
      </c>
      <c r="Z632" s="78" t="s">
        <v>2268</v>
      </c>
      <c r="AA632" s="24">
        <v>857824</v>
      </c>
      <c r="AB632" s="19"/>
      <c r="AC632" s="19"/>
      <c r="AD632" s="15" t="str">
        <f ca="1">IF(AND($D632&lt;&gt;"",COUNTIF(OFFSET(UFS!$E$2,MATCH($D632&amp;"",UFS!$A$2:$A$175,0)-1,0,COUNTIF(UFS!$A$2:$A$175,$D632&amp;""),1),M632)&gt;0),"Valide","Invalide")</f>
        <v>Valide</v>
      </c>
      <c r="AH632" s="15" t="str">
        <f t="shared" si="9"/>
        <v>En attente</v>
      </c>
    </row>
    <row r="633" spans="1:34" s="15" customFormat="1" ht="45" hidden="1" customHeight="1" x14ac:dyDescent="0.3">
      <c r="A633" s="42">
        <v>634</v>
      </c>
      <c r="B633" s="19" t="s">
        <v>4</v>
      </c>
      <c r="C633" s="19" t="s">
        <v>17</v>
      </c>
      <c r="D633" s="20" t="s">
        <v>527</v>
      </c>
      <c r="E633" s="20" t="s">
        <v>79</v>
      </c>
      <c r="F633" s="21" t="s">
        <v>80</v>
      </c>
      <c r="G633" s="38" t="s">
        <v>241</v>
      </c>
      <c r="H633" s="39" t="s">
        <v>517</v>
      </c>
      <c r="I633" s="39" t="s">
        <v>518</v>
      </c>
      <c r="J633" s="21" t="s">
        <v>144</v>
      </c>
      <c r="K633" s="21" t="s">
        <v>145</v>
      </c>
      <c r="L633" s="21" t="s">
        <v>86</v>
      </c>
      <c r="M633" s="21" t="s">
        <v>528</v>
      </c>
      <c r="N633" s="21" t="s">
        <v>529</v>
      </c>
      <c r="O633" s="20" t="s">
        <v>2269</v>
      </c>
      <c r="P633" s="45">
        <v>45846</v>
      </c>
      <c r="Q633" s="39" t="s">
        <v>2270</v>
      </c>
      <c r="R633" s="19">
        <v>4181.25</v>
      </c>
      <c r="S633" s="21">
        <v>0.1</v>
      </c>
      <c r="T633" s="21">
        <v>4599.375</v>
      </c>
      <c r="U633" s="60" t="s">
        <v>1484</v>
      </c>
      <c r="V633" s="22">
        <v>45846</v>
      </c>
      <c r="W633" s="54" t="s">
        <v>91</v>
      </c>
      <c r="X633" s="23"/>
      <c r="Y633" s="23" t="s">
        <v>92</v>
      </c>
      <c r="Z633" s="56" t="s">
        <v>2271</v>
      </c>
      <c r="AA633" s="24">
        <v>856239</v>
      </c>
      <c r="AB633" s="19"/>
      <c r="AC633" s="19"/>
      <c r="AD633" s="15" t="str">
        <f ca="1">IF(AND($D633&lt;&gt;"",COUNTIF(OFFSET(UFS!$E$2,MATCH($D633&amp;"",UFS!$A$2:$A$175,0)-1,0,COUNTIF(UFS!$A$2:$A$175,$D633&amp;""),1),M633)&gt;0),"Valide","Invalide")</f>
        <v>Valide</v>
      </c>
      <c r="AH633" s="15" t="str">
        <f t="shared" si="9"/>
        <v>En attente</v>
      </c>
    </row>
    <row r="634" spans="1:34" s="15" customFormat="1" ht="45" hidden="1" customHeight="1" x14ac:dyDescent="0.3">
      <c r="A634" s="42">
        <v>635</v>
      </c>
      <c r="B634" s="19" t="s">
        <v>4</v>
      </c>
      <c r="C634" s="19" t="s">
        <v>17</v>
      </c>
      <c r="D634" s="20" t="s">
        <v>800</v>
      </c>
      <c r="E634" s="20" t="s">
        <v>79</v>
      </c>
      <c r="F634" s="21" t="s">
        <v>80</v>
      </c>
      <c r="G634" s="38" t="s">
        <v>241</v>
      </c>
      <c r="H634" s="39" t="s">
        <v>517</v>
      </c>
      <c r="I634" s="39" t="s">
        <v>518</v>
      </c>
      <c r="J634" s="21" t="s">
        <v>144</v>
      </c>
      <c r="K634" s="21" t="s">
        <v>145</v>
      </c>
      <c r="L634" s="21" t="s">
        <v>499</v>
      </c>
      <c r="M634" s="21" t="s">
        <v>801</v>
      </c>
      <c r="N634" s="21" t="s">
        <v>102</v>
      </c>
      <c r="O634" s="20" t="s">
        <v>2272</v>
      </c>
      <c r="P634" s="45">
        <v>45846</v>
      </c>
      <c r="Q634" s="39" t="s">
        <v>2273</v>
      </c>
      <c r="R634" s="19">
        <v>469.7</v>
      </c>
      <c r="S634" s="21">
        <v>0.1</v>
      </c>
      <c r="T634" s="21">
        <v>516.66999999999996</v>
      </c>
      <c r="U634" s="60" t="s">
        <v>1484</v>
      </c>
      <c r="V634" s="22">
        <v>45847</v>
      </c>
      <c r="W634" s="54" t="s">
        <v>91</v>
      </c>
      <c r="X634" s="23"/>
      <c r="Y634" s="23" t="s">
        <v>92</v>
      </c>
      <c r="Z634" s="56" t="s">
        <v>2271</v>
      </c>
      <c r="AA634" s="24">
        <v>856240</v>
      </c>
      <c r="AB634" s="19"/>
      <c r="AC634" s="19"/>
      <c r="AD634" s="15" t="str">
        <f ca="1">IF(AND($D634&lt;&gt;"",COUNTIF(OFFSET(UFS!$E$2,MATCH($D634&amp;"",UFS!$A$2:$A$175,0)-1,0,COUNTIF(UFS!$A$2:$A$175,$D634&amp;""),1),M634)&gt;0),"Valide","Invalide")</f>
        <v>Valide</v>
      </c>
      <c r="AH634" s="15" t="str">
        <f t="shared" si="9"/>
        <v>En attente</v>
      </c>
    </row>
    <row r="635" spans="1:34" s="15" customFormat="1" ht="45" hidden="1" customHeight="1" x14ac:dyDescent="0.3">
      <c r="A635" s="42">
        <v>636</v>
      </c>
      <c r="B635" s="19" t="s">
        <v>16</v>
      </c>
      <c r="C635" s="19" t="s">
        <v>15</v>
      </c>
      <c r="D635" s="20" t="s">
        <v>1740</v>
      </c>
      <c r="E635" s="20" t="s">
        <v>79</v>
      </c>
      <c r="F635" s="21" t="s">
        <v>80</v>
      </c>
      <c r="G635" s="38" t="s">
        <v>182</v>
      </c>
      <c r="H635" s="39" t="s">
        <v>139</v>
      </c>
      <c r="I635" s="39" t="s">
        <v>83</v>
      </c>
      <c r="J635" s="21" t="s">
        <v>144</v>
      </c>
      <c r="K635" s="21" t="s">
        <v>145</v>
      </c>
      <c r="L635" s="21" t="s">
        <v>342</v>
      </c>
      <c r="M635" s="21" t="s">
        <v>1741</v>
      </c>
      <c r="N635" s="21" t="s">
        <v>87</v>
      </c>
      <c r="O635" s="20" t="s">
        <v>2274</v>
      </c>
      <c r="P635" s="45">
        <v>45846</v>
      </c>
      <c r="Q635" s="39" t="s">
        <v>2275</v>
      </c>
      <c r="R635" s="19">
        <v>2957.92</v>
      </c>
      <c r="S635" s="21">
        <v>0.2</v>
      </c>
      <c r="T635" s="21">
        <v>3549.5039999999999</v>
      </c>
      <c r="U635" s="44" t="s">
        <v>2276</v>
      </c>
      <c r="V635" s="22">
        <v>45847</v>
      </c>
      <c r="W635" s="54" t="s">
        <v>91</v>
      </c>
      <c r="X635" s="23"/>
      <c r="Y635" s="23" t="s">
        <v>92</v>
      </c>
      <c r="Z635" s="56" t="s">
        <v>1338</v>
      </c>
      <c r="AA635" s="24">
        <v>856639</v>
      </c>
      <c r="AB635" s="45">
        <v>45866</v>
      </c>
      <c r="AC635" s="46" t="s">
        <v>94</v>
      </c>
      <c r="AD635" s="15" t="str">
        <f ca="1">IF(AND($D635&lt;&gt;"",COUNTIF(OFFSET(UFS!$E$2,MATCH($D635&amp;"",UFS!$A$2:$A$175,0)-1,0,COUNTIF(UFS!$A$2:$A$175,$D635&amp;""),1),M635)&gt;0),"Valide","Invalide")</f>
        <v>Valide</v>
      </c>
      <c r="AH635" s="15" t="str">
        <f t="shared" si="9"/>
        <v>En attente</v>
      </c>
    </row>
    <row r="636" spans="1:34" s="15" customFormat="1" ht="45" hidden="1" customHeight="1" x14ac:dyDescent="0.3">
      <c r="A636" s="42">
        <v>637</v>
      </c>
      <c r="B636" s="19" t="s">
        <v>20</v>
      </c>
      <c r="C636" s="19" t="s">
        <v>37</v>
      </c>
      <c r="D636" s="89">
        <v>1210</v>
      </c>
      <c r="E636" s="20" t="s">
        <v>79</v>
      </c>
      <c r="F636" s="21" t="s">
        <v>80</v>
      </c>
      <c r="G636" s="38" t="s">
        <v>241</v>
      </c>
      <c r="H636" s="39" t="s">
        <v>367</v>
      </c>
      <c r="I636" s="39" t="s">
        <v>368</v>
      </c>
      <c r="J636" s="21" t="s">
        <v>144</v>
      </c>
      <c r="K636" s="21" t="s">
        <v>145</v>
      </c>
      <c r="L636" s="21" t="s">
        <v>203</v>
      </c>
      <c r="M636" s="21" t="s">
        <v>109</v>
      </c>
      <c r="N636" s="21" t="s">
        <v>109</v>
      </c>
      <c r="O636" s="20" t="s">
        <v>2277</v>
      </c>
      <c r="P636" s="45">
        <v>45547</v>
      </c>
      <c r="Q636" s="39" t="s">
        <v>2278</v>
      </c>
      <c r="R636" s="19">
        <v>1794.69</v>
      </c>
      <c r="S636" s="21">
        <v>0.2</v>
      </c>
      <c r="T636" s="21">
        <v>2153.6280000000002</v>
      </c>
      <c r="U636" s="60" t="s">
        <v>371</v>
      </c>
      <c r="V636" s="22">
        <v>45847</v>
      </c>
      <c r="W636" s="54" t="s">
        <v>91</v>
      </c>
      <c r="X636" s="23"/>
      <c r="Y636" s="23" t="s">
        <v>92</v>
      </c>
      <c r="Z636" s="56" t="s">
        <v>1338</v>
      </c>
      <c r="AA636" s="24">
        <v>856640</v>
      </c>
      <c r="AB636" s="19"/>
      <c r="AC636" s="46" t="s">
        <v>94</v>
      </c>
      <c r="AD636" s="15" t="str">
        <f ca="1">IF(AND($D637&lt;&gt;"",COUNTIF(OFFSET(UFS!$E$2,MATCH($D637&amp;"",UFS!$A$2:$A$175,0)-1,0,COUNTIF(UFS!$A$2:$A$175,$D637&amp;""),1),M636)&gt;0),"Valide","Invalide")</f>
        <v>Valide</v>
      </c>
      <c r="AH636" s="15" t="str">
        <f t="shared" si="9"/>
        <v>En attente</v>
      </c>
    </row>
    <row r="637" spans="1:34" s="15" customFormat="1" ht="45" hidden="1" customHeight="1" x14ac:dyDescent="0.3">
      <c r="A637" s="42">
        <v>638</v>
      </c>
      <c r="B637" s="19" t="s">
        <v>20</v>
      </c>
      <c r="C637" s="19" t="s">
        <v>37</v>
      </c>
      <c r="D637" s="20" t="s">
        <v>123</v>
      </c>
      <c r="E637" s="20" t="s">
        <v>79</v>
      </c>
      <c r="F637" s="21" t="s">
        <v>80</v>
      </c>
      <c r="G637" s="38" t="s">
        <v>241</v>
      </c>
      <c r="H637" s="39" t="s">
        <v>367</v>
      </c>
      <c r="I637" s="39" t="s">
        <v>368</v>
      </c>
      <c r="J637" s="21" t="s">
        <v>124</v>
      </c>
      <c r="K637" s="21" t="s">
        <v>125</v>
      </c>
      <c r="L637" s="21" t="s">
        <v>126</v>
      </c>
      <c r="M637" s="21" t="s">
        <v>109</v>
      </c>
      <c r="N637" s="21" t="s">
        <v>109</v>
      </c>
      <c r="O637" s="20" t="s">
        <v>2279</v>
      </c>
      <c r="P637" s="45">
        <v>45826</v>
      </c>
      <c r="Q637" s="39" t="s">
        <v>2280</v>
      </c>
      <c r="R637" s="19">
        <v>2331.75</v>
      </c>
      <c r="S637" s="21">
        <v>0.1</v>
      </c>
      <c r="T637" s="21">
        <v>2564.9250000000002</v>
      </c>
      <c r="U637" s="60" t="s">
        <v>371</v>
      </c>
      <c r="V637" s="22">
        <v>45847</v>
      </c>
      <c r="W637" s="54" t="s">
        <v>91</v>
      </c>
      <c r="X637" s="23"/>
      <c r="Y637" s="23" t="s">
        <v>92</v>
      </c>
      <c r="Z637" s="56" t="s">
        <v>1338</v>
      </c>
      <c r="AA637" s="24">
        <v>856644</v>
      </c>
      <c r="AB637" s="19"/>
      <c r="AC637" s="46" t="s">
        <v>94</v>
      </c>
      <c r="AD637" s="15" t="e">
        <f ca="1">IF(AND(#REF!&lt;&gt;"",COUNTIF(OFFSET(UFS!$E$2,MATCH(#REF!&amp;"",UFS!$A$2:$A$175,0)-1,0,COUNTIF(UFS!$A$2:$A$175,#REF!&amp;""),1),M637)&gt;0),"Valide","Invalide")</f>
        <v>#REF!</v>
      </c>
      <c r="AH637" s="15" t="str">
        <f t="shared" si="9"/>
        <v>En attente</v>
      </c>
    </row>
    <row r="638" spans="1:34" s="15" customFormat="1" ht="45" hidden="1" customHeight="1" x14ac:dyDescent="0.3">
      <c r="A638" s="42">
        <v>639</v>
      </c>
      <c r="B638" s="19" t="s">
        <v>20</v>
      </c>
      <c r="C638" s="19" t="s">
        <v>37</v>
      </c>
      <c r="D638" s="90" t="s">
        <v>276</v>
      </c>
      <c r="E638" s="20" t="s">
        <v>79</v>
      </c>
      <c r="F638" s="21" t="s">
        <v>80</v>
      </c>
      <c r="G638" s="38" t="s">
        <v>241</v>
      </c>
      <c r="H638" s="39" t="s">
        <v>367</v>
      </c>
      <c r="I638" s="39" t="s">
        <v>368</v>
      </c>
      <c r="J638" s="21" t="s">
        <v>144</v>
      </c>
      <c r="K638" s="21" t="s">
        <v>277</v>
      </c>
      <c r="L638" s="21" t="s">
        <v>278</v>
      </c>
      <c r="M638" s="21" t="s">
        <v>279</v>
      </c>
      <c r="N638" s="21" t="s">
        <v>151</v>
      </c>
      <c r="O638" s="20" t="s">
        <v>2281</v>
      </c>
      <c r="P638" s="45">
        <v>45839</v>
      </c>
      <c r="Q638" s="39" t="s">
        <v>2282</v>
      </c>
      <c r="R638" s="19">
        <v>90</v>
      </c>
      <c r="S638" s="21">
        <v>0.2</v>
      </c>
      <c r="T638" s="21">
        <v>108</v>
      </c>
      <c r="U638" s="60" t="s">
        <v>371</v>
      </c>
      <c r="V638" s="22">
        <v>45847</v>
      </c>
      <c r="W638" s="54" t="s">
        <v>91</v>
      </c>
      <c r="X638" s="23"/>
      <c r="Y638" s="23" t="s">
        <v>92</v>
      </c>
      <c r="Z638" s="56" t="s">
        <v>1338</v>
      </c>
      <c r="AA638" s="24">
        <v>856647</v>
      </c>
      <c r="AB638" s="19"/>
      <c r="AC638" s="46" t="s">
        <v>94</v>
      </c>
      <c r="AD638" s="15" t="str">
        <f ca="1">IF(AND($D638&lt;&gt;"",COUNTIF(OFFSET(UFS!$E$2,MATCH($D638&amp;"",UFS!$A$2:$A$175,0)-1,0,COUNTIF(UFS!$A$2:$A$175,$D638&amp;""),1),M638)&gt;0),"Valide","Invalide")</f>
        <v>Valide</v>
      </c>
      <c r="AH638" s="15" t="str">
        <f t="shared" si="9"/>
        <v>En attente</v>
      </c>
    </row>
    <row r="639" spans="1:34" s="15" customFormat="1" ht="45" hidden="1" customHeight="1" x14ac:dyDescent="0.3">
      <c r="A639" s="42">
        <v>640</v>
      </c>
      <c r="B639" s="19" t="s">
        <v>20</v>
      </c>
      <c r="C639" s="19" t="s">
        <v>37</v>
      </c>
      <c r="D639" s="20" t="s">
        <v>260</v>
      </c>
      <c r="E639" s="20" t="s">
        <v>79</v>
      </c>
      <c r="F639" s="21" t="s">
        <v>80</v>
      </c>
      <c r="G639" s="38" t="s">
        <v>241</v>
      </c>
      <c r="H639" s="39" t="s">
        <v>367</v>
      </c>
      <c r="I639" s="39" t="s">
        <v>368</v>
      </c>
      <c r="J639" s="21" t="s">
        <v>84</v>
      </c>
      <c r="K639" s="21" t="s">
        <v>113</v>
      </c>
      <c r="L639" s="21" t="s">
        <v>86</v>
      </c>
      <c r="M639" s="21" t="s">
        <v>109</v>
      </c>
      <c r="N639" s="21" t="s">
        <v>109</v>
      </c>
      <c r="O639" s="20" t="s">
        <v>2283</v>
      </c>
      <c r="P639" s="45">
        <v>45839</v>
      </c>
      <c r="Q639" s="39" t="s">
        <v>2284</v>
      </c>
      <c r="R639" s="19">
        <v>90</v>
      </c>
      <c r="S639" s="21">
        <v>0.1</v>
      </c>
      <c r="T639" s="21">
        <v>99</v>
      </c>
      <c r="U639" s="60" t="s">
        <v>371</v>
      </c>
      <c r="V639" s="22">
        <v>45847</v>
      </c>
      <c r="W639" s="54" t="s">
        <v>91</v>
      </c>
      <c r="X639" s="23"/>
      <c r="Y639" s="23" t="s">
        <v>92</v>
      </c>
      <c r="Z639" s="56" t="s">
        <v>1338</v>
      </c>
      <c r="AA639" s="24">
        <v>856648</v>
      </c>
      <c r="AB639" s="19"/>
      <c r="AC639" s="46" t="s">
        <v>94</v>
      </c>
      <c r="AD639" s="15" t="str">
        <f ca="1">IF(AND($D639&lt;&gt;"",COUNTIF(OFFSET(UFS!$E$2,MATCH($D639&amp;"",UFS!$A$2:$A$175,0)-1,0,COUNTIF(UFS!$A$2:$A$175,$D639&amp;""),1),M639)&gt;0),"Valide","Invalide")</f>
        <v>Valide</v>
      </c>
      <c r="AH639" s="15" t="str">
        <f t="shared" si="9"/>
        <v>En attente</v>
      </c>
    </row>
    <row r="640" spans="1:34" s="15" customFormat="1" ht="45" hidden="1" customHeight="1" x14ac:dyDescent="0.3">
      <c r="A640" s="42">
        <v>641</v>
      </c>
      <c r="B640" s="19" t="s">
        <v>20</v>
      </c>
      <c r="C640" s="19" t="s">
        <v>37</v>
      </c>
      <c r="D640" s="20" t="s">
        <v>260</v>
      </c>
      <c r="E640" s="20" t="s">
        <v>79</v>
      </c>
      <c r="F640" s="21" t="s">
        <v>80</v>
      </c>
      <c r="G640" s="38" t="s">
        <v>241</v>
      </c>
      <c r="H640" s="39" t="s">
        <v>367</v>
      </c>
      <c r="I640" s="39" t="s">
        <v>368</v>
      </c>
      <c r="J640" s="21" t="s">
        <v>84</v>
      </c>
      <c r="K640" s="21" t="s">
        <v>113</v>
      </c>
      <c r="L640" s="21" t="s">
        <v>86</v>
      </c>
      <c r="M640" s="21" t="s">
        <v>109</v>
      </c>
      <c r="N640" s="21" t="s">
        <v>109</v>
      </c>
      <c r="O640" s="20" t="s">
        <v>2285</v>
      </c>
      <c r="P640" s="45">
        <v>45839</v>
      </c>
      <c r="Q640" s="39" t="s">
        <v>2286</v>
      </c>
      <c r="R640" s="19">
        <v>272.67</v>
      </c>
      <c r="S640" s="21">
        <v>0.1</v>
      </c>
      <c r="T640" s="21">
        <v>299.93700000000001</v>
      </c>
      <c r="U640" s="60" t="s">
        <v>371</v>
      </c>
      <c r="V640" s="22">
        <v>45847</v>
      </c>
      <c r="W640" s="54" t="s">
        <v>91</v>
      </c>
      <c r="X640" s="23"/>
      <c r="Y640" s="23" t="s">
        <v>92</v>
      </c>
      <c r="Z640" s="56" t="s">
        <v>1338</v>
      </c>
      <c r="AA640" s="24">
        <v>856652</v>
      </c>
      <c r="AB640" s="19"/>
      <c r="AC640" s="46" t="s">
        <v>94</v>
      </c>
      <c r="AD640" s="15" t="str">
        <f ca="1">IF(AND($D640&lt;&gt;"",COUNTIF(OFFSET(UFS!$E$2,MATCH($D640&amp;"",UFS!$A$2:$A$175,0)-1,0,COUNTIF(UFS!$A$2:$A$175,$D640&amp;""),1),M640)&gt;0),"Valide","Invalide")</f>
        <v>Valide</v>
      </c>
      <c r="AH640" s="15" t="str">
        <f t="shared" si="9"/>
        <v>En attente</v>
      </c>
    </row>
    <row r="641" spans="1:34" s="15" customFormat="1" ht="45" hidden="1" customHeight="1" x14ac:dyDescent="0.3">
      <c r="A641" s="42">
        <v>642</v>
      </c>
      <c r="B641" s="19" t="s">
        <v>20</v>
      </c>
      <c r="C641" s="19" t="s">
        <v>37</v>
      </c>
      <c r="D641" s="20" t="s">
        <v>200</v>
      </c>
      <c r="E641" s="20" t="s">
        <v>79</v>
      </c>
      <c r="F641" s="21" t="s">
        <v>80</v>
      </c>
      <c r="G641" s="38" t="s">
        <v>241</v>
      </c>
      <c r="H641" s="39" t="s">
        <v>367</v>
      </c>
      <c r="I641" s="39" t="s">
        <v>368</v>
      </c>
      <c r="J641" s="21" t="s">
        <v>144</v>
      </c>
      <c r="K641" s="21" t="s">
        <v>145</v>
      </c>
      <c r="L641" s="21" t="s">
        <v>203</v>
      </c>
      <c r="M641" s="21" t="s">
        <v>109</v>
      </c>
      <c r="N641" s="21" t="s">
        <v>109</v>
      </c>
      <c r="O641" s="20" t="s">
        <v>2287</v>
      </c>
      <c r="P641" s="45">
        <v>45840</v>
      </c>
      <c r="Q641" s="39" t="s">
        <v>2288</v>
      </c>
      <c r="R641" s="19">
        <v>90</v>
      </c>
      <c r="S641" s="21">
        <v>0.2</v>
      </c>
      <c r="T641" s="21">
        <v>108</v>
      </c>
      <c r="U641" s="60" t="s">
        <v>371</v>
      </c>
      <c r="V641" s="22">
        <v>45847</v>
      </c>
      <c r="W641" s="54" t="s">
        <v>91</v>
      </c>
      <c r="X641" s="23"/>
      <c r="Y641" s="23" t="s">
        <v>92</v>
      </c>
      <c r="Z641" s="56" t="s">
        <v>1338</v>
      </c>
      <c r="AA641" s="24">
        <v>856653</v>
      </c>
      <c r="AB641" s="19"/>
      <c r="AC641" s="46" t="s">
        <v>94</v>
      </c>
      <c r="AD641" s="15" t="e">
        <f ca="1">IF(AND($D641&lt;&gt;"",COUNTIF(OFFSET(UFS!$E$2,MATCH($D641&amp;"",UFS!$A$2:$A$175,0)-1,0,COUNTIF(UFS!$A$2:$A$175,$D641&amp;""),1),M641)&gt;0),"Valide","Invalide")</f>
        <v>#N/A</v>
      </c>
      <c r="AH641" s="15" t="str">
        <f t="shared" si="9"/>
        <v>En attente</v>
      </c>
    </row>
    <row r="642" spans="1:34" s="15" customFormat="1" ht="45" hidden="1" customHeight="1" x14ac:dyDescent="0.3">
      <c r="A642" s="42">
        <v>643</v>
      </c>
      <c r="B642" s="19" t="s">
        <v>20</v>
      </c>
      <c r="C642" s="19" t="s">
        <v>37</v>
      </c>
      <c r="D642" s="20" t="s">
        <v>260</v>
      </c>
      <c r="E642" s="20" t="s">
        <v>79</v>
      </c>
      <c r="F642" s="21" t="s">
        <v>80</v>
      </c>
      <c r="G642" s="38" t="s">
        <v>241</v>
      </c>
      <c r="H642" s="39" t="s">
        <v>367</v>
      </c>
      <c r="I642" s="39" t="s">
        <v>368</v>
      </c>
      <c r="J642" s="21" t="s">
        <v>84</v>
      </c>
      <c r="K642" s="21" t="s">
        <v>113</v>
      </c>
      <c r="L642" s="21" t="s">
        <v>86</v>
      </c>
      <c r="M642" s="21" t="s">
        <v>109</v>
      </c>
      <c r="N642" s="21" t="s">
        <v>109</v>
      </c>
      <c r="O642" s="20" t="s">
        <v>2289</v>
      </c>
      <c r="P642" s="45">
        <v>45845</v>
      </c>
      <c r="Q642" s="39" t="s">
        <v>2290</v>
      </c>
      <c r="R642" s="19">
        <v>646.35</v>
      </c>
      <c r="S642" s="21">
        <v>0.1</v>
      </c>
      <c r="T642" s="21">
        <v>710.98500000000001</v>
      </c>
      <c r="U642" s="60" t="s">
        <v>371</v>
      </c>
      <c r="V642" s="22">
        <v>45847</v>
      </c>
      <c r="W642" s="54" t="s">
        <v>91</v>
      </c>
      <c r="X642" s="23"/>
      <c r="Y642" s="23" t="s">
        <v>92</v>
      </c>
      <c r="Z642" s="56" t="s">
        <v>1338</v>
      </c>
      <c r="AA642" s="24">
        <v>856672</v>
      </c>
      <c r="AB642" s="19"/>
      <c r="AC642" s="46" t="s">
        <v>94</v>
      </c>
      <c r="AD642" s="15" t="str">
        <f ca="1">IF(AND($D642&lt;&gt;"",COUNTIF(OFFSET(UFS!$E$2,MATCH($D642&amp;"",UFS!$A$2:$A$175,0)-1,0,COUNTIF(UFS!$A$2:$A$175,$D642&amp;""),1),M642)&gt;0),"Valide","Invalide")</f>
        <v>Valide</v>
      </c>
      <c r="AH642" s="15" t="str">
        <f t="shared" si="9"/>
        <v>En attente</v>
      </c>
    </row>
    <row r="643" spans="1:34" s="15" customFormat="1" ht="45" hidden="1" customHeight="1" x14ac:dyDescent="0.3">
      <c r="A643" s="42">
        <v>644</v>
      </c>
      <c r="B643" s="19" t="s">
        <v>24</v>
      </c>
      <c r="C643" s="19" t="s">
        <v>1</v>
      </c>
      <c r="D643" s="20" t="s">
        <v>1659</v>
      </c>
      <c r="E643" s="20" t="s">
        <v>79</v>
      </c>
      <c r="F643" s="21" t="s">
        <v>80</v>
      </c>
      <c r="G643" s="38" t="s">
        <v>81</v>
      </c>
      <c r="H643" s="39" t="s">
        <v>82</v>
      </c>
      <c r="I643" s="39" t="s">
        <v>83</v>
      </c>
      <c r="J643" s="21" t="s">
        <v>144</v>
      </c>
      <c r="K643" s="21" t="s">
        <v>145</v>
      </c>
      <c r="L643" s="21" t="s">
        <v>1660</v>
      </c>
      <c r="M643" s="21" t="s">
        <v>1661</v>
      </c>
      <c r="N643" s="21" t="s">
        <v>1662</v>
      </c>
      <c r="O643" s="20" t="s">
        <v>2291</v>
      </c>
      <c r="P643" s="45">
        <v>45847</v>
      </c>
      <c r="Q643" s="39" t="s">
        <v>2292</v>
      </c>
      <c r="R643" s="19">
        <v>1523.7</v>
      </c>
      <c r="S643" s="21">
        <v>0.2</v>
      </c>
      <c r="T643" s="21">
        <v>1828.44</v>
      </c>
      <c r="U643" s="44" t="s">
        <v>2293</v>
      </c>
      <c r="V643" s="22">
        <v>45848</v>
      </c>
      <c r="W643" s="54" t="s">
        <v>91</v>
      </c>
      <c r="X643" s="23"/>
      <c r="Y643" s="23" t="s">
        <v>92</v>
      </c>
      <c r="Z643" s="56" t="s">
        <v>1338</v>
      </c>
      <c r="AA643" s="24">
        <v>856690</v>
      </c>
      <c r="AB643" s="19"/>
      <c r="AC643" s="46" t="s">
        <v>94</v>
      </c>
      <c r="AD643" s="15" t="str">
        <f ca="1">IF(AND($D643&lt;&gt;"",COUNTIF(OFFSET(UFS!$E$2,MATCH($D643&amp;"",UFS!$A$2:$A$175,0)-1,0,COUNTIF(UFS!$A$2:$A$175,$D643&amp;""),1),M643)&gt;0),"Valide","Invalide")</f>
        <v>Valide</v>
      </c>
      <c r="AH643" s="15" t="str">
        <f t="shared" ref="AH643:AH706" si="10">IF(T643&lt;&gt;"","En attente","")</f>
        <v>En attente</v>
      </c>
    </row>
    <row r="644" spans="1:34" s="15" customFormat="1" ht="45" hidden="1" customHeight="1" x14ac:dyDescent="0.3">
      <c r="A644" s="42">
        <v>645</v>
      </c>
      <c r="B644" s="19" t="s">
        <v>24</v>
      </c>
      <c r="C644" s="19" t="s">
        <v>30</v>
      </c>
      <c r="D644" s="20" t="s">
        <v>174</v>
      </c>
      <c r="E644" s="20" t="s">
        <v>79</v>
      </c>
      <c r="F644" s="21" t="s">
        <v>80</v>
      </c>
      <c r="G644" s="38" t="s">
        <v>81</v>
      </c>
      <c r="H644" s="39" t="s">
        <v>82</v>
      </c>
      <c r="I644" s="39" t="s">
        <v>83</v>
      </c>
      <c r="J644" s="21" t="s">
        <v>124</v>
      </c>
      <c r="K644" s="21" t="s">
        <v>125</v>
      </c>
      <c r="L644" s="21" t="s">
        <v>177</v>
      </c>
      <c r="M644" s="21" t="s">
        <v>136</v>
      </c>
      <c r="N644" s="21" t="s">
        <v>102</v>
      </c>
      <c r="O644" s="20" t="s">
        <v>2294</v>
      </c>
      <c r="P644" s="45">
        <v>45847</v>
      </c>
      <c r="Q644" s="39" t="s">
        <v>2295</v>
      </c>
      <c r="R644" s="19">
        <v>670.57</v>
      </c>
      <c r="S644" s="21">
        <v>0.1</v>
      </c>
      <c r="T644" s="21">
        <v>737.62700000000007</v>
      </c>
      <c r="U644" s="44" t="s">
        <v>2296</v>
      </c>
      <c r="V644" s="22">
        <v>45848</v>
      </c>
      <c r="W644" s="54" t="s">
        <v>91</v>
      </c>
      <c r="X644" s="23"/>
      <c r="Y644" s="23" t="s">
        <v>92</v>
      </c>
      <c r="Z644" s="56" t="s">
        <v>1338</v>
      </c>
      <c r="AA644" s="24">
        <v>856769</v>
      </c>
      <c r="AB644" s="19"/>
      <c r="AC644" s="46" t="s">
        <v>94</v>
      </c>
      <c r="AD644" s="15" t="str">
        <f ca="1">IF(AND($D644&lt;&gt;"",COUNTIF(OFFSET(UFS!$E$2,MATCH($D644&amp;"",UFS!$A$2:$A$175,0)-1,0,COUNTIF(UFS!$A$2:$A$175,$D644&amp;""),1),M644)&gt;0),"Valide","Invalide")</f>
        <v>Valide</v>
      </c>
      <c r="AH644" s="15" t="str">
        <f t="shared" si="10"/>
        <v>En attente</v>
      </c>
    </row>
    <row r="645" spans="1:34" s="15" customFormat="1" ht="45" hidden="1" customHeight="1" x14ac:dyDescent="0.3">
      <c r="A645" s="42">
        <v>646</v>
      </c>
      <c r="B645" s="19" t="s">
        <v>16</v>
      </c>
      <c r="C645" s="19" t="s">
        <v>30</v>
      </c>
      <c r="D645" s="20" t="s">
        <v>911</v>
      </c>
      <c r="E645" s="20" t="s">
        <v>79</v>
      </c>
      <c r="F645" s="21" t="s">
        <v>80</v>
      </c>
      <c r="G645" s="38" t="s">
        <v>182</v>
      </c>
      <c r="H645" s="39" t="s">
        <v>82</v>
      </c>
      <c r="I645" s="39" t="s">
        <v>83</v>
      </c>
      <c r="J645" s="21" t="s">
        <v>144</v>
      </c>
      <c r="K645" s="21" t="s">
        <v>145</v>
      </c>
      <c r="L645" s="21" t="s">
        <v>270</v>
      </c>
      <c r="M645" s="21" t="s">
        <v>912</v>
      </c>
      <c r="N645" s="21" t="s">
        <v>102</v>
      </c>
      <c r="O645" s="20" t="s">
        <v>2297</v>
      </c>
      <c r="P645" s="45">
        <v>45847</v>
      </c>
      <c r="Q645" s="39" t="s">
        <v>2298</v>
      </c>
      <c r="R645" s="19">
        <v>3977.61</v>
      </c>
      <c r="S645" s="21">
        <v>0.1</v>
      </c>
      <c r="T645" s="21">
        <v>4375.3710000000001</v>
      </c>
      <c r="U645" s="44" t="s">
        <v>2299</v>
      </c>
      <c r="V645" s="22">
        <v>45849</v>
      </c>
      <c r="W645" s="54" t="s">
        <v>91</v>
      </c>
      <c r="X645" s="23"/>
      <c r="Y645" s="23" t="s">
        <v>92</v>
      </c>
      <c r="Z645" s="56" t="s">
        <v>928</v>
      </c>
      <c r="AA645" s="24">
        <v>856770</v>
      </c>
      <c r="AB645" s="19" t="s">
        <v>1541</v>
      </c>
      <c r="AC645" s="46" t="s">
        <v>94</v>
      </c>
      <c r="AD645" s="15" t="str">
        <f ca="1">IF(AND($D645&lt;&gt;"",COUNTIF(OFFSET(UFS!$E$2,MATCH($D645&amp;"",UFS!$A$2:$A$175,0)-1,0,COUNTIF(UFS!$A$2:$A$175,$D645&amp;""),1),M645)&gt;0),"Valide","Invalide")</f>
        <v>Valide</v>
      </c>
      <c r="AH645" s="15" t="str">
        <f t="shared" si="10"/>
        <v>En attente</v>
      </c>
    </row>
    <row r="646" spans="1:34" s="15" customFormat="1" ht="45" hidden="1" customHeight="1" x14ac:dyDescent="0.3">
      <c r="A646" s="42">
        <v>647</v>
      </c>
      <c r="B646" s="19" t="s">
        <v>16</v>
      </c>
      <c r="C646" s="19" t="s">
        <v>30</v>
      </c>
      <c r="D646" s="20" t="s">
        <v>902</v>
      </c>
      <c r="E646" s="20" t="s">
        <v>79</v>
      </c>
      <c r="F646" s="21" t="s">
        <v>80</v>
      </c>
      <c r="G646" s="38" t="s">
        <v>81</v>
      </c>
      <c r="H646" s="39" t="s">
        <v>82</v>
      </c>
      <c r="I646" s="39" t="s">
        <v>83</v>
      </c>
      <c r="J646" s="21" t="s">
        <v>144</v>
      </c>
      <c r="K646" s="21" t="s">
        <v>145</v>
      </c>
      <c r="L646" s="21" t="s">
        <v>192</v>
      </c>
      <c r="M646" s="21" t="s">
        <v>903</v>
      </c>
      <c r="N646" s="21" t="s">
        <v>102</v>
      </c>
      <c r="O646" s="20" t="s">
        <v>2300</v>
      </c>
      <c r="P646" s="45">
        <v>45847</v>
      </c>
      <c r="Q646" s="39" t="s">
        <v>2301</v>
      </c>
      <c r="R646" s="19">
        <v>2214.56</v>
      </c>
      <c r="S646" s="21">
        <v>0.1</v>
      </c>
      <c r="T646" s="21">
        <v>2436.0160000000001</v>
      </c>
      <c r="U646" s="44" t="s">
        <v>2302</v>
      </c>
      <c r="V646" s="22">
        <v>45849</v>
      </c>
      <c r="W646" s="54" t="s">
        <v>91</v>
      </c>
      <c r="X646" s="23"/>
      <c r="Y646" s="23" t="s">
        <v>92</v>
      </c>
      <c r="Z646" s="56" t="s">
        <v>928</v>
      </c>
      <c r="AA646" s="24">
        <v>856771</v>
      </c>
      <c r="AB646" s="19" t="s">
        <v>2303</v>
      </c>
      <c r="AC646" s="46" t="s">
        <v>94</v>
      </c>
      <c r="AD646" s="15" t="str">
        <f ca="1">IF(AND($D646&lt;&gt;"",COUNTIF(OFFSET(UFS!$E$2,MATCH($D646&amp;"",UFS!$A$2:$A$175,0)-1,0,COUNTIF(UFS!$A$2:$A$175,$D646&amp;""),1),M646)&gt;0),"Valide","Invalide")</f>
        <v>Valide</v>
      </c>
      <c r="AH646" s="15" t="str">
        <f t="shared" si="10"/>
        <v>En attente</v>
      </c>
    </row>
    <row r="647" spans="1:34" s="15" customFormat="1" ht="45" hidden="1" customHeight="1" x14ac:dyDescent="0.3">
      <c r="A647" s="42">
        <v>648</v>
      </c>
      <c r="B647" s="19" t="s">
        <v>16</v>
      </c>
      <c r="C647" s="19" t="s">
        <v>35</v>
      </c>
      <c r="D647" s="20" t="s">
        <v>1740</v>
      </c>
      <c r="E647" s="20" t="s">
        <v>79</v>
      </c>
      <c r="F647" s="21" t="s">
        <v>80</v>
      </c>
      <c r="G647" s="38" t="s">
        <v>81</v>
      </c>
      <c r="H647" s="39" t="s">
        <v>215</v>
      </c>
      <c r="I647" s="39" t="s">
        <v>83</v>
      </c>
      <c r="J647" s="21" t="s">
        <v>144</v>
      </c>
      <c r="K647" s="21" t="s">
        <v>145</v>
      </c>
      <c r="L647" s="21" t="s">
        <v>342</v>
      </c>
      <c r="M647" s="21" t="s">
        <v>1741</v>
      </c>
      <c r="N647" s="21" t="s">
        <v>87</v>
      </c>
      <c r="O647" s="20" t="s">
        <v>2304</v>
      </c>
      <c r="P647" s="45">
        <v>45845</v>
      </c>
      <c r="Q647" s="39" t="s">
        <v>2305</v>
      </c>
      <c r="R647" s="19">
        <v>1245.3399999999999</v>
      </c>
      <c r="S647" s="21">
        <v>0.2</v>
      </c>
      <c r="T647" s="21">
        <v>1494.4079999999999</v>
      </c>
      <c r="U647" s="44" t="s">
        <v>2306</v>
      </c>
      <c r="V647" s="22">
        <v>45853</v>
      </c>
      <c r="W647" s="54" t="s">
        <v>91</v>
      </c>
      <c r="X647" s="23"/>
      <c r="Y647" s="23" t="s">
        <v>92</v>
      </c>
      <c r="Z647" s="56" t="s">
        <v>928</v>
      </c>
      <c r="AA647" s="24">
        <v>856930</v>
      </c>
      <c r="AB647" s="19" t="s">
        <v>2307</v>
      </c>
      <c r="AC647" s="46" t="s">
        <v>94</v>
      </c>
      <c r="AD647" s="15" t="str">
        <f ca="1">IF(AND($D647&lt;&gt;"",COUNTIF(OFFSET(UFS!$E$2,MATCH($D647&amp;"",UFS!$A$2:$A$175,0)-1,0,COUNTIF(UFS!$A$2:$A$175,$D647&amp;""),1),M647)&gt;0),"Valide","Invalide")</f>
        <v>Valide</v>
      </c>
      <c r="AH647" s="15" t="str">
        <f t="shared" si="10"/>
        <v>En attente</v>
      </c>
    </row>
    <row r="648" spans="1:34" s="15" customFormat="1" ht="45" hidden="1" customHeight="1" x14ac:dyDescent="0.3">
      <c r="A648" s="42">
        <v>649</v>
      </c>
      <c r="B648" s="19" t="s">
        <v>16</v>
      </c>
      <c r="C648" s="19" t="s">
        <v>35</v>
      </c>
      <c r="D648" s="20" t="s">
        <v>1740</v>
      </c>
      <c r="E648" s="20" t="s">
        <v>79</v>
      </c>
      <c r="F648" s="21" t="s">
        <v>80</v>
      </c>
      <c r="G648" s="38" t="s">
        <v>81</v>
      </c>
      <c r="H648" s="39"/>
      <c r="I648" s="39" t="s">
        <v>83</v>
      </c>
      <c r="J648" s="21" t="s">
        <v>144</v>
      </c>
      <c r="K648" s="21" t="s">
        <v>145</v>
      </c>
      <c r="L648" s="21" t="s">
        <v>342</v>
      </c>
      <c r="M648" s="21" t="s">
        <v>1741</v>
      </c>
      <c r="N648" s="21" t="s">
        <v>87</v>
      </c>
      <c r="O648" s="20" t="s">
        <v>2308</v>
      </c>
      <c r="P648" s="45">
        <v>45845</v>
      </c>
      <c r="Q648" s="39" t="s">
        <v>2309</v>
      </c>
      <c r="R648" s="19">
        <v>949.77</v>
      </c>
      <c r="S648" s="21">
        <v>0.2</v>
      </c>
      <c r="T648" s="21">
        <v>1139.7239999999999</v>
      </c>
      <c r="U648" s="44" t="s">
        <v>2310</v>
      </c>
      <c r="V648" s="22">
        <v>45853</v>
      </c>
      <c r="W648" s="54" t="s">
        <v>91</v>
      </c>
      <c r="X648" s="23"/>
      <c r="Y648" s="23" t="s">
        <v>92</v>
      </c>
      <c r="Z648" s="56" t="s">
        <v>1338</v>
      </c>
      <c r="AA648" s="24">
        <v>856775</v>
      </c>
      <c r="AB648" s="19" t="s">
        <v>2307</v>
      </c>
      <c r="AC648" s="46" t="s">
        <v>94</v>
      </c>
      <c r="AD648" s="15" t="str">
        <f ca="1">IF(AND($D648&lt;&gt;"",COUNTIF(OFFSET(UFS!$E$2,MATCH($D648&amp;"",UFS!$A$2:$A$175,0)-1,0,COUNTIF(UFS!$A$2:$A$175,$D648&amp;""),1),M648)&gt;0),"Valide","Invalide")</f>
        <v>Valide</v>
      </c>
      <c r="AH648" s="15" t="str">
        <f t="shared" si="10"/>
        <v>En attente</v>
      </c>
    </row>
    <row r="649" spans="1:34" s="15" customFormat="1" ht="45" hidden="1" customHeight="1" x14ac:dyDescent="0.3">
      <c r="A649" s="42">
        <v>650</v>
      </c>
      <c r="B649" s="19" t="s">
        <v>26</v>
      </c>
      <c r="C649" s="19" t="s">
        <v>35</v>
      </c>
      <c r="D649" s="20" t="s">
        <v>1669</v>
      </c>
      <c r="E649" s="20" t="s">
        <v>96</v>
      </c>
      <c r="F649" s="21" t="s">
        <v>80</v>
      </c>
      <c r="G649" s="38" t="s">
        <v>201</v>
      </c>
      <c r="H649" s="39"/>
      <c r="I649" s="39" t="s">
        <v>2311</v>
      </c>
      <c r="J649" s="21" t="s">
        <v>144</v>
      </c>
      <c r="K649" s="21" t="s">
        <v>145</v>
      </c>
      <c r="L649" s="21" t="s">
        <v>146</v>
      </c>
      <c r="M649" s="21" t="s">
        <v>1671</v>
      </c>
      <c r="N649" s="21" t="s">
        <v>813</v>
      </c>
      <c r="O649" s="20" t="s">
        <v>2312</v>
      </c>
      <c r="P649" s="45">
        <v>45848</v>
      </c>
      <c r="Q649" s="39" t="s">
        <v>2313</v>
      </c>
      <c r="R649" s="19">
        <v>5903.3</v>
      </c>
      <c r="S649" s="21">
        <v>0.1</v>
      </c>
      <c r="T649" s="21">
        <v>6493.63</v>
      </c>
      <c r="U649" s="44" t="s">
        <v>2314</v>
      </c>
      <c r="V649" s="22">
        <v>45849</v>
      </c>
      <c r="W649" s="54" t="s">
        <v>91</v>
      </c>
      <c r="X649" s="23" t="s">
        <v>430</v>
      </c>
      <c r="Y649" s="23" t="s">
        <v>92</v>
      </c>
      <c r="Z649" s="56" t="s">
        <v>2315</v>
      </c>
      <c r="AA649" s="24">
        <v>857559</v>
      </c>
      <c r="AB649" s="19"/>
      <c r="AC649" s="46" t="s">
        <v>94</v>
      </c>
      <c r="AD649" s="15" t="str">
        <f ca="1">IF(AND($D649&lt;&gt;"",COUNTIF(OFFSET(UFS!$E$2,MATCH($D649&amp;"",UFS!$A$2:$A$175,0)-1,0,COUNTIF(UFS!$A$2:$A$175,$D649&amp;""),1),M649)&gt;0),"Valide","Invalide")</f>
        <v>Valide</v>
      </c>
      <c r="AH649" s="15" t="str">
        <f t="shared" si="10"/>
        <v>En attente</v>
      </c>
    </row>
    <row r="650" spans="1:34" s="15" customFormat="1" ht="45" hidden="1" customHeight="1" x14ac:dyDescent="0.3">
      <c r="A650" s="42">
        <v>651</v>
      </c>
      <c r="B650" s="19" t="s">
        <v>26</v>
      </c>
      <c r="C650" s="19" t="s">
        <v>30</v>
      </c>
      <c r="D650" s="20" t="s">
        <v>1076</v>
      </c>
      <c r="E650" s="20" t="s">
        <v>96</v>
      </c>
      <c r="F650" s="21" t="s">
        <v>80</v>
      </c>
      <c r="G650" s="38" t="s">
        <v>169</v>
      </c>
      <c r="H650" s="39"/>
      <c r="I650" s="39" t="s">
        <v>503</v>
      </c>
      <c r="J650" s="21" t="s">
        <v>144</v>
      </c>
      <c r="K650" s="21" t="s">
        <v>145</v>
      </c>
      <c r="L650" s="21" t="s">
        <v>120</v>
      </c>
      <c r="M650" s="21" t="s">
        <v>1077</v>
      </c>
      <c r="N650" s="21" t="s">
        <v>165</v>
      </c>
      <c r="O650" s="20" t="s">
        <v>2316</v>
      </c>
      <c r="P650" s="45">
        <v>45842</v>
      </c>
      <c r="Q650" s="39" t="s">
        <v>2317</v>
      </c>
      <c r="R650" s="19">
        <v>5444.65</v>
      </c>
      <c r="S650" s="21">
        <v>0.2</v>
      </c>
      <c r="T650" s="21">
        <v>6533.58</v>
      </c>
      <c r="U650" s="44" t="s">
        <v>2318</v>
      </c>
      <c r="V650" s="22">
        <v>45850</v>
      </c>
      <c r="W650" s="54" t="s">
        <v>91</v>
      </c>
      <c r="X650" s="23"/>
      <c r="Y650" s="23" t="s">
        <v>92</v>
      </c>
      <c r="Z650" s="56" t="s">
        <v>1338</v>
      </c>
      <c r="AA650" s="24">
        <v>857911</v>
      </c>
      <c r="AB650" s="19"/>
      <c r="AC650" s="46" t="s">
        <v>94</v>
      </c>
      <c r="AD650" s="15" t="str">
        <f ca="1">IF(AND($D650&lt;&gt;"",COUNTIF(OFFSET(UFS!$E$2,MATCH($D650&amp;"",UFS!$A$2:$A$175,0)-1,0,COUNTIF(UFS!$A$2:$A$175,$D650&amp;""),1),M650)&gt;0),"Valide","Invalide")</f>
        <v>Valide</v>
      </c>
      <c r="AH650" s="15" t="str">
        <f t="shared" si="10"/>
        <v>En attente</v>
      </c>
    </row>
    <row r="651" spans="1:34" s="15" customFormat="1" ht="45" hidden="1" customHeight="1" x14ac:dyDescent="0.3">
      <c r="A651" s="42">
        <v>652</v>
      </c>
      <c r="B651" s="19" t="s">
        <v>16</v>
      </c>
      <c r="C651" s="19" t="s">
        <v>11</v>
      </c>
      <c r="D651" s="20" t="s">
        <v>810</v>
      </c>
      <c r="E651" s="20" t="s">
        <v>96</v>
      </c>
      <c r="F651" s="21" t="s">
        <v>80</v>
      </c>
      <c r="G651" s="38" t="s">
        <v>169</v>
      </c>
      <c r="H651" s="39"/>
      <c r="I651" s="39" t="s">
        <v>1746</v>
      </c>
      <c r="J651" s="21" t="s">
        <v>144</v>
      </c>
      <c r="K651" s="21" t="s">
        <v>145</v>
      </c>
      <c r="L651" s="21" t="s">
        <v>146</v>
      </c>
      <c r="M651" s="21" t="s">
        <v>812</v>
      </c>
      <c r="N651" s="21" t="s">
        <v>813</v>
      </c>
      <c r="O651" s="20" t="s">
        <v>2319</v>
      </c>
      <c r="P651" s="45">
        <v>45849</v>
      </c>
      <c r="Q651" s="44" t="s">
        <v>2320</v>
      </c>
      <c r="R651" s="19">
        <v>5746.23</v>
      </c>
      <c r="S651" s="21">
        <v>0.1</v>
      </c>
      <c r="T651" s="21">
        <v>6320.8529999999992</v>
      </c>
      <c r="U651" s="44" t="s">
        <v>2321</v>
      </c>
      <c r="V651" s="22">
        <v>45852</v>
      </c>
      <c r="W651" s="54" t="s">
        <v>91</v>
      </c>
      <c r="X651" s="23"/>
      <c r="Y651" s="23" t="s">
        <v>92</v>
      </c>
      <c r="Z651" s="56" t="s">
        <v>1338</v>
      </c>
      <c r="AA651" s="24">
        <v>859812</v>
      </c>
      <c r="AB651" s="19"/>
      <c r="AC651" s="19"/>
      <c r="AD651" s="15" t="str">
        <f ca="1">IF(AND($D651&lt;&gt;"",COUNTIF(OFFSET(UFS!$E$2,MATCH($D651&amp;"",UFS!$A$2:$A$175,0)-1,0,COUNTIF(UFS!$A$2:$A$175,$D651&amp;""),1),M651)&gt;0),"Valide","Invalide")</f>
        <v>Valide</v>
      </c>
      <c r="AH651" s="15" t="str">
        <f t="shared" si="10"/>
        <v>En attente</v>
      </c>
    </row>
    <row r="652" spans="1:34" s="15" customFormat="1" ht="45" hidden="1" customHeight="1" x14ac:dyDescent="0.3">
      <c r="A652" s="42">
        <v>653</v>
      </c>
      <c r="B652" s="19" t="s">
        <v>16</v>
      </c>
      <c r="C652" s="19" t="s">
        <v>11</v>
      </c>
      <c r="D652" s="20" t="s">
        <v>810</v>
      </c>
      <c r="E652" s="20" t="s">
        <v>96</v>
      </c>
      <c r="F652" s="21" t="s">
        <v>80</v>
      </c>
      <c r="G652" s="38" t="s">
        <v>169</v>
      </c>
      <c r="H652" s="39"/>
      <c r="I652" s="39" t="s">
        <v>1746</v>
      </c>
      <c r="J652" s="21" t="s">
        <v>144</v>
      </c>
      <c r="K652" s="21" t="s">
        <v>145</v>
      </c>
      <c r="L652" s="21" t="s">
        <v>146</v>
      </c>
      <c r="M652" s="21" t="s">
        <v>812</v>
      </c>
      <c r="N652" s="21" t="s">
        <v>813</v>
      </c>
      <c r="O652" s="20" t="s">
        <v>2322</v>
      </c>
      <c r="P652" s="45">
        <v>45910</v>
      </c>
      <c r="Q652" s="39" t="s">
        <v>2323</v>
      </c>
      <c r="R652" s="19">
        <v>10914.43</v>
      </c>
      <c r="S652" s="21">
        <v>0.1</v>
      </c>
      <c r="T652" s="21">
        <v>12005.873</v>
      </c>
      <c r="U652" s="44" t="s">
        <v>2321</v>
      </c>
      <c r="V652" s="22">
        <v>45852</v>
      </c>
      <c r="W652" s="54" t="s">
        <v>91</v>
      </c>
      <c r="X652" s="23"/>
      <c r="Y652" s="23" t="s">
        <v>92</v>
      </c>
      <c r="Z652" s="56" t="s">
        <v>1338</v>
      </c>
      <c r="AA652" s="24">
        <v>859815</v>
      </c>
      <c r="AB652" s="19"/>
      <c r="AC652" s="19"/>
      <c r="AD652" s="15" t="str">
        <f ca="1">IF(AND($D652&lt;&gt;"",COUNTIF(OFFSET(UFS!$E$2,MATCH($D652&amp;"",UFS!$A$2:$A$175,0)-1,0,COUNTIF(UFS!$A$2:$A$175,$D652&amp;""),1),M652)&gt;0),"Valide","Invalide")</f>
        <v>Valide</v>
      </c>
      <c r="AH652" s="15" t="str">
        <f t="shared" si="10"/>
        <v>En attente</v>
      </c>
    </row>
    <row r="653" spans="1:34" s="15" customFormat="1" ht="45" hidden="1" customHeight="1" x14ac:dyDescent="0.3">
      <c r="A653" s="42">
        <v>654</v>
      </c>
      <c r="B653" s="19" t="s">
        <v>16</v>
      </c>
      <c r="C653" s="19" t="s">
        <v>15</v>
      </c>
      <c r="D653" s="20" t="s">
        <v>810</v>
      </c>
      <c r="E653" s="20" t="s">
        <v>96</v>
      </c>
      <c r="F653" s="21" t="s">
        <v>80</v>
      </c>
      <c r="G653" s="38" t="s">
        <v>97</v>
      </c>
      <c r="H653" s="39"/>
      <c r="I653" s="39" t="s">
        <v>1746</v>
      </c>
      <c r="J653" s="21" t="s">
        <v>144</v>
      </c>
      <c r="K653" s="21" t="s">
        <v>145</v>
      </c>
      <c r="L653" s="21" t="s">
        <v>146</v>
      </c>
      <c r="M653" s="21" t="s">
        <v>812</v>
      </c>
      <c r="N653" s="21" t="s">
        <v>813</v>
      </c>
      <c r="O653" s="20" t="s">
        <v>2324</v>
      </c>
      <c r="P653" s="45">
        <v>45915</v>
      </c>
      <c r="Q653" s="39" t="s">
        <v>2325</v>
      </c>
      <c r="R653" s="19">
        <v>56734.52</v>
      </c>
      <c r="S653" s="21">
        <v>0.1</v>
      </c>
      <c r="T653" s="21">
        <v>62407.971999999994</v>
      </c>
      <c r="U653" s="60" t="s">
        <v>2181</v>
      </c>
      <c r="V653" s="22">
        <v>45852</v>
      </c>
      <c r="W653" s="54" t="s">
        <v>91</v>
      </c>
      <c r="X653" s="23"/>
      <c r="Y653" s="23" t="s">
        <v>92</v>
      </c>
      <c r="Z653" s="84" t="s">
        <v>1338</v>
      </c>
      <c r="AA653" s="24">
        <v>859818</v>
      </c>
      <c r="AB653" s="45">
        <v>45932</v>
      </c>
      <c r="AC653" s="46" t="s">
        <v>94</v>
      </c>
      <c r="AD653" s="15" t="str">
        <f ca="1">IF(AND($D653&lt;&gt;"",COUNTIF(OFFSET(UFS!$E$2,MATCH($D653&amp;"",UFS!$A$2:$A$175,0)-1,0,COUNTIF(UFS!$A$2:$A$175,$D653&amp;""),1),M653)&gt;0),"Valide","Invalide")</f>
        <v>Valide</v>
      </c>
      <c r="AH653" s="15" t="str">
        <f t="shared" si="10"/>
        <v>En attente</v>
      </c>
    </row>
    <row r="654" spans="1:34" s="15" customFormat="1" ht="45" hidden="1" customHeight="1" x14ac:dyDescent="0.3">
      <c r="A654" s="42">
        <v>655</v>
      </c>
      <c r="B654" s="19" t="s">
        <v>24</v>
      </c>
      <c r="C654" s="19" t="s">
        <v>15</v>
      </c>
      <c r="D654" s="20" t="s">
        <v>123</v>
      </c>
      <c r="E654" s="20" t="s">
        <v>79</v>
      </c>
      <c r="F654" s="21" t="s">
        <v>80</v>
      </c>
      <c r="G654" s="38" t="s">
        <v>182</v>
      </c>
      <c r="H654" s="39" t="s">
        <v>517</v>
      </c>
      <c r="I654" s="39" t="s">
        <v>83</v>
      </c>
      <c r="J654" s="21" t="s">
        <v>124</v>
      </c>
      <c r="K654" s="21" t="s">
        <v>125</v>
      </c>
      <c r="L654" s="21" t="s">
        <v>126</v>
      </c>
      <c r="M654" s="21" t="s">
        <v>109</v>
      </c>
      <c r="N654" s="21" t="s">
        <v>109</v>
      </c>
      <c r="O654" s="20" t="s">
        <v>2326</v>
      </c>
      <c r="P654" s="45">
        <v>45744</v>
      </c>
      <c r="Q654" s="39" t="s">
        <v>2327</v>
      </c>
      <c r="R654" s="19">
        <v>11619.29</v>
      </c>
      <c r="S654" s="21">
        <v>0.1</v>
      </c>
      <c r="T654" s="21">
        <v>12781.219000000001</v>
      </c>
      <c r="U654" s="44" t="s">
        <v>2328</v>
      </c>
      <c r="V654" s="22">
        <v>45853</v>
      </c>
      <c r="W654" s="54" t="s">
        <v>91</v>
      </c>
      <c r="X654" s="23"/>
      <c r="Y654" s="23" t="s">
        <v>92</v>
      </c>
      <c r="Z654" s="56" t="s">
        <v>1338</v>
      </c>
      <c r="AA654" s="24">
        <v>856776</v>
      </c>
      <c r="AB654" s="19"/>
      <c r="AC654" s="46" t="s">
        <v>94</v>
      </c>
      <c r="AD654" s="15" t="str">
        <f ca="1">IF(AND($D654&lt;&gt;"",COUNTIF(OFFSET(UFS!$E$2,MATCH($D654&amp;"",UFS!$A$2:$A$175,0)-1,0,COUNTIF(UFS!$A$2:$A$175,$D654&amp;""),1),M654)&gt;0),"Valide","Invalide")</f>
        <v>Valide</v>
      </c>
      <c r="AH654" s="15" t="str">
        <f t="shared" si="10"/>
        <v>En attente</v>
      </c>
    </row>
    <row r="655" spans="1:34" s="15" customFormat="1" ht="45" hidden="1" customHeight="1" x14ac:dyDescent="0.3">
      <c r="A655" s="42">
        <v>656</v>
      </c>
      <c r="B655" s="19" t="s">
        <v>24</v>
      </c>
      <c r="C655" s="19" t="s">
        <v>15</v>
      </c>
      <c r="D655" s="20" t="s">
        <v>123</v>
      </c>
      <c r="E655" s="20" t="s">
        <v>79</v>
      </c>
      <c r="F655" s="21" t="s">
        <v>80</v>
      </c>
      <c r="G655" s="38" t="s">
        <v>81</v>
      </c>
      <c r="H655" s="39" t="s">
        <v>139</v>
      </c>
      <c r="I655" s="39" t="s">
        <v>83</v>
      </c>
      <c r="J655" s="21" t="s">
        <v>124</v>
      </c>
      <c r="K655" s="21" t="s">
        <v>125</v>
      </c>
      <c r="L655" s="21" t="s">
        <v>126</v>
      </c>
      <c r="M655" s="21" t="s">
        <v>109</v>
      </c>
      <c r="N655" s="21" t="s">
        <v>109</v>
      </c>
      <c r="O655" s="20" t="s">
        <v>2329</v>
      </c>
      <c r="P655" s="45">
        <v>45826</v>
      </c>
      <c r="Q655" s="39" t="s">
        <v>2330</v>
      </c>
      <c r="R655" s="19">
        <v>1756.13</v>
      </c>
      <c r="S655" s="21">
        <v>0.1</v>
      </c>
      <c r="T655" s="21">
        <v>1931.7430000000002</v>
      </c>
      <c r="U655" s="60" t="s">
        <v>2331</v>
      </c>
      <c r="V655" s="22">
        <v>45853</v>
      </c>
      <c r="W655" s="54" t="s">
        <v>91</v>
      </c>
      <c r="X655" s="23"/>
      <c r="Y655" s="23" t="s">
        <v>92</v>
      </c>
      <c r="Z655" s="56" t="s">
        <v>1338</v>
      </c>
      <c r="AA655" s="24">
        <v>856778</v>
      </c>
      <c r="AB655" s="19"/>
      <c r="AC655" s="46" t="s">
        <v>94</v>
      </c>
      <c r="AD655" s="15" t="str">
        <f ca="1">IF(AND($D655&lt;&gt;"",COUNTIF(OFFSET(UFS!$E$2,MATCH($D655&amp;"",UFS!$A$2:$A$175,0)-1,0,COUNTIF(UFS!$A$2:$A$175,$D655&amp;""),1),M655)&gt;0),"Valide","Invalide")</f>
        <v>Valide</v>
      </c>
      <c r="AH655" s="15" t="str">
        <f t="shared" si="10"/>
        <v>En attente</v>
      </c>
    </row>
    <row r="656" spans="1:34" s="15" customFormat="1" ht="45" hidden="1" customHeight="1" x14ac:dyDescent="0.3">
      <c r="A656" s="42">
        <v>657</v>
      </c>
      <c r="B656" s="19" t="s">
        <v>16</v>
      </c>
      <c r="C656" s="19" t="s">
        <v>15</v>
      </c>
      <c r="D656" s="20" t="s">
        <v>548</v>
      </c>
      <c r="E656" s="20" t="s">
        <v>96</v>
      </c>
      <c r="F656" s="21" t="s">
        <v>80</v>
      </c>
      <c r="G656" s="38" t="s">
        <v>97</v>
      </c>
      <c r="H656" s="39"/>
      <c r="I656" s="39" t="s">
        <v>1904</v>
      </c>
      <c r="J656" s="21" t="s">
        <v>144</v>
      </c>
      <c r="K656" s="21" t="s">
        <v>145</v>
      </c>
      <c r="L656" s="21" t="s">
        <v>549</v>
      </c>
      <c r="M656" s="21" t="s">
        <v>549</v>
      </c>
      <c r="N656" s="21" t="s">
        <v>550</v>
      </c>
      <c r="O656" s="20"/>
      <c r="P656" s="19"/>
      <c r="Q656" s="39" t="s">
        <v>2332</v>
      </c>
      <c r="R656" s="19"/>
      <c r="S656" s="21">
        <v>0.2</v>
      </c>
      <c r="T656" s="21"/>
      <c r="U656" s="39"/>
      <c r="V656" s="21"/>
      <c r="W656" s="54" t="s">
        <v>376</v>
      </c>
      <c r="X656" s="23"/>
      <c r="Y656" s="23"/>
      <c r="Z656" s="56" t="s">
        <v>2333</v>
      </c>
      <c r="AA656" s="24"/>
      <c r="AB656" s="19"/>
      <c r="AC656" s="19"/>
      <c r="AD656" s="15" t="str">
        <f ca="1">IF(AND($D656&lt;&gt;"",COUNTIF(OFFSET(UFS!$E$2,MATCH($D656&amp;"",UFS!$A$2:$A$175,0)-1,0,COUNTIF(UFS!$A$2:$A$175,$D656&amp;""),1),M656)&gt;0),"Valide","Invalide")</f>
        <v>Valide</v>
      </c>
      <c r="AH656" s="15" t="str">
        <f t="shared" si="10"/>
        <v/>
      </c>
    </row>
    <row r="657" spans="1:34" s="15" customFormat="1" ht="45" hidden="1" customHeight="1" x14ac:dyDescent="0.3">
      <c r="A657" s="42">
        <v>658</v>
      </c>
      <c r="B657" s="19" t="s">
        <v>16</v>
      </c>
      <c r="C657" s="19" t="s">
        <v>35</v>
      </c>
      <c r="D657" s="20" t="s">
        <v>1740</v>
      </c>
      <c r="E657" s="20" t="s">
        <v>79</v>
      </c>
      <c r="F657" s="21" t="s">
        <v>80</v>
      </c>
      <c r="G657" s="38" t="s">
        <v>81</v>
      </c>
      <c r="H657" s="39" t="s">
        <v>215</v>
      </c>
      <c r="I657" s="39" t="s">
        <v>83</v>
      </c>
      <c r="J657" s="21" t="s">
        <v>144</v>
      </c>
      <c r="K657" s="21" t="s">
        <v>145</v>
      </c>
      <c r="L657" s="21" t="s">
        <v>342</v>
      </c>
      <c r="M657" s="21" t="s">
        <v>1741</v>
      </c>
      <c r="N657" s="21" t="s">
        <v>87</v>
      </c>
      <c r="O657" s="20" t="s">
        <v>2334</v>
      </c>
      <c r="P657" s="45">
        <v>45855</v>
      </c>
      <c r="Q657" s="39" t="s">
        <v>2335</v>
      </c>
      <c r="R657" s="19">
        <v>2321.81</v>
      </c>
      <c r="S657" s="21">
        <v>0.2</v>
      </c>
      <c r="T657" s="21">
        <v>2786.172</v>
      </c>
      <c r="U657" s="44" t="s">
        <v>2336</v>
      </c>
      <c r="V657" s="22">
        <v>45855</v>
      </c>
      <c r="W657" s="54" t="s">
        <v>91</v>
      </c>
      <c r="X657" s="23"/>
      <c r="Y657" s="23" t="s">
        <v>92</v>
      </c>
      <c r="Z657" s="56" t="s">
        <v>928</v>
      </c>
      <c r="AA657" s="24">
        <v>857021</v>
      </c>
      <c r="AB657" s="19" t="s">
        <v>2303</v>
      </c>
      <c r="AC657" s="46" t="s">
        <v>94</v>
      </c>
      <c r="AD657" s="15" t="str">
        <f ca="1">IF(AND($D657&lt;&gt;"",COUNTIF(OFFSET(UFS!$E$2,MATCH($D657&amp;"",UFS!$A$2:$A$175,0)-1,0,COUNTIF(UFS!$A$2:$A$175,$D657&amp;""),1),M657)&gt;0),"Valide","Invalide")</f>
        <v>Valide</v>
      </c>
      <c r="AH657" s="15" t="str">
        <f t="shared" si="10"/>
        <v>En attente</v>
      </c>
    </row>
    <row r="658" spans="1:34" s="15" customFormat="1" ht="45" hidden="1" customHeight="1" x14ac:dyDescent="0.3">
      <c r="A658" s="42">
        <v>659</v>
      </c>
      <c r="B658" s="19" t="s">
        <v>24</v>
      </c>
      <c r="C658" s="19" t="s">
        <v>28</v>
      </c>
      <c r="D658" s="20" t="s">
        <v>872</v>
      </c>
      <c r="E658" s="20" t="s">
        <v>79</v>
      </c>
      <c r="F658" s="21" t="s">
        <v>80</v>
      </c>
      <c r="G658" s="38" t="s">
        <v>182</v>
      </c>
      <c r="H658" s="39" t="s">
        <v>82</v>
      </c>
      <c r="I658" s="39" t="s">
        <v>83</v>
      </c>
      <c r="J658" s="21" t="s">
        <v>124</v>
      </c>
      <c r="K658" s="21" t="s">
        <v>235</v>
      </c>
      <c r="L658" s="21" t="s">
        <v>246</v>
      </c>
      <c r="M658" s="21" t="s">
        <v>284</v>
      </c>
      <c r="N658" s="21" t="s">
        <v>873</v>
      </c>
      <c r="O658" s="20" t="s">
        <v>2337</v>
      </c>
      <c r="P658" s="45">
        <v>45853</v>
      </c>
      <c r="Q658" s="39" t="s">
        <v>2338</v>
      </c>
      <c r="R658" s="19">
        <v>1259.94</v>
      </c>
      <c r="S658" s="21">
        <v>0.2</v>
      </c>
      <c r="T658" s="21">
        <v>1511.9280000000001</v>
      </c>
      <c r="U658" s="44" t="s">
        <v>2339</v>
      </c>
      <c r="V658" s="22">
        <v>45854</v>
      </c>
      <c r="W658" s="54" t="s">
        <v>91</v>
      </c>
      <c r="X658" s="23"/>
      <c r="Y658" s="23" t="s">
        <v>92</v>
      </c>
      <c r="Z658" s="107" t="s">
        <v>2340</v>
      </c>
      <c r="AA658" s="118" t="s">
        <v>2341</v>
      </c>
      <c r="AB658" s="45">
        <v>45888</v>
      </c>
      <c r="AC658" s="46" t="s">
        <v>94</v>
      </c>
      <c r="AD658" s="15" t="str">
        <f ca="1">IF(AND($D658&lt;&gt;"",COUNTIF(OFFSET(UFS!$E$2,MATCH($D658&amp;"",UFS!$A$2:$A$175,0)-1,0,COUNTIF(UFS!$A$2:$A$175,$D658&amp;""),1),M658)&gt;0),"Valide","Invalide")</f>
        <v>Valide</v>
      </c>
      <c r="AH658" s="15" t="str">
        <f t="shared" si="10"/>
        <v>En attente</v>
      </c>
    </row>
    <row r="659" spans="1:34" s="15" customFormat="1" ht="45" hidden="1" customHeight="1" x14ac:dyDescent="0.3">
      <c r="A659" s="42">
        <v>660</v>
      </c>
      <c r="B659" s="19" t="s">
        <v>26</v>
      </c>
      <c r="C659" s="19" t="s">
        <v>5</v>
      </c>
      <c r="D659" s="20" t="s">
        <v>582</v>
      </c>
      <c r="E659" s="20" t="s">
        <v>79</v>
      </c>
      <c r="F659" s="21" t="s">
        <v>80</v>
      </c>
      <c r="G659" s="38" t="s">
        <v>81</v>
      </c>
      <c r="H659" s="39" t="s">
        <v>82</v>
      </c>
      <c r="I659" s="39" t="s">
        <v>83</v>
      </c>
      <c r="J659" s="21" t="s">
        <v>144</v>
      </c>
      <c r="K659" s="21" t="s">
        <v>145</v>
      </c>
      <c r="L659" s="21" t="s">
        <v>328</v>
      </c>
      <c r="M659" s="21" t="s">
        <v>2342</v>
      </c>
      <c r="N659" s="21" t="s">
        <v>102</v>
      </c>
      <c r="O659" s="20" t="s">
        <v>2343</v>
      </c>
      <c r="P659" s="45">
        <v>45853</v>
      </c>
      <c r="Q659" s="39" t="s">
        <v>2344</v>
      </c>
      <c r="R659" s="19">
        <v>1186.18</v>
      </c>
      <c r="S659" s="21">
        <v>0.1</v>
      </c>
      <c r="T659" s="21">
        <v>1304.798</v>
      </c>
      <c r="U659" s="44" t="s">
        <v>2345</v>
      </c>
      <c r="V659" s="22">
        <v>45855</v>
      </c>
      <c r="W659" s="54" t="s">
        <v>91</v>
      </c>
      <c r="X659" s="23"/>
      <c r="Y659" s="23" t="s">
        <v>92</v>
      </c>
      <c r="Z659" s="56" t="s">
        <v>928</v>
      </c>
      <c r="AA659" s="24">
        <v>857023</v>
      </c>
      <c r="AB659" s="19"/>
      <c r="AC659" s="46" t="s">
        <v>94</v>
      </c>
      <c r="AD659" s="15" t="str">
        <f ca="1">IF(AND($D659&lt;&gt;"",COUNTIF(OFFSET(UFS!$E$2,MATCH($D659&amp;"",UFS!$A$2:$A$175,0)-1,0,COUNTIF(UFS!$A$2:$A$175,$D659&amp;""),1),M659)&gt;0),"Valide","Invalide")</f>
        <v>Invalide</v>
      </c>
      <c r="AH659" s="15" t="str">
        <f t="shared" si="10"/>
        <v>En attente</v>
      </c>
    </row>
    <row r="660" spans="1:34" s="15" customFormat="1" ht="45" hidden="1" customHeight="1" x14ac:dyDescent="0.3">
      <c r="A660" s="42">
        <v>661</v>
      </c>
      <c r="B660" s="19" t="s">
        <v>20</v>
      </c>
      <c r="C660" s="19" t="s">
        <v>676</v>
      </c>
      <c r="D660" s="20" t="s">
        <v>200</v>
      </c>
      <c r="E660" s="20" t="s">
        <v>79</v>
      </c>
      <c r="F660" s="21" t="s">
        <v>80</v>
      </c>
      <c r="G660" s="38" t="s">
        <v>241</v>
      </c>
      <c r="H660" s="39" t="s">
        <v>2346</v>
      </c>
      <c r="I660" s="39" t="s">
        <v>677</v>
      </c>
      <c r="J660" s="21" t="s">
        <v>144</v>
      </c>
      <c r="K660" s="21" t="s">
        <v>145</v>
      </c>
      <c r="L660" s="21" t="s">
        <v>203</v>
      </c>
      <c r="M660" s="21" t="s">
        <v>109</v>
      </c>
      <c r="N660" s="21" t="s">
        <v>109</v>
      </c>
      <c r="O660" s="20" t="s">
        <v>2347</v>
      </c>
      <c r="P660" s="45">
        <v>45842</v>
      </c>
      <c r="Q660" s="39" t="s">
        <v>2348</v>
      </c>
      <c r="R660" s="19">
        <v>5795.25</v>
      </c>
      <c r="S660" s="21">
        <v>0.2</v>
      </c>
      <c r="T660" s="21">
        <v>6954.3</v>
      </c>
      <c r="U660" s="44" t="s">
        <v>680</v>
      </c>
      <c r="V660" s="22">
        <v>45855</v>
      </c>
      <c r="W660" s="54" t="s">
        <v>91</v>
      </c>
      <c r="X660" s="23"/>
      <c r="Y660" s="23" t="s">
        <v>92</v>
      </c>
      <c r="Z660" s="56" t="s">
        <v>928</v>
      </c>
      <c r="AA660" s="119">
        <v>857024</v>
      </c>
      <c r="AB660" s="19"/>
      <c r="AC660" s="49" t="s">
        <v>161</v>
      </c>
      <c r="AD660" s="15" t="e">
        <f ca="1">IF(AND($D660&lt;&gt;"",COUNTIF(OFFSET(UFS!$E$2,MATCH($D660&amp;"",UFS!$A$2:$A$175,0)-1,0,COUNTIF(UFS!$A$2:$A$175,$D660&amp;""),1),M660)&gt;0),"Valide","Invalide")</f>
        <v>#N/A</v>
      </c>
      <c r="AH660" s="15" t="str">
        <f t="shared" si="10"/>
        <v>En attente</v>
      </c>
    </row>
    <row r="661" spans="1:34" s="15" customFormat="1" ht="45" hidden="1" customHeight="1" x14ac:dyDescent="0.3">
      <c r="A661" s="42">
        <v>662</v>
      </c>
      <c r="B661" s="19" t="s">
        <v>20</v>
      </c>
      <c r="C661" s="19" t="s">
        <v>37</v>
      </c>
      <c r="D661" s="20" t="s">
        <v>233</v>
      </c>
      <c r="E661" s="20" t="s">
        <v>79</v>
      </c>
      <c r="F661" s="21" t="s">
        <v>80</v>
      </c>
      <c r="G661" s="38" t="s">
        <v>241</v>
      </c>
      <c r="H661" s="39" t="s">
        <v>367</v>
      </c>
      <c r="I661" s="39" t="s">
        <v>368</v>
      </c>
      <c r="J661" s="21" t="s">
        <v>124</v>
      </c>
      <c r="K661" s="21" t="s">
        <v>235</v>
      </c>
      <c r="L661" s="21" t="s">
        <v>177</v>
      </c>
      <c r="M661" s="21" t="s">
        <v>109</v>
      </c>
      <c r="N661" s="21" t="s">
        <v>109</v>
      </c>
      <c r="O661" s="20" t="s">
        <v>2349</v>
      </c>
      <c r="P661" s="45">
        <v>45853</v>
      </c>
      <c r="Q661" s="39" t="s">
        <v>2350</v>
      </c>
      <c r="R661" s="19">
        <v>641.45000000000005</v>
      </c>
      <c r="S661" s="21">
        <v>0.1</v>
      </c>
      <c r="T661" s="21">
        <v>705.59500000000003</v>
      </c>
      <c r="U661" s="60" t="s">
        <v>371</v>
      </c>
      <c r="V661" s="22">
        <v>45855</v>
      </c>
      <c r="W661" s="54" t="s">
        <v>91</v>
      </c>
      <c r="X661" s="23"/>
      <c r="Y661" s="23" t="s">
        <v>92</v>
      </c>
      <c r="Z661" s="56" t="s">
        <v>928</v>
      </c>
      <c r="AA661" s="24">
        <v>857025</v>
      </c>
      <c r="AB661" s="19"/>
      <c r="AC661" s="46" t="s">
        <v>94</v>
      </c>
      <c r="AD661" s="15" t="str">
        <f ca="1">IF(AND($D661&lt;&gt;"",COUNTIF(OFFSET(UFS!$E$2,MATCH($D661&amp;"",UFS!$A$2:$A$175,0)-1,0,COUNTIF(UFS!$A$2:$A$175,$D661&amp;""),1),M661)&gt;0),"Valide","Invalide")</f>
        <v>Valide</v>
      </c>
      <c r="AH661" s="15" t="str">
        <f t="shared" si="10"/>
        <v>En attente</v>
      </c>
    </row>
    <row r="662" spans="1:34" s="15" customFormat="1" ht="45" hidden="1" customHeight="1" x14ac:dyDescent="0.3">
      <c r="A662" s="42">
        <v>663</v>
      </c>
      <c r="B662" s="19" t="s">
        <v>20</v>
      </c>
      <c r="C662" s="19" t="s">
        <v>1</v>
      </c>
      <c r="D662" s="20" t="s">
        <v>2351</v>
      </c>
      <c r="E662" s="20" t="s">
        <v>79</v>
      </c>
      <c r="F662" s="21" t="s">
        <v>80</v>
      </c>
      <c r="G662" s="38" t="s">
        <v>81</v>
      </c>
      <c r="H662" s="39" t="s">
        <v>82</v>
      </c>
      <c r="I662" s="39" t="s">
        <v>83</v>
      </c>
      <c r="J662" s="21" t="s">
        <v>244</v>
      </c>
      <c r="K662" s="21" t="s">
        <v>2352</v>
      </c>
      <c r="L662" s="21" t="s">
        <v>629</v>
      </c>
      <c r="M662" s="21" t="s">
        <v>2352</v>
      </c>
      <c r="N662" s="21" t="s">
        <v>151</v>
      </c>
      <c r="O662" s="20" t="s">
        <v>2353</v>
      </c>
      <c r="P662" s="45">
        <v>45839</v>
      </c>
      <c r="Q662" s="39" t="s">
        <v>2354</v>
      </c>
      <c r="R662" s="19">
        <v>94.67</v>
      </c>
      <c r="S662" s="21">
        <v>0.2</v>
      </c>
      <c r="T662" s="21">
        <v>113.604</v>
      </c>
      <c r="U662" s="60" t="s">
        <v>439</v>
      </c>
      <c r="V662" s="22">
        <v>45855</v>
      </c>
      <c r="W662" s="54" t="s">
        <v>91</v>
      </c>
      <c r="X662" s="23"/>
      <c r="Y662" s="23" t="s">
        <v>92</v>
      </c>
      <c r="Z662" s="56" t="s">
        <v>1338</v>
      </c>
      <c r="AA662" s="24">
        <v>857040</v>
      </c>
      <c r="AB662" s="19"/>
      <c r="AC662" s="46" t="s">
        <v>94</v>
      </c>
      <c r="AD662" s="15" t="str">
        <f ca="1">IF(AND($D662&lt;&gt;"",COUNTIF(OFFSET(UFS!$E$2,MATCH($D662&amp;"",UFS!$A$2:$A$175,0)-1,0,COUNTIF(UFS!$A$2:$A$175,$D662&amp;""),1),M662)&gt;0),"Valide","Invalide")</f>
        <v>Valide</v>
      </c>
      <c r="AH662" s="15" t="str">
        <f t="shared" si="10"/>
        <v>En attente</v>
      </c>
    </row>
    <row r="663" spans="1:34" s="15" customFormat="1" ht="45" hidden="1" customHeight="1" x14ac:dyDescent="0.3">
      <c r="A663" s="42">
        <v>664</v>
      </c>
      <c r="B663" s="19" t="s">
        <v>20</v>
      </c>
      <c r="C663" s="19" t="s">
        <v>1</v>
      </c>
      <c r="D663" s="20" t="s">
        <v>152</v>
      </c>
      <c r="E663" s="20" t="s">
        <v>79</v>
      </c>
      <c r="F663" s="21" t="s">
        <v>80</v>
      </c>
      <c r="G663" s="38" t="s">
        <v>81</v>
      </c>
      <c r="H663" s="39" t="s">
        <v>82</v>
      </c>
      <c r="I663" s="39" t="s">
        <v>83</v>
      </c>
      <c r="J663" s="21" t="s">
        <v>84</v>
      </c>
      <c r="K663" s="21" t="s">
        <v>113</v>
      </c>
      <c r="L663" s="21" t="s">
        <v>86</v>
      </c>
      <c r="M663" s="21" t="s">
        <v>115</v>
      </c>
      <c r="N663" s="21" t="s">
        <v>102</v>
      </c>
      <c r="O663" s="20" t="s">
        <v>2355</v>
      </c>
      <c r="P663" s="45">
        <v>45841</v>
      </c>
      <c r="Q663" s="39" t="s">
        <v>2356</v>
      </c>
      <c r="R663" s="19">
        <v>3101.5</v>
      </c>
      <c r="S663" s="21">
        <v>0.1</v>
      </c>
      <c r="T663" s="21">
        <v>3411.65</v>
      </c>
      <c r="U663" s="60" t="s">
        <v>439</v>
      </c>
      <c r="V663" s="22">
        <v>45855</v>
      </c>
      <c r="W663" s="54" t="s">
        <v>91</v>
      </c>
      <c r="X663" s="23"/>
      <c r="Y663" s="23" t="s">
        <v>92</v>
      </c>
      <c r="Z663" s="56" t="s">
        <v>2357</v>
      </c>
      <c r="AA663" s="24">
        <v>857041</v>
      </c>
      <c r="AB663" s="19"/>
      <c r="AC663" s="46" t="s">
        <v>94</v>
      </c>
      <c r="AD663" s="15" t="str">
        <f ca="1">IF(AND($D663&lt;&gt;"",COUNTIF(OFFSET(UFS!$E$2,MATCH($D663&amp;"",UFS!$A$2:$A$175,0)-1,0,COUNTIF(UFS!$A$2:$A$175,$D663&amp;""),1),M663)&gt;0),"Valide","Invalide")</f>
        <v>Valide</v>
      </c>
      <c r="AH663" s="15" t="str">
        <f t="shared" si="10"/>
        <v>En attente</v>
      </c>
    </row>
    <row r="664" spans="1:34" s="15" customFormat="1" ht="45" hidden="1" customHeight="1" x14ac:dyDescent="0.3">
      <c r="A664" s="42">
        <v>665</v>
      </c>
      <c r="B664" s="19" t="s">
        <v>20</v>
      </c>
      <c r="C664" s="19" t="s">
        <v>1</v>
      </c>
      <c r="D664" s="20" t="s">
        <v>130</v>
      </c>
      <c r="E664" s="20" t="s">
        <v>79</v>
      </c>
      <c r="F664" s="21" t="s">
        <v>80</v>
      </c>
      <c r="G664" s="38" t="s">
        <v>81</v>
      </c>
      <c r="H664" s="39" t="s">
        <v>82</v>
      </c>
      <c r="I664" s="39" t="s">
        <v>83</v>
      </c>
      <c r="J664" s="21" t="s">
        <v>124</v>
      </c>
      <c r="K664" s="21" t="s">
        <v>125</v>
      </c>
      <c r="L664" s="21" t="s">
        <v>126</v>
      </c>
      <c r="M664" s="21" t="s">
        <v>131</v>
      </c>
      <c r="N664" s="21" t="s">
        <v>102</v>
      </c>
      <c r="O664" s="20" t="s">
        <v>2358</v>
      </c>
      <c r="P664" s="45">
        <v>45841</v>
      </c>
      <c r="Q664" s="39" t="s">
        <v>2359</v>
      </c>
      <c r="R664" s="19">
        <v>369.66</v>
      </c>
      <c r="S664" s="21">
        <v>0.1</v>
      </c>
      <c r="T664" s="21">
        <v>406.62600000000003</v>
      </c>
      <c r="U664" s="60" t="s">
        <v>439</v>
      </c>
      <c r="V664" s="22">
        <v>45855</v>
      </c>
      <c r="W664" s="54" t="s">
        <v>91</v>
      </c>
      <c r="X664" s="23"/>
      <c r="Y664" s="23" t="s">
        <v>92</v>
      </c>
      <c r="Z664" s="56" t="s">
        <v>1338</v>
      </c>
      <c r="AA664" s="24">
        <v>857042</v>
      </c>
      <c r="AB664" s="19"/>
      <c r="AC664" s="46" t="s">
        <v>94</v>
      </c>
      <c r="AD664" s="15" t="str">
        <f ca="1">IF(AND($D664&lt;&gt;"",COUNTIF(OFFSET(UFS!$E$2,MATCH($D664&amp;"",UFS!$A$2:$A$175,0)-1,0,COUNTIF(UFS!$A$2:$A$175,$D664&amp;""),1),M664)&gt;0),"Valide","Invalide")</f>
        <v>Valide</v>
      </c>
      <c r="AH664" s="15" t="str">
        <f t="shared" si="10"/>
        <v>En attente</v>
      </c>
    </row>
    <row r="665" spans="1:34" s="15" customFormat="1" ht="45" hidden="1" customHeight="1" x14ac:dyDescent="0.3">
      <c r="A665" s="42">
        <v>666</v>
      </c>
      <c r="B665" s="19" t="s">
        <v>20</v>
      </c>
      <c r="C665" s="19" t="s">
        <v>1</v>
      </c>
      <c r="D665" s="20" t="s">
        <v>134</v>
      </c>
      <c r="E665" s="20" t="s">
        <v>79</v>
      </c>
      <c r="F665" s="21" t="s">
        <v>80</v>
      </c>
      <c r="G665" s="38" t="s">
        <v>81</v>
      </c>
      <c r="H665" s="39" t="s">
        <v>82</v>
      </c>
      <c r="I665" s="39" t="s">
        <v>83</v>
      </c>
      <c r="J665" s="21" t="s">
        <v>124</v>
      </c>
      <c r="K665" s="21" t="s">
        <v>125</v>
      </c>
      <c r="L665" s="21" t="s">
        <v>135</v>
      </c>
      <c r="M665" s="21" t="s">
        <v>136</v>
      </c>
      <c r="N665" s="21" t="s">
        <v>102</v>
      </c>
      <c r="O665" s="20" t="s">
        <v>2360</v>
      </c>
      <c r="P665" s="45">
        <v>45846</v>
      </c>
      <c r="Q665" s="39" t="s">
        <v>2361</v>
      </c>
      <c r="R665" s="19">
        <v>3101.5</v>
      </c>
      <c r="S665" s="21">
        <v>0.1</v>
      </c>
      <c r="T665" s="21">
        <v>3411.65</v>
      </c>
      <c r="U665" s="60" t="s">
        <v>439</v>
      </c>
      <c r="V665" s="22">
        <v>45855</v>
      </c>
      <c r="W665" s="54" t="s">
        <v>91</v>
      </c>
      <c r="X665" s="23"/>
      <c r="Y665" s="23" t="s">
        <v>92</v>
      </c>
      <c r="Z665" s="56" t="s">
        <v>1338</v>
      </c>
      <c r="AA665" s="24">
        <v>857075</v>
      </c>
      <c r="AB665" s="19"/>
      <c r="AC665" s="46" t="s">
        <v>94</v>
      </c>
      <c r="AD665" s="15" t="str">
        <f ca="1">IF(AND($D665&lt;&gt;"",COUNTIF(OFFSET(UFS!$E$2,MATCH($D665&amp;"",UFS!$A$2:$A$175,0)-1,0,COUNTIF(UFS!$A$2:$A$175,$D665&amp;""),1),M665)&gt;0),"Valide","Invalide")</f>
        <v>Valide</v>
      </c>
      <c r="AH665" s="15" t="str">
        <f>IF(T665&lt;&gt;"","En attente","")</f>
        <v>En attente</v>
      </c>
    </row>
    <row r="666" spans="1:34" s="15" customFormat="1" ht="45" hidden="1" customHeight="1" x14ac:dyDescent="0.3">
      <c r="A666" s="42">
        <v>667</v>
      </c>
      <c r="B666" s="19" t="s">
        <v>20</v>
      </c>
      <c r="C666" s="19" t="s">
        <v>1</v>
      </c>
      <c r="D666" s="20" t="s">
        <v>112</v>
      </c>
      <c r="E666" s="20" t="s">
        <v>79</v>
      </c>
      <c r="F666" s="21" t="s">
        <v>80</v>
      </c>
      <c r="G666" s="38" t="s">
        <v>81</v>
      </c>
      <c r="H666" s="39" t="s">
        <v>82</v>
      </c>
      <c r="I666" s="39" t="s">
        <v>83</v>
      </c>
      <c r="J666" s="21" t="s">
        <v>84</v>
      </c>
      <c r="K666" s="21" t="s">
        <v>113</v>
      </c>
      <c r="L666" s="21" t="s">
        <v>114</v>
      </c>
      <c r="M666" s="21" t="s">
        <v>115</v>
      </c>
      <c r="N666" s="21" t="s">
        <v>102</v>
      </c>
      <c r="O666" s="20" t="s">
        <v>2362</v>
      </c>
      <c r="P666" s="45">
        <v>45849</v>
      </c>
      <c r="Q666" s="39" t="s">
        <v>2363</v>
      </c>
      <c r="R666" s="19">
        <v>752.84</v>
      </c>
      <c r="S666" s="21">
        <v>0.1</v>
      </c>
      <c r="T666" s="21">
        <v>828.12400000000002</v>
      </c>
      <c r="U666" s="60" t="s">
        <v>439</v>
      </c>
      <c r="V666" s="22">
        <v>45855</v>
      </c>
      <c r="W666" s="54" t="s">
        <v>91</v>
      </c>
      <c r="X666" s="23"/>
      <c r="Y666" s="23" t="s">
        <v>92</v>
      </c>
      <c r="Z666" s="56" t="s">
        <v>1338</v>
      </c>
      <c r="AA666" s="24">
        <v>857078</v>
      </c>
      <c r="AB666" s="19"/>
      <c r="AC666" s="46" t="s">
        <v>94</v>
      </c>
      <c r="AD666" s="15" t="str">
        <f ca="1">IF(AND($D666&lt;&gt;"",COUNTIF(OFFSET(UFS!$E$2,MATCH($D666&amp;"",UFS!$A$2:$A$175,0)-1,0,COUNTIF(UFS!$A$2:$A$175,$D666&amp;""),1),M666)&gt;0),"Valide","Invalide")</f>
        <v>Valide</v>
      </c>
      <c r="AH666" s="15" t="str">
        <f t="shared" si="10"/>
        <v>En attente</v>
      </c>
    </row>
    <row r="667" spans="1:34" s="15" customFormat="1" ht="45" hidden="1" customHeight="1" x14ac:dyDescent="0.3">
      <c r="A667" s="42">
        <v>668</v>
      </c>
      <c r="B667" s="19" t="s">
        <v>20</v>
      </c>
      <c r="C667" s="19" t="s">
        <v>1</v>
      </c>
      <c r="D667" s="20" t="s">
        <v>872</v>
      </c>
      <c r="E667" s="20" t="s">
        <v>79</v>
      </c>
      <c r="F667" s="21" t="s">
        <v>80</v>
      </c>
      <c r="G667" s="38" t="s">
        <v>81</v>
      </c>
      <c r="H667" s="39" t="s">
        <v>82</v>
      </c>
      <c r="I667" s="39" t="s">
        <v>83</v>
      </c>
      <c r="J667" s="21" t="s">
        <v>124</v>
      </c>
      <c r="K667" s="21" t="s">
        <v>235</v>
      </c>
      <c r="L667" s="21" t="s">
        <v>246</v>
      </c>
      <c r="M667" s="21" t="s">
        <v>284</v>
      </c>
      <c r="N667" s="21" t="s">
        <v>873</v>
      </c>
      <c r="O667" s="20" t="s">
        <v>2364</v>
      </c>
      <c r="P667" s="45">
        <v>45849</v>
      </c>
      <c r="Q667" s="39" t="s">
        <v>2365</v>
      </c>
      <c r="R667" s="19">
        <v>1585.46</v>
      </c>
      <c r="S667" s="21">
        <v>0.2</v>
      </c>
      <c r="T667" s="21">
        <v>1902.5520000000001</v>
      </c>
      <c r="U667" s="60" t="s">
        <v>439</v>
      </c>
      <c r="V667" s="22">
        <v>45855</v>
      </c>
      <c r="W667" s="54" t="s">
        <v>91</v>
      </c>
      <c r="X667" s="23"/>
      <c r="Y667" s="23" t="s">
        <v>92</v>
      </c>
      <c r="Z667" s="56" t="s">
        <v>1338</v>
      </c>
      <c r="AA667" s="24">
        <v>857080</v>
      </c>
      <c r="AB667" s="19"/>
      <c r="AC667" s="46" t="s">
        <v>94</v>
      </c>
      <c r="AD667" s="15" t="str">
        <f ca="1">IF(AND($D667&lt;&gt;"",COUNTIF(OFFSET(UFS!$E$2,MATCH($D667&amp;"",UFS!$A$2:$A$175,0)-1,0,COUNTIF(UFS!$A$2:$A$175,$D667&amp;""),1),M667)&gt;0),"Valide","Invalide")</f>
        <v>Valide</v>
      </c>
      <c r="AH667" s="15" t="str">
        <f t="shared" si="10"/>
        <v>En attente</v>
      </c>
    </row>
    <row r="668" spans="1:34" s="15" customFormat="1" ht="45" hidden="1" customHeight="1" x14ac:dyDescent="0.3">
      <c r="A668" s="42">
        <v>669</v>
      </c>
      <c r="B668" s="19" t="s">
        <v>20</v>
      </c>
      <c r="C668" s="19" t="s">
        <v>1</v>
      </c>
      <c r="D668" s="20" t="s">
        <v>152</v>
      </c>
      <c r="E668" s="20" t="s">
        <v>79</v>
      </c>
      <c r="F668" s="21" t="s">
        <v>80</v>
      </c>
      <c r="G668" s="38" t="s">
        <v>81</v>
      </c>
      <c r="H668" s="39" t="s">
        <v>82</v>
      </c>
      <c r="I668" s="39" t="s">
        <v>83</v>
      </c>
      <c r="J668" s="21" t="s">
        <v>84</v>
      </c>
      <c r="K668" s="21" t="s">
        <v>113</v>
      </c>
      <c r="L668" s="21" t="s">
        <v>86</v>
      </c>
      <c r="M668" s="21" t="s">
        <v>115</v>
      </c>
      <c r="N668" s="21" t="s">
        <v>102</v>
      </c>
      <c r="O668" s="20" t="s">
        <v>2366</v>
      </c>
      <c r="P668" s="45">
        <v>45849</v>
      </c>
      <c r="Q668" s="39" t="s">
        <v>2367</v>
      </c>
      <c r="R668" s="19">
        <v>1598.09</v>
      </c>
      <c r="S668" s="21">
        <v>0.1</v>
      </c>
      <c r="T668" s="21">
        <v>1757.8989999999999</v>
      </c>
      <c r="U668" s="60" t="s">
        <v>439</v>
      </c>
      <c r="V668" s="22">
        <v>45855</v>
      </c>
      <c r="W668" s="54" t="s">
        <v>91</v>
      </c>
      <c r="X668" s="23"/>
      <c r="Y668" s="23" t="s">
        <v>92</v>
      </c>
      <c r="Z668" s="56" t="s">
        <v>1338</v>
      </c>
      <c r="AA668" s="24">
        <v>857081</v>
      </c>
      <c r="AB668" s="19"/>
      <c r="AC668" s="46" t="s">
        <v>94</v>
      </c>
      <c r="AD668" s="15" t="str">
        <f ca="1">IF(AND($D668&lt;&gt;"",COUNTIF(OFFSET(UFS!$E$2,MATCH($D668&amp;"",UFS!$A$2:$A$175,0)-1,0,COUNTIF(UFS!$A$2:$A$175,$D668&amp;""),1),M668)&gt;0),"Valide","Invalide")</f>
        <v>Valide</v>
      </c>
      <c r="AH668" s="15" t="str">
        <f t="shared" si="10"/>
        <v>En attente</v>
      </c>
    </row>
    <row r="669" spans="1:34" s="15" customFormat="1" ht="45" hidden="1" customHeight="1" x14ac:dyDescent="0.3">
      <c r="A669" s="42">
        <v>670</v>
      </c>
      <c r="B669" s="19" t="s">
        <v>20</v>
      </c>
      <c r="C669" s="19" t="s">
        <v>1</v>
      </c>
      <c r="D669" s="20" t="s">
        <v>432</v>
      </c>
      <c r="E669" s="20" t="s">
        <v>79</v>
      </c>
      <c r="F669" s="21" t="s">
        <v>433</v>
      </c>
      <c r="G669" s="38" t="s">
        <v>81</v>
      </c>
      <c r="H669" s="39" t="s">
        <v>82</v>
      </c>
      <c r="I669" s="39" t="s">
        <v>83</v>
      </c>
      <c r="J669" s="21" t="s">
        <v>144</v>
      </c>
      <c r="K669" s="21" t="s">
        <v>145</v>
      </c>
      <c r="L669" s="21" t="s">
        <v>434</v>
      </c>
      <c r="M669" s="21" t="s">
        <v>435</v>
      </c>
      <c r="N669" s="21" t="s">
        <v>436</v>
      </c>
      <c r="O669" s="20" t="s">
        <v>2368</v>
      </c>
      <c r="P669" s="45">
        <v>45849</v>
      </c>
      <c r="Q669" s="39" t="s">
        <v>2369</v>
      </c>
      <c r="R669" s="19">
        <v>184.83</v>
      </c>
      <c r="S669" s="21">
        <v>0.1</v>
      </c>
      <c r="T669" s="21">
        <v>203.31300000000002</v>
      </c>
      <c r="U669" s="60" t="s">
        <v>439</v>
      </c>
      <c r="V669" s="22">
        <v>45855</v>
      </c>
      <c r="W669" s="54" t="s">
        <v>91</v>
      </c>
      <c r="X669" s="23"/>
      <c r="Y669" s="23" t="s">
        <v>92</v>
      </c>
      <c r="Z669" s="56" t="s">
        <v>1338</v>
      </c>
      <c r="AA669" s="24">
        <v>857082</v>
      </c>
      <c r="AB669" s="19"/>
      <c r="AC669" s="46" t="s">
        <v>94</v>
      </c>
      <c r="AD669" s="15" t="str">
        <f ca="1">IF(AND($D669&lt;&gt;"",COUNTIF(OFFSET(UFS!$E$2,MATCH($D669&amp;"",UFS!$A$2:$A$175,0)-1,0,COUNTIF(UFS!$A$2:$A$175,$D669&amp;""),1),M669)&gt;0),"Valide","Invalide")</f>
        <v>Valide</v>
      </c>
      <c r="AH669" s="15" t="str">
        <f t="shared" si="10"/>
        <v>En attente</v>
      </c>
    </row>
    <row r="670" spans="1:34" s="15" customFormat="1" ht="45" hidden="1" customHeight="1" x14ac:dyDescent="0.3">
      <c r="A670" s="42">
        <v>671</v>
      </c>
      <c r="B670" s="19" t="s">
        <v>16</v>
      </c>
      <c r="C670" s="19" t="s">
        <v>11</v>
      </c>
      <c r="D670" s="20" t="s">
        <v>548</v>
      </c>
      <c r="E670" s="20" t="s">
        <v>79</v>
      </c>
      <c r="F670" s="21" t="s">
        <v>80</v>
      </c>
      <c r="G670" s="38" t="s">
        <v>81</v>
      </c>
      <c r="H670" s="39" t="s">
        <v>82</v>
      </c>
      <c r="I670" s="39" t="s">
        <v>83</v>
      </c>
      <c r="J670" s="21" t="s">
        <v>144</v>
      </c>
      <c r="K670" s="21" t="s">
        <v>145</v>
      </c>
      <c r="L670" s="21" t="s">
        <v>549</v>
      </c>
      <c r="M670" s="21" t="s">
        <v>549</v>
      </c>
      <c r="N670" s="21" t="s">
        <v>550</v>
      </c>
      <c r="O670" s="20" t="s">
        <v>2370</v>
      </c>
      <c r="P670" s="45">
        <v>45855</v>
      </c>
      <c r="Q670" s="39" t="s">
        <v>2371</v>
      </c>
      <c r="R670" s="19">
        <v>4009.33</v>
      </c>
      <c r="S670" s="21">
        <v>0.2</v>
      </c>
      <c r="T670" s="21">
        <v>4811.1959999999999</v>
      </c>
      <c r="U670" s="60" t="s">
        <v>2372</v>
      </c>
      <c r="V670" s="22">
        <v>45855</v>
      </c>
      <c r="W670" s="54" t="s">
        <v>91</v>
      </c>
      <c r="X670" s="23"/>
      <c r="Y670" s="23" t="s">
        <v>92</v>
      </c>
      <c r="Z670" s="56" t="s">
        <v>1338</v>
      </c>
      <c r="AA670" s="24">
        <v>857171</v>
      </c>
      <c r="AB670" s="45">
        <v>45873</v>
      </c>
      <c r="AC670" s="46" t="s">
        <v>94</v>
      </c>
      <c r="AD670" s="15" t="str">
        <f ca="1">IF(AND($D670&lt;&gt;"",COUNTIF(OFFSET(UFS!$E$2,MATCH($D670&amp;"",UFS!$A$2:$A$175,0)-1,0,COUNTIF(UFS!$A$2:$A$175,$D670&amp;""),1),M670)&gt;0),"Valide","Invalide")</f>
        <v>Valide</v>
      </c>
      <c r="AH670" s="15" t="str">
        <f t="shared" si="10"/>
        <v>En attente</v>
      </c>
    </row>
    <row r="671" spans="1:34" s="15" customFormat="1" ht="45" hidden="1" customHeight="1" x14ac:dyDescent="0.3">
      <c r="A671" s="42">
        <v>672</v>
      </c>
      <c r="B671" s="19" t="s">
        <v>20</v>
      </c>
      <c r="C671" s="20" t="s">
        <v>37</v>
      </c>
      <c r="D671" s="89">
        <v>9011</v>
      </c>
      <c r="E671" s="20" t="s">
        <v>79</v>
      </c>
      <c r="F671" s="21" t="s">
        <v>80</v>
      </c>
      <c r="G671" s="38" t="s">
        <v>241</v>
      </c>
      <c r="H671" s="39" t="s">
        <v>367</v>
      </c>
      <c r="I671" s="39" t="s">
        <v>368</v>
      </c>
      <c r="J671" s="21" t="s">
        <v>84</v>
      </c>
      <c r="K671" s="21" t="s">
        <v>113</v>
      </c>
      <c r="L671" s="21" t="s">
        <v>86</v>
      </c>
      <c r="M671" s="21" t="s">
        <v>109</v>
      </c>
      <c r="N671" s="21" t="s">
        <v>109</v>
      </c>
      <c r="O671" s="20" t="s">
        <v>2373</v>
      </c>
      <c r="P671" s="45">
        <v>45855</v>
      </c>
      <c r="Q671" s="39" t="s">
        <v>2374</v>
      </c>
      <c r="R671" s="19">
        <v>3363</v>
      </c>
      <c r="S671" s="21">
        <v>0.1</v>
      </c>
      <c r="T671" s="21">
        <v>3699.3</v>
      </c>
      <c r="U671" s="44" t="s">
        <v>2375</v>
      </c>
      <c r="V671" s="22">
        <v>45856</v>
      </c>
      <c r="W671" s="54" t="s">
        <v>91</v>
      </c>
      <c r="X671" s="23"/>
      <c r="Y671" s="23" t="s">
        <v>92</v>
      </c>
      <c r="Z671" s="56" t="s">
        <v>1338</v>
      </c>
      <c r="AA671" s="24">
        <v>857172</v>
      </c>
      <c r="AB671" s="19"/>
      <c r="AC671" s="46" t="s">
        <v>94</v>
      </c>
      <c r="AD671" s="15" t="e">
        <f ca="1">IF(AND($C671&lt;&gt;"",COUNTIF(OFFSET(UFS!$E$2,MATCH($C671&amp;"",UFS!$A$2:$A$175,0)-1,0,COUNTIF(UFS!$A$2:$A$175,$C671&amp;""),1),M671)&gt;0),"Valide","Invalide")</f>
        <v>#N/A</v>
      </c>
      <c r="AH671" s="15" t="str">
        <f t="shared" si="10"/>
        <v>En attente</v>
      </c>
    </row>
    <row r="672" spans="1:34" s="15" customFormat="1" ht="45" hidden="1" customHeight="1" x14ac:dyDescent="0.3">
      <c r="A672" s="42">
        <v>673</v>
      </c>
      <c r="B672" s="19" t="s">
        <v>709</v>
      </c>
      <c r="C672" s="19" t="s">
        <v>23</v>
      </c>
      <c r="D672" s="20" t="s">
        <v>633</v>
      </c>
      <c r="E672" s="20" t="s">
        <v>79</v>
      </c>
      <c r="F672" s="21" t="s">
        <v>80</v>
      </c>
      <c r="G672" s="38" t="s">
        <v>241</v>
      </c>
      <c r="H672" s="39" t="s">
        <v>643</v>
      </c>
      <c r="I672" s="39" t="s">
        <v>644</v>
      </c>
      <c r="J672" s="21" t="s">
        <v>634</v>
      </c>
      <c r="K672" s="21" t="s">
        <v>2376</v>
      </c>
      <c r="L672" s="21" t="s">
        <v>636</v>
      </c>
      <c r="M672" s="21" t="s">
        <v>711</v>
      </c>
      <c r="N672" s="21" t="s">
        <v>151</v>
      </c>
      <c r="O672" s="20" t="s">
        <v>2377</v>
      </c>
      <c r="P672" s="45">
        <v>45853</v>
      </c>
      <c r="Q672" s="39" t="s">
        <v>2378</v>
      </c>
      <c r="R672" s="19">
        <v>582.79999999999995</v>
      </c>
      <c r="S672" s="21">
        <v>0.2</v>
      </c>
      <c r="T672" s="21">
        <v>699.36</v>
      </c>
      <c r="U672" s="60" t="s">
        <v>2379</v>
      </c>
      <c r="V672" s="22">
        <v>45859</v>
      </c>
      <c r="W672" s="54" t="s">
        <v>91</v>
      </c>
      <c r="X672" s="23"/>
      <c r="Y672" s="23" t="s">
        <v>92</v>
      </c>
      <c r="Z672" s="56"/>
      <c r="AA672" s="24">
        <v>857240</v>
      </c>
      <c r="AB672" s="19"/>
      <c r="AC672" s="19"/>
      <c r="AD672" s="15" t="str">
        <f ca="1">IF(AND($D672&lt;&gt;"",COUNTIF(OFFSET(UFS!$E$2,MATCH($D672&amp;"",UFS!$A$2:$A$175,0)-1,0,COUNTIF(UFS!$A$2:$A$175,$D672&amp;""),1),M672)&gt;0),"Valide","Invalide")</f>
        <v>Invalide</v>
      </c>
      <c r="AH672" s="15" t="str">
        <f t="shared" si="10"/>
        <v>En attente</v>
      </c>
    </row>
    <row r="673" spans="1:34" s="15" customFormat="1" ht="45" hidden="1" customHeight="1" x14ac:dyDescent="0.3">
      <c r="A673" s="42">
        <v>674</v>
      </c>
      <c r="B673" s="19" t="s">
        <v>709</v>
      </c>
      <c r="C673" s="19" t="s">
        <v>23</v>
      </c>
      <c r="D673" s="90" t="s">
        <v>2380</v>
      </c>
      <c r="E673" s="20" t="s">
        <v>79</v>
      </c>
      <c r="F673" s="21" t="s">
        <v>80</v>
      </c>
      <c r="G673" s="38" t="s">
        <v>241</v>
      </c>
      <c r="H673" s="39" t="s">
        <v>643</v>
      </c>
      <c r="I673" s="39" t="s">
        <v>644</v>
      </c>
      <c r="J673" s="21" t="s">
        <v>124</v>
      </c>
      <c r="K673" s="21" t="s">
        <v>235</v>
      </c>
      <c r="L673" s="21" t="s">
        <v>177</v>
      </c>
      <c r="M673" s="21" t="s">
        <v>2381</v>
      </c>
      <c r="N673" s="21" t="s">
        <v>711</v>
      </c>
      <c r="O673" s="20" t="s">
        <v>2382</v>
      </c>
      <c r="P673" s="45">
        <v>45856</v>
      </c>
      <c r="Q673" s="39" t="s">
        <v>2383</v>
      </c>
      <c r="R673" s="19">
        <v>379.8</v>
      </c>
      <c r="S673" s="21">
        <v>0.1</v>
      </c>
      <c r="T673" s="21">
        <v>417.78</v>
      </c>
      <c r="U673" s="60" t="s">
        <v>2384</v>
      </c>
      <c r="V673" s="22">
        <v>45859</v>
      </c>
      <c r="W673" s="54" t="s">
        <v>91</v>
      </c>
      <c r="X673" s="23"/>
      <c r="Y673" s="23" t="s">
        <v>92</v>
      </c>
      <c r="Z673" s="56"/>
      <c r="AA673" s="24">
        <v>857241</v>
      </c>
      <c r="AB673" s="19"/>
      <c r="AC673" s="19"/>
      <c r="AD673" s="15" t="str">
        <f ca="1">IF(AND($D673&lt;&gt;"",COUNTIF(OFFSET(UFS!$E$2,MATCH($D673&amp;"",UFS!$A$2:$A$175,0)-1,0,COUNTIF(UFS!$A$2:$A$175,$D673&amp;""),1),M673)&gt;0),"Valide","Invalide")</f>
        <v>Invalide</v>
      </c>
      <c r="AH673" s="15" t="str">
        <f t="shared" si="10"/>
        <v>En attente</v>
      </c>
    </row>
    <row r="674" spans="1:34" s="15" customFormat="1" ht="45" hidden="1" customHeight="1" x14ac:dyDescent="0.3">
      <c r="A674" s="42">
        <v>675</v>
      </c>
      <c r="B674" s="19" t="s">
        <v>709</v>
      </c>
      <c r="C674" s="19" t="s">
        <v>23</v>
      </c>
      <c r="D674" s="20" t="s">
        <v>582</v>
      </c>
      <c r="E674" s="20" t="s">
        <v>79</v>
      </c>
      <c r="F674" s="21" t="s">
        <v>80</v>
      </c>
      <c r="G674" s="38" t="s">
        <v>241</v>
      </c>
      <c r="H674" s="39" t="s">
        <v>643</v>
      </c>
      <c r="I674" s="39" t="s">
        <v>644</v>
      </c>
      <c r="J674" s="21" t="s">
        <v>1719</v>
      </c>
      <c r="K674" s="21" t="s">
        <v>1298</v>
      </c>
      <c r="L674" s="21" t="s">
        <v>328</v>
      </c>
      <c r="M674" s="21" t="s">
        <v>2385</v>
      </c>
      <c r="N674" s="21" t="s">
        <v>102</v>
      </c>
      <c r="O674" s="20" t="s">
        <v>2386</v>
      </c>
      <c r="P674" s="45">
        <v>45854</v>
      </c>
      <c r="Q674" s="39" t="s">
        <v>2387</v>
      </c>
      <c r="R674" s="19">
        <v>1003.56</v>
      </c>
      <c r="S674" s="21">
        <v>0.1</v>
      </c>
      <c r="T674" s="21">
        <v>1103.92</v>
      </c>
      <c r="U674" s="60" t="s">
        <v>2388</v>
      </c>
      <c r="V674" s="22">
        <v>45859</v>
      </c>
      <c r="W674" s="54" t="s">
        <v>91</v>
      </c>
      <c r="X674" s="23"/>
      <c r="Y674" s="23" t="s">
        <v>92</v>
      </c>
      <c r="Z674" s="56" t="s">
        <v>1338</v>
      </c>
      <c r="AA674" s="24">
        <v>857083</v>
      </c>
      <c r="AB674" s="19"/>
      <c r="AC674" s="19"/>
      <c r="AD674" s="15" t="str">
        <f ca="1">IF(AND($D674&lt;&gt;"",COUNTIF(OFFSET(UFS!$E$2,MATCH($D674&amp;"",UFS!$A$2:$A$175,0)-1,0,COUNTIF(UFS!$A$2:$A$175,$D674&amp;""),1),M674)&gt;0),"Valide","Invalide")</f>
        <v>Invalide</v>
      </c>
      <c r="AH674" s="15" t="str">
        <f t="shared" si="10"/>
        <v>En attente</v>
      </c>
    </row>
    <row r="675" spans="1:34" s="15" customFormat="1" ht="45" hidden="1" customHeight="1" x14ac:dyDescent="0.3">
      <c r="A675" s="42">
        <v>676</v>
      </c>
      <c r="B675" s="19" t="s">
        <v>709</v>
      </c>
      <c r="C675" s="19" t="s">
        <v>23</v>
      </c>
      <c r="D675" s="20" t="s">
        <v>2380</v>
      </c>
      <c r="E675" s="20" t="s">
        <v>79</v>
      </c>
      <c r="F675" s="21" t="s">
        <v>80</v>
      </c>
      <c r="G675" s="38" t="s">
        <v>241</v>
      </c>
      <c r="H675" s="39" t="s">
        <v>643</v>
      </c>
      <c r="I675" s="39" t="s">
        <v>644</v>
      </c>
      <c r="J675" s="21" t="s">
        <v>124</v>
      </c>
      <c r="K675" s="21" t="s">
        <v>235</v>
      </c>
      <c r="L675" s="21" t="s">
        <v>177</v>
      </c>
      <c r="M675" s="21" t="s">
        <v>2381</v>
      </c>
      <c r="N675" s="21" t="s">
        <v>711</v>
      </c>
      <c r="O675" s="20" t="s">
        <v>2389</v>
      </c>
      <c r="P675" s="45">
        <v>45854</v>
      </c>
      <c r="Q675" s="39" t="s">
        <v>2390</v>
      </c>
      <c r="R675" s="19">
        <v>354.2</v>
      </c>
      <c r="S675" s="21">
        <v>0.1</v>
      </c>
      <c r="T675" s="21">
        <v>389.62</v>
      </c>
      <c r="U675" s="60" t="s">
        <v>2391</v>
      </c>
      <c r="V675" s="22">
        <v>45859</v>
      </c>
      <c r="W675" s="54" t="s">
        <v>91</v>
      </c>
      <c r="X675" s="23"/>
      <c r="Y675" s="23" t="s">
        <v>92</v>
      </c>
      <c r="Z675" s="56"/>
      <c r="AA675" s="24">
        <v>857242</v>
      </c>
      <c r="AB675" s="19"/>
      <c r="AC675" s="19"/>
      <c r="AD675" s="15" t="str">
        <f ca="1">IF(AND($D675&lt;&gt;"",COUNTIF(OFFSET(UFS!$E$2,MATCH($D675&amp;"",UFS!$A$2:$A$175,0)-1,0,COUNTIF(UFS!$A$2:$A$175,$D675&amp;""),1),M675)&gt;0),"Valide","Invalide")</f>
        <v>Invalide</v>
      </c>
      <c r="AH675" s="15" t="str">
        <f t="shared" si="10"/>
        <v>En attente</v>
      </c>
    </row>
    <row r="676" spans="1:34" s="15" customFormat="1" ht="45" hidden="1" customHeight="1" x14ac:dyDescent="0.3">
      <c r="A676" s="42">
        <v>677</v>
      </c>
      <c r="B676" s="19" t="s">
        <v>16</v>
      </c>
      <c r="C676" s="19" t="s">
        <v>30</v>
      </c>
      <c r="D676" s="20" t="s">
        <v>1593</v>
      </c>
      <c r="E676" s="20" t="s">
        <v>79</v>
      </c>
      <c r="F676" s="21" t="s">
        <v>80</v>
      </c>
      <c r="G676" s="38" t="s">
        <v>81</v>
      </c>
      <c r="H676" s="39" t="s">
        <v>82</v>
      </c>
      <c r="I676" s="39" t="s">
        <v>83</v>
      </c>
      <c r="J676" s="21" t="s">
        <v>144</v>
      </c>
      <c r="K676" s="21" t="s">
        <v>145</v>
      </c>
      <c r="L676" s="21" t="s">
        <v>192</v>
      </c>
      <c r="M676" s="21" t="s">
        <v>1976</v>
      </c>
      <c r="N676" s="21" t="s">
        <v>1977</v>
      </c>
      <c r="O676" s="20" t="s">
        <v>2392</v>
      </c>
      <c r="P676" s="45">
        <v>45856</v>
      </c>
      <c r="Q676" s="39" t="s">
        <v>2393</v>
      </c>
      <c r="R676" s="19">
        <v>1005.85</v>
      </c>
      <c r="S676" s="21">
        <v>0.1</v>
      </c>
      <c r="T676" s="21">
        <v>1106.4349999999999</v>
      </c>
      <c r="U676" s="44" t="s">
        <v>2394</v>
      </c>
      <c r="V676" s="22">
        <v>45859</v>
      </c>
      <c r="W676" s="54" t="s">
        <v>91</v>
      </c>
      <c r="X676" s="23"/>
      <c r="Y676" s="23" t="s">
        <v>92</v>
      </c>
      <c r="Z676" s="56" t="s">
        <v>928</v>
      </c>
      <c r="AA676" s="24">
        <v>857411</v>
      </c>
      <c r="AB676" s="19"/>
      <c r="AC676" s="46" t="s">
        <v>94</v>
      </c>
      <c r="AD676" s="15" t="str">
        <f ca="1">IF(AND($D676&lt;&gt;"",COUNTIF(OFFSET(UFS!$E$2,MATCH($D676&amp;"",UFS!$A$2:$A$175,0)-1,0,COUNTIF(UFS!$A$2:$A$175,$D676&amp;""),1),M676)&gt;0),"Valide","Invalide")</f>
        <v>Valide</v>
      </c>
      <c r="AH676" s="15" t="str">
        <f t="shared" si="10"/>
        <v>En attente</v>
      </c>
    </row>
    <row r="677" spans="1:34" s="15" customFormat="1" ht="45" hidden="1" customHeight="1" x14ac:dyDescent="0.3">
      <c r="A677" s="42">
        <v>678</v>
      </c>
      <c r="B677" s="19" t="s">
        <v>16</v>
      </c>
      <c r="C677" s="19" t="s">
        <v>25</v>
      </c>
      <c r="D677" s="20" t="s">
        <v>628</v>
      </c>
      <c r="E677" s="20" t="s">
        <v>79</v>
      </c>
      <c r="F677" s="21" t="s">
        <v>80</v>
      </c>
      <c r="G677" s="38" t="s">
        <v>81</v>
      </c>
      <c r="H677" s="39" t="s">
        <v>82</v>
      </c>
      <c r="I677" s="39" t="s">
        <v>83</v>
      </c>
      <c r="J677" s="21" t="s">
        <v>124</v>
      </c>
      <c r="K677" s="21" t="s">
        <v>125</v>
      </c>
      <c r="L677" s="21" t="s">
        <v>629</v>
      </c>
      <c r="M677" s="21" t="s">
        <v>136</v>
      </c>
      <c r="N677" s="21" t="s">
        <v>102</v>
      </c>
      <c r="O677" s="20" t="s">
        <v>2395</v>
      </c>
      <c r="P677" s="45">
        <v>45856</v>
      </c>
      <c r="Q677" s="39" t="s">
        <v>2396</v>
      </c>
      <c r="R677" s="19">
        <v>1432.56</v>
      </c>
      <c r="S677" s="21">
        <v>0.1</v>
      </c>
      <c r="T677" s="21">
        <v>1575.816</v>
      </c>
      <c r="U677" s="44" t="s">
        <v>2397</v>
      </c>
      <c r="V677" s="22">
        <v>45859</v>
      </c>
      <c r="W677" s="54" t="s">
        <v>91</v>
      </c>
      <c r="X677" s="23"/>
      <c r="Y677" s="23" t="s">
        <v>92</v>
      </c>
      <c r="Z677" s="56" t="s">
        <v>928</v>
      </c>
      <c r="AA677" s="24">
        <v>857412</v>
      </c>
      <c r="AB677" s="19"/>
      <c r="AC677" s="46" t="s">
        <v>94</v>
      </c>
      <c r="AD677" s="15" t="str">
        <f ca="1">IF(AND($D677&lt;&gt;"",COUNTIF(OFFSET(UFS!$E$2,MATCH($D677&amp;"",UFS!$A$2:$A$175,0)-1,0,COUNTIF(UFS!$A$2:$A$175,$D677&amp;""),1),M677)&gt;0),"Valide","Invalide")</f>
        <v>Valide</v>
      </c>
      <c r="AH677" s="15" t="str">
        <f t="shared" si="10"/>
        <v>En attente</v>
      </c>
    </row>
    <row r="678" spans="1:34" s="15" customFormat="1" ht="45" hidden="1" customHeight="1" x14ac:dyDescent="0.3">
      <c r="A678" s="42">
        <v>679</v>
      </c>
      <c r="B678" s="19" t="s">
        <v>10</v>
      </c>
      <c r="C678" s="19" t="s">
        <v>151</v>
      </c>
      <c r="D678" s="20" t="s">
        <v>2398</v>
      </c>
      <c r="E678" s="20" t="s">
        <v>96</v>
      </c>
      <c r="F678" s="21" t="s">
        <v>80</v>
      </c>
      <c r="G678" s="38"/>
      <c r="H678" s="39"/>
      <c r="I678" s="39"/>
      <c r="J678" s="21" t="s">
        <v>144</v>
      </c>
      <c r="K678" s="21" t="s">
        <v>145</v>
      </c>
      <c r="L678" s="21" t="s">
        <v>203</v>
      </c>
      <c r="M678" s="21" t="s">
        <v>2399</v>
      </c>
      <c r="N678" s="21" t="s">
        <v>2399</v>
      </c>
      <c r="O678" s="20" t="s">
        <v>2400</v>
      </c>
      <c r="P678" s="45">
        <v>45853</v>
      </c>
      <c r="Q678" s="39" t="s">
        <v>2401</v>
      </c>
      <c r="R678" s="19">
        <v>14962</v>
      </c>
      <c r="S678" s="21">
        <v>0.2</v>
      </c>
      <c r="T678" s="21">
        <v>17954.400000000001</v>
      </c>
      <c r="U678" s="44" t="s">
        <v>2402</v>
      </c>
      <c r="V678" s="22">
        <v>45861</v>
      </c>
      <c r="W678" s="54" t="s">
        <v>91</v>
      </c>
      <c r="X678" s="23"/>
      <c r="Y678" s="23" t="s">
        <v>92</v>
      </c>
      <c r="Z678" s="56" t="s">
        <v>928</v>
      </c>
      <c r="AA678" s="24">
        <v>857020</v>
      </c>
      <c r="AB678" s="19"/>
      <c r="AC678" s="19"/>
      <c r="AD678" s="15" t="str">
        <f ca="1">IF(AND($D678&lt;&gt;"",COUNTIF(OFFSET(UFS!$E$2,MATCH($D678&amp;"",UFS!$A$2:$A$175,0)-1,0,COUNTIF(UFS!$A$2:$A$175,$D678&amp;""),1),M678)&gt;0),"Valide","Invalide")</f>
        <v>Valide</v>
      </c>
      <c r="AH678" s="15" t="str">
        <f t="shared" si="10"/>
        <v>En attente</v>
      </c>
    </row>
    <row r="679" spans="1:34" s="15" customFormat="1" ht="45" hidden="1" customHeight="1" x14ac:dyDescent="0.3">
      <c r="A679" s="42">
        <v>680</v>
      </c>
      <c r="B679" s="19" t="s">
        <v>16</v>
      </c>
      <c r="C679" s="19" t="s">
        <v>35</v>
      </c>
      <c r="D679" s="20" t="s">
        <v>200</v>
      </c>
      <c r="E679" s="20" t="s">
        <v>79</v>
      </c>
      <c r="F679" s="21" t="s">
        <v>80</v>
      </c>
      <c r="G679" s="38" t="s">
        <v>81</v>
      </c>
      <c r="H679" s="39" t="s">
        <v>215</v>
      </c>
      <c r="I679" s="39" t="s">
        <v>83</v>
      </c>
      <c r="J679" s="21" t="s">
        <v>144</v>
      </c>
      <c r="K679" s="21" t="s">
        <v>145</v>
      </c>
      <c r="L679" s="21" t="s">
        <v>203</v>
      </c>
      <c r="M679" s="21" t="s">
        <v>109</v>
      </c>
      <c r="N679" s="21" t="s">
        <v>109</v>
      </c>
      <c r="O679" s="20" t="s">
        <v>2403</v>
      </c>
      <c r="P679" s="45">
        <v>45861</v>
      </c>
      <c r="Q679" s="39" t="s">
        <v>2404</v>
      </c>
      <c r="R679" s="19">
        <v>275.83999999999997</v>
      </c>
      <c r="S679" s="21">
        <v>0.2</v>
      </c>
      <c r="T679" s="21">
        <v>331.00799999999998</v>
      </c>
      <c r="U679" s="60" t="s">
        <v>2405</v>
      </c>
      <c r="V679" s="22">
        <v>45861</v>
      </c>
      <c r="W679" s="54" t="s">
        <v>91</v>
      </c>
      <c r="X679" s="23"/>
      <c r="Y679" s="23" t="s">
        <v>92</v>
      </c>
      <c r="Z679" s="56" t="s">
        <v>1338</v>
      </c>
      <c r="AA679" s="24">
        <v>858306</v>
      </c>
      <c r="AB679" s="19"/>
      <c r="AC679" s="46" t="s">
        <v>94</v>
      </c>
      <c r="AD679" s="15" t="e">
        <f ca="1">IF(AND($D679&lt;&gt;"",COUNTIF(OFFSET(UFS!$E$2,MATCH($D679&amp;"",UFS!$A$2:$A$175,0)-1,0,COUNTIF(UFS!$A$2:$A$175,$D679&amp;""),1),M679)&gt;0),"Valide","Invalide")</f>
        <v>#N/A</v>
      </c>
      <c r="AH679" s="15" t="str">
        <f t="shared" si="10"/>
        <v>En attente</v>
      </c>
    </row>
    <row r="680" spans="1:34" s="15" customFormat="1" ht="45" hidden="1" customHeight="1" x14ac:dyDescent="0.3">
      <c r="A680" s="42">
        <v>681</v>
      </c>
      <c r="B680" s="19" t="s">
        <v>2</v>
      </c>
      <c r="C680" s="19" t="s">
        <v>2406</v>
      </c>
      <c r="D680" s="20"/>
      <c r="E680" s="87"/>
      <c r="F680" s="21"/>
      <c r="G680" s="38"/>
      <c r="H680" s="39"/>
      <c r="I680" s="39"/>
      <c r="J680" s="21"/>
      <c r="K680" s="21"/>
      <c r="L680" s="21"/>
      <c r="M680" s="21"/>
      <c r="N680" s="21"/>
      <c r="O680" s="20"/>
      <c r="P680" s="19"/>
      <c r="Q680" s="39"/>
      <c r="R680" s="19"/>
      <c r="S680" s="21"/>
      <c r="T680" s="21"/>
      <c r="U680" s="39"/>
      <c r="V680" s="21"/>
      <c r="W680" s="54"/>
      <c r="X680" s="23"/>
      <c r="Y680" s="23"/>
      <c r="Z680" s="56"/>
      <c r="AA680" s="24"/>
      <c r="AB680" s="19"/>
      <c r="AC680" s="19"/>
      <c r="AD680" s="15" t="e">
        <f ca="1">IF(AND(#REF!&lt;&gt;"",COUNTIF(OFFSET(UFS!$E$2,MATCH(#REF!&amp;"",UFS!$A$2:$A$175,0)-1,0,COUNTIF(UFS!$A$2:$A$175,#REF!&amp;""),1),M680)&gt;0),"Valide","Invalide")</f>
        <v>#REF!</v>
      </c>
      <c r="AH680" s="15" t="str">
        <f t="shared" si="10"/>
        <v/>
      </c>
    </row>
    <row r="681" spans="1:34" s="15" customFormat="1" ht="45" hidden="1" customHeight="1" x14ac:dyDescent="0.3">
      <c r="A681" s="42">
        <v>682</v>
      </c>
      <c r="B681" s="19" t="s">
        <v>0</v>
      </c>
      <c r="C681" s="19" t="s">
        <v>1</v>
      </c>
      <c r="D681" s="20" t="s">
        <v>2204</v>
      </c>
      <c r="E681" s="20" t="s">
        <v>79</v>
      </c>
      <c r="F681" s="21" t="s">
        <v>80</v>
      </c>
      <c r="G681" s="38" t="s">
        <v>81</v>
      </c>
      <c r="H681" s="39" t="s">
        <v>82</v>
      </c>
      <c r="I681" s="39" t="s">
        <v>83</v>
      </c>
      <c r="J681" s="21" t="s">
        <v>144</v>
      </c>
      <c r="K681" s="21" t="s">
        <v>145</v>
      </c>
      <c r="L681" s="21" t="s">
        <v>499</v>
      </c>
      <c r="M681" s="21" t="s">
        <v>2205</v>
      </c>
      <c r="N681" s="21" t="s">
        <v>2206</v>
      </c>
      <c r="O681" s="20" t="s">
        <v>2407</v>
      </c>
      <c r="P681" s="45">
        <v>45860</v>
      </c>
      <c r="Q681" s="39" t="s">
        <v>2408</v>
      </c>
      <c r="R681" s="19">
        <v>705.12</v>
      </c>
      <c r="S681" s="21">
        <v>0.2</v>
      </c>
      <c r="T681" s="21">
        <v>846.14400000000001</v>
      </c>
      <c r="U681" s="60" t="s">
        <v>150</v>
      </c>
      <c r="V681" s="22">
        <v>45862</v>
      </c>
      <c r="W681" s="54" t="s">
        <v>91</v>
      </c>
      <c r="X681" s="23"/>
      <c r="Y681" s="23" t="s">
        <v>92</v>
      </c>
      <c r="Z681" s="56" t="s">
        <v>2409</v>
      </c>
      <c r="AA681" s="24">
        <v>857429</v>
      </c>
      <c r="AB681" s="19"/>
      <c r="AC681" s="46" t="s">
        <v>94</v>
      </c>
      <c r="AD681" s="15" t="str">
        <f ca="1">IF(AND($D681&lt;&gt;"",COUNTIF(OFFSET(UFS!$E$2,MATCH($D681&amp;"",UFS!$A$2:$A$175,0)-1,0,COUNTIF(UFS!$A$2:$A$175,$D681&amp;""),1),M681)&gt;0),"Valide","Invalide")</f>
        <v>Valide</v>
      </c>
      <c r="AH681" s="15" t="str">
        <f t="shared" si="10"/>
        <v>En attente</v>
      </c>
    </row>
    <row r="682" spans="1:34" s="15" customFormat="1" ht="45" hidden="1" customHeight="1" x14ac:dyDescent="0.3">
      <c r="A682" s="42">
        <v>683</v>
      </c>
      <c r="B682" s="19" t="s">
        <v>0</v>
      </c>
      <c r="C682" s="19" t="s">
        <v>1</v>
      </c>
      <c r="D682" s="20" t="s">
        <v>2410</v>
      </c>
      <c r="E682" s="90" t="s">
        <v>79</v>
      </c>
      <c r="F682" s="21" t="s">
        <v>80</v>
      </c>
      <c r="G682" s="38" t="s">
        <v>81</v>
      </c>
      <c r="H682" s="39" t="s">
        <v>82</v>
      </c>
      <c r="I682" s="39" t="s">
        <v>83</v>
      </c>
      <c r="J682" s="21" t="s">
        <v>1118</v>
      </c>
      <c r="K682" s="21" t="s">
        <v>1119</v>
      </c>
      <c r="L682" s="21" t="s">
        <v>100</v>
      </c>
      <c r="M682" s="21" t="s">
        <v>1120</v>
      </c>
      <c r="N682" s="21" t="s">
        <v>271</v>
      </c>
      <c r="O682" s="20" t="s">
        <v>2411</v>
      </c>
      <c r="P682" s="45">
        <v>45860</v>
      </c>
      <c r="Q682" s="39" t="s">
        <v>2412</v>
      </c>
      <c r="R682" s="19">
        <v>7335.42</v>
      </c>
      <c r="S682" s="21">
        <v>0.2</v>
      </c>
      <c r="T682" s="21">
        <v>8802.5040000000008</v>
      </c>
      <c r="U682" s="60" t="s">
        <v>1836</v>
      </c>
      <c r="V682" s="22">
        <v>45862</v>
      </c>
      <c r="W682" s="54" t="s">
        <v>91</v>
      </c>
      <c r="X682" s="23"/>
      <c r="Y682" s="23" t="s">
        <v>92</v>
      </c>
      <c r="Z682" s="56" t="s">
        <v>928</v>
      </c>
      <c r="AA682" s="24">
        <v>857431</v>
      </c>
      <c r="AB682" s="19"/>
      <c r="AC682" s="19"/>
      <c r="AD682" s="15" t="str">
        <f ca="1">IF(AND($D682&lt;&gt;"",COUNTIF(OFFSET(UFS!$E$2,MATCH($D682&amp;"",UFS!$A$2:$A$175,0)-1,0,COUNTIF(UFS!$A$2:$A$175,$D682&amp;""),1),M682)&gt;0),"Valide","Invalide")</f>
        <v>Valide</v>
      </c>
      <c r="AH682" s="15" t="str">
        <f t="shared" si="10"/>
        <v>En attente</v>
      </c>
    </row>
    <row r="683" spans="1:34" s="15" customFormat="1" ht="45" hidden="1" customHeight="1" x14ac:dyDescent="0.3">
      <c r="A683" s="42">
        <v>684</v>
      </c>
      <c r="B683" s="19" t="s">
        <v>20</v>
      </c>
      <c r="C683" s="19" t="s">
        <v>1</v>
      </c>
      <c r="D683" s="20" t="s">
        <v>181</v>
      </c>
      <c r="E683" s="20" t="s">
        <v>79</v>
      </c>
      <c r="F683" s="21" t="s">
        <v>80</v>
      </c>
      <c r="G683" s="38" t="s">
        <v>81</v>
      </c>
      <c r="H683" s="39" t="s">
        <v>82</v>
      </c>
      <c r="I683" s="39" t="s">
        <v>83</v>
      </c>
      <c r="J683" s="21" t="s">
        <v>183</v>
      </c>
      <c r="K683" s="21" t="s">
        <v>184</v>
      </c>
      <c r="L683" s="21" t="s">
        <v>185</v>
      </c>
      <c r="M683" s="21" t="s">
        <v>186</v>
      </c>
      <c r="N683" s="21" t="s">
        <v>102</v>
      </c>
      <c r="O683" s="20" t="s">
        <v>2413</v>
      </c>
      <c r="P683" s="45">
        <v>45860</v>
      </c>
      <c r="Q683" s="39" t="s">
        <v>2414</v>
      </c>
      <c r="R683" s="19">
        <v>471.09</v>
      </c>
      <c r="S683" s="21">
        <v>0.1</v>
      </c>
      <c r="T683" s="21">
        <v>518.19899999999996</v>
      </c>
      <c r="U683" s="60" t="s">
        <v>2415</v>
      </c>
      <c r="V683" s="22">
        <v>45862</v>
      </c>
      <c r="W683" s="54" t="s">
        <v>91</v>
      </c>
      <c r="X683" s="23"/>
      <c r="Y683" s="23" t="s">
        <v>92</v>
      </c>
      <c r="Z683" s="56" t="s">
        <v>928</v>
      </c>
      <c r="AA683" s="24">
        <v>857547</v>
      </c>
      <c r="AB683" s="19"/>
      <c r="AC683" s="46" t="s">
        <v>94</v>
      </c>
      <c r="AD683" s="15" t="str">
        <f ca="1">IF(AND($D683&lt;&gt;"",COUNTIF(OFFSET(UFS!$E$2,MATCH($D683&amp;"",UFS!$A$2:$A$175,0)-1,0,COUNTIF(UFS!$A$2:$A$175,$D683&amp;""),1),M683)&gt;0),"Valide","Invalide")</f>
        <v>Valide</v>
      </c>
      <c r="AH683" s="15" t="str">
        <f t="shared" si="10"/>
        <v>En attente</v>
      </c>
    </row>
    <row r="684" spans="1:34" s="15" customFormat="1" ht="45" hidden="1" customHeight="1" x14ac:dyDescent="0.3">
      <c r="A684" s="42">
        <v>685</v>
      </c>
      <c r="B684" s="19" t="s">
        <v>20</v>
      </c>
      <c r="C684" s="19" t="s">
        <v>37</v>
      </c>
      <c r="D684" s="20" t="s">
        <v>413</v>
      </c>
      <c r="E684" s="20" t="s">
        <v>79</v>
      </c>
      <c r="F684" s="21" t="s">
        <v>80</v>
      </c>
      <c r="G684" s="38" t="s">
        <v>241</v>
      </c>
      <c r="H684" s="39" t="s">
        <v>367</v>
      </c>
      <c r="I684" s="39" t="s">
        <v>368</v>
      </c>
      <c r="J684" s="21" t="s">
        <v>183</v>
      </c>
      <c r="K684" s="21" t="s">
        <v>184</v>
      </c>
      <c r="L684" s="21" t="s">
        <v>185</v>
      </c>
      <c r="M684" s="21" t="s">
        <v>109</v>
      </c>
      <c r="N684" s="21" t="s">
        <v>109</v>
      </c>
      <c r="O684" s="20" t="s">
        <v>2416</v>
      </c>
      <c r="P684" s="45">
        <v>45828</v>
      </c>
      <c r="Q684" s="39" t="s">
        <v>2417</v>
      </c>
      <c r="R684" s="19">
        <v>135</v>
      </c>
      <c r="S684" s="21">
        <v>0.1</v>
      </c>
      <c r="T684" s="21">
        <v>148.5</v>
      </c>
      <c r="U684" s="44" t="s">
        <v>2418</v>
      </c>
      <c r="V684" s="22">
        <v>45866</v>
      </c>
      <c r="W684" s="54" t="s">
        <v>91</v>
      </c>
      <c r="X684" s="23"/>
      <c r="Y684" s="23" t="s">
        <v>92</v>
      </c>
      <c r="Z684" s="56" t="s">
        <v>928</v>
      </c>
      <c r="AA684" s="24">
        <v>857548</v>
      </c>
      <c r="AB684" s="19"/>
      <c r="AC684" s="46" t="s">
        <v>94</v>
      </c>
      <c r="AD684" s="15" t="str">
        <f ca="1">IF(AND($D684&lt;&gt;"",COUNTIF(OFFSET(UFS!$E$2,MATCH($D684&amp;"",UFS!$A$2:$A$175,0)-1,0,COUNTIF(UFS!$A$2:$A$175,$D684&amp;""),1),M684)&gt;0),"Valide","Invalide")</f>
        <v>Valide</v>
      </c>
      <c r="AH684" s="15" t="str">
        <f t="shared" si="10"/>
        <v>En attente</v>
      </c>
    </row>
    <row r="685" spans="1:34" s="15" customFormat="1" ht="45" hidden="1" customHeight="1" x14ac:dyDescent="0.3">
      <c r="A685" s="42">
        <v>686</v>
      </c>
      <c r="B685" s="19" t="s">
        <v>20</v>
      </c>
      <c r="C685" s="19" t="s">
        <v>37</v>
      </c>
      <c r="D685" s="20" t="s">
        <v>260</v>
      </c>
      <c r="E685" s="20" t="s">
        <v>79</v>
      </c>
      <c r="F685" s="21" t="s">
        <v>80</v>
      </c>
      <c r="G685" s="38" t="s">
        <v>241</v>
      </c>
      <c r="H685" s="39" t="s">
        <v>367</v>
      </c>
      <c r="I685" s="39" t="s">
        <v>368</v>
      </c>
      <c r="J685" s="21" t="s">
        <v>84</v>
      </c>
      <c r="K685" s="21" t="s">
        <v>113</v>
      </c>
      <c r="L685" s="21" t="s">
        <v>86</v>
      </c>
      <c r="M685" s="21" t="s">
        <v>109</v>
      </c>
      <c r="N685" s="21" t="s">
        <v>109</v>
      </c>
      <c r="O685" s="20" t="s">
        <v>2419</v>
      </c>
      <c r="P685" s="45">
        <v>45859</v>
      </c>
      <c r="Q685" s="39" t="s">
        <v>2420</v>
      </c>
      <c r="R685" s="19">
        <v>511.2</v>
      </c>
      <c r="S685" s="21">
        <v>0.1</v>
      </c>
      <c r="T685" s="21">
        <v>562.31999999999994</v>
      </c>
      <c r="U685" s="44" t="s">
        <v>2421</v>
      </c>
      <c r="V685" s="22">
        <v>45866</v>
      </c>
      <c r="W685" s="54" t="s">
        <v>91</v>
      </c>
      <c r="X685" s="23"/>
      <c r="Y685" s="23" t="s">
        <v>92</v>
      </c>
      <c r="Z685" s="56" t="s">
        <v>928</v>
      </c>
      <c r="AA685" s="24">
        <v>857549</v>
      </c>
      <c r="AB685" s="19"/>
      <c r="AC685" s="46" t="s">
        <v>94</v>
      </c>
      <c r="AD685" s="15" t="str">
        <f ca="1">IF(AND($D685&lt;&gt;"",COUNTIF(OFFSET(UFS!$E$2,MATCH($D685&amp;"",UFS!$A$2:$A$175,0)-1,0,COUNTIF(UFS!$A$2:$A$175,$D685&amp;""),1),M685)&gt;0),"Valide","Invalide")</f>
        <v>Valide</v>
      </c>
      <c r="AH685" s="15" t="str">
        <f t="shared" si="10"/>
        <v>En attente</v>
      </c>
    </row>
    <row r="686" spans="1:34" s="15" customFormat="1" ht="57.6" hidden="1" x14ac:dyDescent="0.3">
      <c r="A686" s="42">
        <v>687</v>
      </c>
      <c r="B686" s="19" t="s">
        <v>20</v>
      </c>
      <c r="C686" s="19" t="s">
        <v>676</v>
      </c>
      <c r="D686" s="20" t="s">
        <v>123</v>
      </c>
      <c r="E686" s="20" t="s">
        <v>79</v>
      </c>
      <c r="F686" s="21" t="s">
        <v>80</v>
      </c>
      <c r="G686" s="38" t="s">
        <v>241</v>
      </c>
      <c r="H686" s="39"/>
      <c r="I686" s="39" t="s">
        <v>677</v>
      </c>
      <c r="J686" s="21" t="s">
        <v>124</v>
      </c>
      <c r="K686" s="21" t="s">
        <v>125</v>
      </c>
      <c r="L686" s="21" t="s">
        <v>126</v>
      </c>
      <c r="M686" s="21" t="s">
        <v>109</v>
      </c>
      <c r="N686" s="21" t="s">
        <v>109</v>
      </c>
      <c r="O686" s="20" t="s">
        <v>2422</v>
      </c>
      <c r="P686" s="45">
        <v>45856</v>
      </c>
      <c r="Q686" s="39" t="s">
        <v>2423</v>
      </c>
      <c r="R686" s="19">
        <v>521.66</v>
      </c>
      <c r="S686" s="21">
        <v>0.1</v>
      </c>
      <c r="T686" s="21">
        <v>573.82600000000002</v>
      </c>
      <c r="U686" s="44" t="s">
        <v>2424</v>
      </c>
      <c r="V686" s="22">
        <v>45866</v>
      </c>
      <c r="W686" s="54" t="s">
        <v>91</v>
      </c>
      <c r="X686" s="23"/>
      <c r="Y686" s="23" t="s">
        <v>92</v>
      </c>
      <c r="Z686" s="56" t="s">
        <v>928</v>
      </c>
      <c r="AA686" s="24">
        <v>857550</v>
      </c>
      <c r="AB686" s="19"/>
      <c r="AC686" s="49" t="s">
        <v>161</v>
      </c>
      <c r="AD686" s="15" t="str">
        <f ca="1">IF(AND($D686&lt;&gt;"",COUNTIF(OFFSET(UFS!$E$2,MATCH($D686&amp;"",UFS!$A$2:$A$175,0)-1,0,COUNTIF(UFS!$A$2:$A$175,$D686&amp;""),1),M686)&gt;0),"Valide","Invalide")</f>
        <v>Valide</v>
      </c>
      <c r="AH686" s="15" t="str">
        <f t="shared" si="10"/>
        <v>En attente</v>
      </c>
    </row>
    <row r="687" spans="1:34" s="15" customFormat="1" ht="45" hidden="1" customHeight="1" x14ac:dyDescent="0.3">
      <c r="A687" s="42">
        <v>688</v>
      </c>
      <c r="B687" s="19" t="s">
        <v>20</v>
      </c>
      <c r="C687" s="19" t="s">
        <v>676</v>
      </c>
      <c r="D687" s="20" t="s">
        <v>112</v>
      </c>
      <c r="E687" s="20" t="s">
        <v>79</v>
      </c>
      <c r="F687" s="21" t="s">
        <v>80</v>
      </c>
      <c r="G687" s="38" t="s">
        <v>241</v>
      </c>
      <c r="H687" s="39"/>
      <c r="I687" s="39" t="s">
        <v>677</v>
      </c>
      <c r="J687" s="21" t="s">
        <v>84</v>
      </c>
      <c r="K687" s="21" t="s">
        <v>113</v>
      </c>
      <c r="L687" s="21" t="s">
        <v>114</v>
      </c>
      <c r="M687" s="21" t="s">
        <v>115</v>
      </c>
      <c r="N687" s="21" t="s">
        <v>102</v>
      </c>
      <c r="O687" s="20" t="s">
        <v>2425</v>
      </c>
      <c r="P687" s="45">
        <v>45856</v>
      </c>
      <c r="Q687" s="39" t="s">
        <v>2426</v>
      </c>
      <c r="R687" s="19">
        <v>531.33000000000004</v>
      </c>
      <c r="S687" s="21">
        <v>0.1</v>
      </c>
      <c r="T687" s="21">
        <v>584.46300000000008</v>
      </c>
      <c r="U687" s="44" t="s">
        <v>2427</v>
      </c>
      <c r="V687" s="22">
        <v>45866</v>
      </c>
      <c r="W687" s="54" t="s">
        <v>91</v>
      </c>
      <c r="X687" s="23"/>
      <c r="Y687" s="23" t="s">
        <v>92</v>
      </c>
      <c r="Z687" s="56" t="s">
        <v>928</v>
      </c>
      <c r="AA687" s="24">
        <v>857564</v>
      </c>
      <c r="AB687" s="19"/>
      <c r="AC687" s="49" t="s">
        <v>161</v>
      </c>
      <c r="AD687" s="15" t="str">
        <f ca="1">IF(AND($D687&lt;&gt;"",COUNTIF(OFFSET(UFS!$E$2,MATCH($D687&amp;"",UFS!$A$2:$A$175,0)-1,0,COUNTIF(UFS!$A$2:$A$175,$D687&amp;""),1),M687)&gt;0),"Valide","Invalide")</f>
        <v>Valide</v>
      </c>
      <c r="AH687" s="15" t="str">
        <f t="shared" si="10"/>
        <v>En attente</v>
      </c>
    </row>
    <row r="688" spans="1:34" s="15" customFormat="1" ht="45" hidden="1" customHeight="1" x14ac:dyDescent="0.3">
      <c r="A688" s="42">
        <v>689</v>
      </c>
      <c r="B688" s="19" t="s">
        <v>16</v>
      </c>
      <c r="C688" s="19" t="s">
        <v>28</v>
      </c>
      <c r="D688" s="20" t="s">
        <v>1593</v>
      </c>
      <c r="E688" s="20" t="s">
        <v>79</v>
      </c>
      <c r="F688" s="21" t="s">
        <v>80</v>
      </c>
      <c r="G688" s="38" t="s">
        <v>182</v>
      </c>
      <c r="H688" s="39" t="s">
        <v>82</v>
      </c>
      <c r="I688" s="39" t="s">
        <v>83</v>
      </c>
      <c r="J688" s="21" t="s">
        <v>144</v>
      </c>
      <c r="K688" s="21" t="s">
        <v>145</v>
      </c>
      <c r="L688" s="21" t="s">
        <v>192</v>
      </c>
      <c r="M688" s="21" t="s">
        <v>1976</v>
      </c>
      <c r="N688" s="21" t="s">
        <v>1977</v>
      </c>
      <c r="O688" s="20" t="s">
        <v>2428</v>
      </c>
      <c r="P688" s="45">
        <v>45838</v>
      </c>
      <c r="Q688" s="39" t="s">
        <v>2429</v>
      </c>
      <c r="R688" s="19">
        <v>2163.31</v>
      </c>
      <c r="S688" s="21">
        <v>0.1</v>
      </c>
      <c r="T688" s="21">
        <v>2379.6410000000001</v>
      </c>
      <c r="U688" s="44" t="s">
        <v>2430</v>
      </c>
      <c r="V688" s="22">
        <v>45863</v>
      </c>
      <c r="W688" s="54" t="s">
        <v>91</v>
      </c>
      <c r="X688" s="23"/>
      <c r="Y688" s="23" t="s">
        <v>92</v>
      </c>
      <c r="Z688" s="56" t="s">
        <v>928</v>
      </c>
      <c r="AA688" s="24">
        <v>857576</v>
      </c>
      <c r="AB688" s="19"/>
      <c r="AC688" s="46" t="s">
        <v>94</v>
      </c>
      <c r="AD688" s="15" t="str">
        <f ca="1">IF(AND($D688&lt;&gt;"",COUNTIF(OFFSET(UFS!$E$2,MATCH($D688&amp;"",UFS!$A$2:$A$175,0)-1,0,COUNTIF(UFS!$A$2:$A$175,$D688&amp;""),1),M688)&gt;0),"Valide","Invalide")</f>
        <v>Valide</v>
      </c>
      <c r="AH688" s="15" t="str">
        <f t="shared" si="10"/>
        <v>En attente</v>
      </c>
    </row>
    <row r="689" spans="1:34" s="15" customFormat="1" ht="45" hidden="1" customHeight="1" x14ac:dyDescent="0.3">
      <c r="A689" s="42">
        <v>690</v>
      </c>
      <c r="B689" s="19" t="s">
        <v>20</v>
      </c>
      <c r="C689" s="19" t="s">
        <v>35</v>
      </c>
      <c r="D689" s="20" t="s">
        <v>548</v>
      </c>
      <c r="E689" s="20" t="s">
        <v>79</v>
      </c>
      <c r="F689" s="21" t="s">
        <v>80</v>
      </c>
      <c r="G689" s="38" t="s">
        <v>81</v>
      </c>
      <c r="H689" s="39"/>
      <c r="I689" s="39" t="s">
        <v>83</v>
      </c>
      <c r="J689" s="21" t="s">
        <v>144</v>
      </c>
      <c r="K689" s="21" t="s">
        <v>145</v>
      </c>
      <c r="L689" s="21" t="s">
        <v>549</v>
      </c>
      <c r="M689" s="21" t="s">
        <v>549</v>
      </c>
      <c r="N689" s="21" t="s">
        <v>550</v>
      </c>
      <c r="O689" s="20" t="s">
        <v>2431</v>
      </c>
      <c r="P689" s="45">
        <v>45862</v>
      </c>
      <c r="Q689" s="39" t="s">
        <v>2432</v>
      </c>
      <c r="R689" s="19">
        <v>1890</v>
      </c>
      <c r="S689" s="21">
        <v>0.2</v>
      </c>
      <c r="T689" s="21">
        <v>2268</v>
      </c>
      <c r="U689" s="60" t="s">
        <v>2433</v>
      </c>
      <c r="V689" s="22">
        <v>45866</v>
      </c>
      <c r="W689" s="54" t="s">
        <v>91</v>
      </c>
      <c r="X689" s="23"/>
      <c r="Y689" s="23" t="s">
        <v>92</v>
      </c>
      <c r="Z689" s="103" t="s">
        <v>2434</v>
      </c>
      <c r="AA689" s="24">
        <v>857581</v>
      </c>
      <c r="AB689" s="19"/>
      <c r="AC689" s="19"/>
      <c r="AD689" s="15" t="str">
        <f ca="1">IF(AND($D689&lt;&gt;"",COUNTIF(OFFSET(UFS!$E$2,MATCH($D689&amp;"",UFS!$A$2:$A$175,0)-1,0,COUNTIF(UFS!$A$2:$A$175,$D689&amp;""),1),M689)&gt;0),"Valide","Invalide")</f>
        <v>Valide</v>
      </c>
      <c r="AH689" s="15" t="str">
        <f t="shared" si="10"/>
        <v>En attente</v>
      </c>
    </row>
    <row r="690" spans="1:34" s="15" customFormat="1" ht="45" hidden="1" customHeight="1" x14ac:dyDescent="0.3">
      <c r="A690" s="42">
        <v>691</v>
      </c>
      <c r="B690" s="19" t="s">
        <v>20</v>
      </c>
      <c r="C690" s="19" t="s">
        <v>1</v>
      </c>
      <c r="D690" s="20" t="s">
        <v>112</v>
      </c>
      <c r="E690" s="20" t="s">
        <v>79</v>
      </c>
      <c r="F690" s="21" t="s">
        <v>80</v>
      </c>
      <c r="G690" s="38" t="s">
        <v>81</v>
      </c>
      <c r="H690" s="39" t="s">
        <v>82</v>
      </c>
      <c r="I690" s="39" t="s">
        <v>83</v>
      </c>
      <c r="J690" s="21" t="s">
        <v>84</v>
      </c>
      <c r="K690" s="21" t="s">
        <v>113</v>
      </c>
      <c r="L690" s="21" t="s">
        <v>114</v>
      </c>
      <c r="M690" s="21" t="s">
        <v>115</v>
      </c>
      <c r="N690" s="21" t="s">
        <v>102</v>
      </c>
      <c r="O690" s="20" t="s">
        <v>2435</v>
      </c>
      <c r="P690" s="45">
        <v>45863</v>
      </c>
      <c r="Q690" s="39" t="s">
        <v>2436</v>
      </c>
      <c r="R690" s="19">
        <v>94.67</v>
      </c>
      <c r="S690" s="21">
        <v>0.1</v>
      </c>
      <c r="T690" s="21">
        <v>104.137</v>
      </c>
      <c r="U690" s="60" t="s">
        <v>2437</v>
      </c>
      <c r="V690" s="22">
        <v>45866</v>
      </c>
      <c r="W690" s="54" t="s">
        <v>91</v>
      </c>
      <c r="X690" s="23"/>
      <c r="Y690" s="23" t="s">
        <v>92</v>
      </c>
      <c r="Z690" s="56" t="s">
        <v>928</v>
      </c>
      <c r="AA690" s="24">
        <v>857582</v>
      </c>
      <c r="AB690" s="19"/>
      <c r="AC690" s="46" t="s">
        <v>94</v>
      </c>
      <c r="AD690" s="15" t="str">
        <f ca="1">IF(AND($D690&lt;&gt;"",COUNTIF(OFFSET(UFS!$E$2,MATCH($D690&amp;"",UFS!$A$2:$A$175,0)-1,0,COUNTIF(UFS!$A$2:$A$175,$D690&amp;""),1),M690)&gt;0),"Valide","Invalide")</f>
        <v>Valide</v>
      </c>
      <c r="AH690" s="15" t="str">
        <f t="shared" si="10"/>
        <v>En attente</v>
      </c>
    </row>
    <row r="691" spans="1:34" s="15" customFormat="1" ht="45" hidden="1" customHeight="1" x14ac:dyDescent="0.3">
      <c r="A691" s="42">
        <v>692</v>
      </c>
      <c r="B691" s="19" t="s">
        <v>16</v>
      </c>
      <c r="C691" s="19" t="s">
        <v>11</v>
      </c>
      <c r="D691" s="20" t="s">
        <v>1740</v>
      </c>
      <c r="E691" s="20" t="s">
        <v>79</v>
      </c>
      <c r="F691" s="21" t="s">
        <v>80</v>
      </c>
      <c r="G691" s="38" t="s">
        <v>81</v>
      </c>
      <c r="H691" s="39" t="s">
        <v>82</v>
      </c>
      <c r="I691" s="39" t="s">
        <v>83</v>
      </c>
      <c r="J691" s="21" t="s">
        <v>144</v>
      </c>
      <c r="K691" s="21" t="s">
        <v>145</v>
      </c>
      <c r="L691" s="21" t="s">
        <v>342</v>
      </c>
      <c r="M691" s="21" t="s">
        <v>1741</v>
      </c>
      <c r="N691" s="21" t="s">
        <v>87</v>
      </c>
      <c r="O691" s="20" t="s">
        <v>2438</v>
      </c>
      <c r="P691" s="45">
        <v>45866</v>
      </c>
      <c r="Q691" s="39" t="s">
        <v>1604</v>
      </c>
      <c r="R691" s="19">
        <v>2337.91</v>
      </c>
      <c r="S691" s="21">
        <v>0.2</v>
      </c>
      <c r="T691" s="21">
        <v>2805.4919999999997</v>
      </c>
      <c r="U691" s="60" t="s">
        <v>2439</v>
      </c>
      <c r="V691" s="22">
        <v>45866</v>
      </c>
      <c r="W691" s="54" t="s">
        <v>91</v>
      </c>
      <c r="X691" s="23"/>
      <c r="Y691" s="23" t="s">
        <v>92</v>
      </c>
      <c r="Z691" s="56" t="s">
        <v>928</v>
      </c>
      <c r="AA691" s="24">
        <v>857584</v>
      </c>
      <c r="AB691" s="19" t="s">
        <v>2440</v>
      </c>
      <c r="AC691" s="46" t="s">
        <v>94</v>
      </c>
      <c r="AD691" s="15" t="str">
        <f ca="1">IF(AND($D691&lt;&gt;"",COUNTIF(OFFSET(UFS!$E$2,MATCH($D691&amp;"",UFS!$A$2:$A$175,0)-1,0,COUNTIF(UFS!$A$2:$A$175,$D691&amp;""),1),M691)&gt;0),"Valide","Invalide")</f>
        <v>Valide</v>
      </c>
      <c r="AH691" s="15" t="str">
        <f t="shared" si="10"/>
        <v>En attente</v>
      </c>
    </row>
    <row r="692" spans="1:34" s="15" customFormat="1" ht="45" hidden="1" customHeight="1" x14ac:dyDescent="0.3">
      <c r="A692" s="42">
        <v>693</v>
      </c>
      <c r="B692" s="19" t="s">
        <v>16</v>
      </c>
      <c r="C692" s="19" t="s">
        <v>5</v>
      </c>
      <c r="D692" s="20" t="s">
        <v>810</v>
      </c>
      <c r="E692" s="20" t="s">
        <v>96</v>
      </c>
      <c r="F692" s="21" t="s">
        <v>80</v>
      </c>
      <c r="G692" s="38" t="s">
        <v>288</v>
      </c>
      <c r="H692" s="39"/>
      <c r="I692" s="39" t="s">
        <v>2441</v>
      </c>
      <c r="J692" s="21" t="s">
        <v>144</v>
      </c>
      <c r="K692" s="21" t="s">
        <v>145</v>
      </c>
      <c r="L692" s="21" t="s">
        <v>146</v>
      </c>
      <c r="M692" s="21" t="s">
        <v>812</v>
      </c>
      <c r="N692" s="21" t="s">
        <v>813</v>
      </c>
      <c r="O692" s="20" t="s">
        <v>2442</v>
      </c>
      <c r="P692" s="45">
        <v>45859</v>
      </c>
      <c r="Q692" s="39" t="s">
        <v>2443</v>
      </c>
      <c r="R692" s="19">
        <v>5720.39</v>
      </c>
      <c r="S692" s="21">
        <v>0.1</v>
      </c>
      <c r="T692" s="21">
        <v>6292.4290000000001</v>
      </c>
      <c r="U692" s="44" t="s">
        <v>2181</v>
      </c>
      <c r="V692" s="22">
        <v>45873</v>
      </c>
      <c r="W692" s="54" t="s">
        <v>91</v>
      </c>
      <c r="X692" s="23"/>
      <c r="Y692" s="23" t="s">
        <v>92</v>
      </c>
      <c r="Z692" s="56" t="s">
        <v>928</v>
      </c>
      <c r="AA692" s="24">
        <v>857590</v>
      </c>
      <c r="AB692" s="19"/>
      <c r="AC692" s="46" t="s">
        <v>94</v>
      </c>
      <c r="AD692" s="15" t="str">
        <f ca="1">IF(AND($D692&lt;&gt;"",COUNTIF(OFFSET(UFS!$E$2,MATCH($D692&amp;"",UFS!$A$2:$A$175,0)-1,0,COUNTIF(UFS!$A$2:$A$175,$D692&amp;""),1),M692)&gt;0),"Valide","Invalide")</f>
        <v>Valide</v>
      </c>
      <c r="AH692" s="15" t="str">
        <f t="shared" si="10"/>
        <v>En attente</v>
      </c>
    </row>
    <row r="693" spans="1:34" s="15" customFormat="1" ht="45" hidden="1" customHeight="1" x14ac:dyDescent="0.3">
      <c r="A693" s="42">
        <v>694</v>
      </c>
      <c r="B693" s="19" t="s">
        <v>16</v>
      </c>
      <c r="C693" s="19" t="s">
        <v>3</v>
      </c>
      <c r="D693" s="20" t="s">
        <v>2444</v>
      </c>
      <c r="E693" s="20" t="s">
        <v>79</v>
      </c>
      <c r="F693" s="21" t="s">
        <v>80</v>
      </c>
      <c r="G693" s="38" t="s">
        <v>163</v>
      </c>
      <c r="H693" s="39"/>
      <c r="I693" s="39"/>
      <c r="J693" s="21" t="s">
        <v>144</v>
      </c>
      <c r="K693" s="21" t="s">
        <v>145</v>
      </c>
      <c r="L693" s="21" t="s">
        <v>203</v>
      </c>
      <c r="M693" s="21" t="s">
        <v>2445</v>
      </c>
      <c r="N693" s="21" t="s">
        <v>2445</v>
      </c>
      <c r="O693" s="20" t="s">
        <v>2446</v>
      </c>
      <c r="P693" s="45">
        <v>45866</v>
      </c>
      <c r="Q693" s="39" t="s">
        <v>2220</v>
      </c>
      <c r="R693" s="19">
        <v>530</v>
      </c>
      <c r="S693" s="21">
        <v>0.2</v>
      </c>
      <c r="T693" s="21">
        <v>636</v>
      </c>
      <c r="U693" s="44" t="s">
        <v>2447</v>
      </c>
      <c r="V693" s="22">
        <v>45867</v>
      </c>
      <c r="W693" s="54" t="s">
        <v>91</v>
      </c>
      <c r="X693" s="23"/>
      <c r="Y693" s="23" t="s">
        <v>92</v>
      </c>
      <c r="Z693" s="56" t="s">
        <v>928</v>
      </c>
      <c r="AA693" s="24">
        <v>857684</v>
      </c>
      <c r="AB693" s="19"/>
      <c r="AC693" s="46" t="s">
        <v>94</v>
      </c>
      <c r="AD693" s="15" t="str">
        <f ca="1">IF(AND($D693&lt;&gt;"",COUNTIF(OFFSET(UFS!$E$2,MATCH($D693&amp;"",UFS!$A$2:$A$175,0)-1,0,COUNTIF(UFS!$A$2:$A$175,$D693&amp;""),1),M693)&gt;0),"Valide","Invalide")</f>
        <v>Valide</v>
      </c>
      <c r="AH693" s="15" t="str">
        <f t="shared" si="10"/>
        <v>En attente</v>
      </c>
    </row>
    <row r="694" spans="1:34" s="15" customFormat="1" ht="45" hidden="1" customHeight="1" x14ac:dyDescent="0.3">
      <c r="A694" s="42">
        <v>695</v>
      </c>
      <c r="B694" s="19" t="s">
        <v>16</v>
      </c>
      <c r="C694" s="19" t="s">
        <v>2448</v>
      </c>
      <c r="D694" s="20" t="s">
        <v>1246</v>
      </c>
      <c r="E694" s="20" t="s">
        <v>79</v>
      </c>
      <c r="F694" s="21" t="s">
        <v>80</v>
      </c>
      <c r="G694" s="38" t="s">
        <v>163</v>
      </c>
      <c r="H694" s="39"/>
      <c r="I694" s="39"/>
      <c r="J694" s="21" t="s">
        <v>144</v>
      </c>
      <c r="K694" s="21" t="s">
        <v>145</v>
      </c>
      <c r="L694" s="21" t="s">
        <v>203</v>
      </c>
      <c r="M694" s="21" t="s">
        <v>1247</v>
      </c>
      <c r="N694" s="21" t="s">
        <v>1247</v>
      </c>
      <c r="O694" s="20" t="s">
        <v>2449</v>
      </c>
      <c r="P694" s="45">
        <v>45867</v>
      </c>
      <c r="Q694" s="39" t="s">
        <v>2450</v>
      </c>
      <c r="R694" s="19">
        <v>2029.16</v>
      </c>
      <c r="S694" s="21">
        <v>0.2</v>
      </c>
      <c r="T694" s="21">
        <v>2434.9920000000002</v>
      </c>
      <c r="U694" s="44" t="s">
        <v>2451</v>
      </c>
      <c r="V694" s="22">
        <v>45869</v>
      </c>
      <c r="W694" s="54" t="s">
        <v>91</v>
      </c>
      <c r="X694" s="23"/>
      <c r="Y694" s="23" t="s">
        <v>92</v>
      </c>
      <c r="Z694" s="56" t="s">
        <v>2452</v>
      </c>
      <c r="AA694" s="24">
        <v>857687</v>
      </c>
      <c r="AB694" s="19"/>
      <c r="AC694" s="46" t="s">
        <v>94</v>
      </c>
      <c r="AD694" s="15" t="str">
        <f ca="1">IF(AND($D694&lt;&gt;"",COUNTIF(OFFSET(UFS!$E$2,MATCH($D694&amp;"",UFS!$A$2:$A$175,0)-1,0,COUNTIF(UFS!$A$2:$A$175,$D694&amp;""),1),M694)&gt;0),"Valide","Invalide")</f>
        <v>Valide</v>
      </c>
      <c r="AH694" s="15" t="str">
        <f t="shared" si="10"/>
        <v>En attente</v>
      </c>
    </row>
    <row r="695" spans="1:34" s="15" customFormat="1" ht="45" hidden="1" customHeight="1" x14ac:dyDescent="0.3">
      <c r="A695" s="42">
        <v>696</v>
      </c>
      <c r="B695" s="19" t="s">
        <v>18</v>
      </c>
      <c r="C695" s="19" t="s">
        <v>5</v>
      </c>
      <c r="D695" s="20" t="s">
        <v>200</v>
      </c>
      <c r="E695" s="20" t="s">
        <v>96</v>
      </c>
      <c r="F695" s="21" t="s">
        <v>80</v>
      </c>
      <c r="G695" s="38" t="s">
        <v>182</v>
      </c>
      <c r="H695" s="39"/>
      <c r="I695" s="39"/>
      <c r="J695" s="21" t="s">
        <v>144</v>
      </c>
      <c r="K695" s="21" t="s">
        <v>145</v>
      </c>
      <c r="L695" s="21" t="s">
        <v>203</v>
      </c>
      <c r="M695" s="21" t="s">
        <v>109</v>
      </c>
      <c r="N695" s="21" t="s">
        <v>109</v>
      </c>
      <c r="O695" s="20" t="s">
        <v>2453</v>
      </c>
      <c r="P695" s="45">
        <v>45869</v>
      </c>
      <c r="Q695" s="39" t="s">
        <v>2454</v>
      </c>
      <c r="R695" s="19">
        <v>1252.94</v>
      </c>
      <c r="S695" s="21">
        <v>0.2</v>
      </c>
      <c r="T695" s="21">
        <v>1503.528</v>
      </c>
      <c r="U695" s="44">
        <v>696</v>
      </c>
      <c r="V695" s="22">
        <v>45869</v>
      </c>
      <c r="W695" s="54" t="s">
        <v>91</v>
      </c>
      <c r="X695" s="23"/>
      <c r="Y695" s="23" t="s">
        <v>92</v>
      </c>
      <c r="Z695" s="56" t="s">
        <v>928</v>
      </c>
      <c r="AA695" s="24">
        <v>857504</v>
      </c>
      <c r="AB695" s="45">
        <v>45844</v>
      </c>
      <c r="AC695" s="49" t="s">
        <v>161</v>
      </c>
      <c r="AD695" s="15" t="e">
        <f ca="1">IF(AND($D695&lt;&gt;"",COUNTIF(OFFSET(UFS!$E$2,MATCH($D695&amp;"",UFS!$A$2:$A$175,0)-1,0,COUNTIF(UFS!$A$2:$A$175,$D695&amp;""),1),M695)&gt;0),"Valide","Invalide")</f>
        <v>#N/A</v>
      </c>
      <c r="AH695" s="15" t="str">
        <f t="shared" si="10"/>
        <v>En attente</v>
      </c>
    </row>
    <row r="696" spans="1:34" s="15" customFormat="1" ht="45" hidden="1" customHeight="1" x14ac:dyDescent="0.3">
      <c r="A696" s="42">
        <v>697</v>
      </c>
      <c r="B696" s="19" t="s">
        <v>20</v>
      </c>
      <c r="C696" s="19" t="s">
        <v>1</v>
      </c>
      <c r="D696" s="20" t="s">
        <v>2455</v>
      </c>
      <c r="E696" s="20" t="s">
        <v>79</v>
      </c>
      <c r="F696" s="21" t="s">
        <v>80</v>
      </c>
      <c r="G696" s="38" t="s">
        <v>81</v>
      </c>
      <c r="H696" s="39" t="s">
        <v>82</v>
      </c>
      <c r="I696" s="39" t="s">
        <v>83</v>
      </c>
      <c r="J696" s="21" t="s">
        <v>183</v>
      </c>
      <c r="K696" s="21" t="s">
        <v>2456</v>
      </c>
      <c r="L696" s="21" t="s">
        <v>342</v>
      </c>
      <c r="M696" s="21" t="s">
        <v>2456</v>
      </c>
      <c r="N696" s="21" t="s">
        <v>271</v>
      </c>
      <c r="O696" s="20" t="s">
        <v>2457</v>
      </c>
      <c r="P696" s="45">
        <v>45869</v>
      </c>
      <c r="Q696" s="39" t="s">
        <v>2458</v>
      </c>
      <c r="R696" s="19">
        <v>565.75</v>
      </c>
      <c r="S696" s="21">
        <v>0.2</v>
      </c>
      <c r="T696" s="21">
        <v>678.9</v>
      </c>
      <c r="U696" s="60" t="s">
        <v>2459</v>
      </c>
      <c r="V696" s="22">
        <v>45870</v>
      </c>
      <c r="W696" s="54" t="s">
        <v>91</v>
      </c>
      <c r="X696" s="23"/>
      <c r="Y696" s="23" t="s">
        <v>92</v>
      </c>
      <c r="Z696" s="56" t="s">
        <v>928</v>
      </c>
      <c r="AA696" s="24">
        <v>857626</v>
      </c>
      <c r="AB696" s="19"/>
      <c r="AC696" s="46" t="s">
        <v>94</v>
      </c>
      <c r="AD696" s="15" t="str">
        <f ca="1">IF(AND($D696&lt;&gt;"",COUNTIF(OFFSET(UFS!$E$2,MATCH($D696&amp;"",UFS!$A$2:$A$175,0)-1,0,COUNTIF(UFS!$A$2:$A$175,$D696&amp;""),1),M696)&gt;0),"Valide","Invalide")</f>
        <v>Valide</v>
      </c>
      <c r="AH696" s="15" t="str">
        <f t="shared" si="10"/>
        <v>En attente</v>
      </c>
    </row>
    <row r="697" spans="1:34" s="15" customFormat="1" ht="45" hidden="1" customHeight="1" x14ac:dyDescent="0.3">
      <c r="A697" s="42">
        <v>698</v>
      </c>
      <c r="B697" s="19" t="s">
        <v>18</v>
      </c>
      <c r="C697" s="19" t="s">
        <v>2460</v>
      </c>
      <c r="D697" s="20" t="s">
        <v>200</v>
      </c>
      <c r="E697" s="20" t="s">
        <v>96</v>
      </c>
      <c r="F697" s="21" t="s">
        <v>80</v>
      </c>
      <c r="G697" s="38" t="s">
        <v>657</v>
      </c>
      <c r="H697" s="39"/>
      <c r="I697" s="39"/>
      <c r="J697" s="21" t="s">
        <v>144</v>
      </c>
      <c r="K697" s="21" t="s">
        <v>145</v>
      </c>
      <c r="L697" s="21" t="s">
        <v>203</v>
      </c>
      <c r="M697" s="21" t="s">
        <v>109</v>
      </c>
      <c r="N697" s="21" t="s">
        <v>109</v>
      </c>
      <c r="O697" s="20" t="s">
        <v>2461</v>
      </c>
      <c r="P697" s="45">
        <v>45869</v>
      </c>
      <c r="Q697" s="39" t="s">
        <v>2462</v>
      </c>
      <c r="R697" s="19">
        <v>57542.720000000001</v>
      </c>
      <c r="S697" s="21">
        <v>0.2</v>
      </c>
      <c r="T697" s="110">
        <v>69051.263999999996</v>
      </c>
      <c r="U697" s="44" t="s">
        <v>2463</v>
      </c>
      <c r="V697" s="22">
        <v>45870</v>
      </c>
      <c r="W697" s="54" t="s">
        <v>91</v>
      </c>
      <c r="X697" s="23"/>
      <c r="Y697" s="23" t="s">
        <v>92</v>
      </c>
      <c r="Z697" s="56" t="s">
        <v>928</v>
      </c>
      <c r="AA697" s="24">
        <v>857682</v>
      </c>
      <c r="AB697" s="45">
        <v>45901</v>
      </c>
      <c r="AC697" s="19"/>
      <c r="AD697" s="15" t="e">
        <f ca="1">IF(AND($D697&lt;&gt;"",COUNTIF(OFFSET(UFS!$E$2,MATCH($D697&amp;"",UFS!$A$2:$A$175,0)-1,0,COUNTIF(UFS!$A$2:$A$175,$D697&amp;""),1),M697)&gt;0),"Valide","Invalide")</f>
        <v>#N/A</v>
      </c>
      <c r="AH697" s="15" t="str">
        <f t="shared" si="10"/>
        <v>En attente</v>
      </c>
    </row>
    <row r="698" spans="1:34" s="15" customFormat="1" ht="45" hidden="1" customHeight="1" x14ac:dyDescent="0.3">
      <c r="A698" s="42">
        <v>699</v>
      </c>
      <c r="B698" s="19" t="s">
        <v>425</v>
      </c>
      <c r="C698" s="19" t="s">
        <v>1631</v>
      </c>
      <c r="D698" s="20" t="s">
        <v>1740</v>
      </c>
      <c r="E698" s="20" t="s">
        <v>79</v>
      </c>
      <c r="F698" s="21" t="s">
        <v>80</v>
      </c>
      <c r="G698" s="38" t="s">
        <v>163</v>
      </c>
      <c r="H698" s="39"/>
      <c r="I698" s="39"/>
      <c r="J698" s="21" t="s">
        <v>144</v>
      </c>
      <c r="K698" s="21" t="s">
        <v>145</v>
      </c>
      <c r="L698" s="21" t="s">
        <v>342</v>
      </c>
      <c r="M698" s="21" t="s">
        <v>1741</v>
      </c>
      <c r="N698" s="21" t="s">
        <v>87</v>
      </c>
      <c r="O698" s="20" t="s">
        <v>2464</v>
      </c>
      <c r="P698" s="45">
        <v>45873</v>
      </c>
      <c r="Q698" s="39" t="s">
        <v>2465</v>
      </c>
      <c r="R698" s="19">
        <v>450</v>
      </c>
      <c r="S698" s="21">
        <v>0.2</v>
      </c>
      <c r="T698" s="21">
        <v>540</v>
      </c>
      <c r="U698" s="60" t="s">
        <v>429</v>
      </c>
      <c r="V698" s="22">
        <v>45873</v>
      </c>
      <c r="W698" s="54" t="s">
        <v>91</v>
      </c>
      <c r="X698" s="23"/>
      <c r="Y698" s="23" t="s">
        <v>92</v>
      </c>
      <c r="Z698" s="56" t="s">
        <v>928</v>
      </c>
      <c r="AA698" s="24">
        <v>857680</v>
      </c>
      <c r="AB698" s="19"/>
      <c r="AC698" s="19"/>
      <c r="AD698" s="15" t="str">
        <f ca="1">IF(AND($D698&lt;&gt;"",COUNTIF(OFFSET(UFS!$E$2,MATCH($D698&amp;"",UFS!$A$2:$A$175,0)-1,0,COUNTIF(UFS!$A$2:$A$175,$D698&amp;""),1),M698)&gt;0),"Valide","Invalide")</f>
        <v>Valide</v>
      </c>
      <c r="AH698" s="15" t="str">
        <f t="shared" si="10"/>
        <v>En attente</v>
      </c>
    </row>
    <row r="699" spans="1:34" s="15" customFormat="1" ht="45" hidden="1" customHeight="1" x14ac:dyDescent="0.3">
      <c r="A699" s="42">
        <v>700</v>
      </c>
      <c r="B699" s="19" t="s">
        <v>425</v>
      </c>
      <c r="C699" s="19" t="s">
        <v>35</v>
      </c>
      <c r="D699" s="20" t="s">
        <v>260</v>
      </c>
      <c r="E699" s="20" t="s">
        <v>96</v>
      </c>
      <c r="F699" s="21" t="s">
        <v>80</v>
      </c>
      <c r="G699" s="38" t="s">
        <v>1422</v>
      </c>
      <c r="H699" s="39"/>
      <c r="I699" s="39" t="s">
        <v>170</v>
      </c>
      <c r="J699" s="21" t="s">
        <v>84</v>
      </c>
      <c r="K699" s="21" t="s">
        <v>113</v>
      </c>
      <c r="L699" s="21" t="s">
        <v>86</v>
      </c>
      <c r="M699" s="21" t="s">
        <v>109</v>
      </c>
      <c r="N699" s="21" t="s">
        <v>109</v>
      </c>
      <c r="O699" s="20" t="s">
        <v>2466</v>
      </c>
      <c r="P699" s="45">
        <v>45873</v>
      </c>
      <c r="Q699" s="39" t="s">
        <v>2467</v>
      </c>
      <c r="R699" s="19">
        <v>1717.6669999999999</v>
      </c>
      <c r="S699" s="21">
        <v>0.1</v>
      </c>
      <c r="T699" s="21">
        <v>1889.4336999999998</v>
      </c>
      <c r="U699" s="44" t="s">
        <v>429</v>
      </c>
      <c r="V699" s="22">
        <v>45873</v>
      </c>
      <c r="W699" s="54" t="s">
        <v>91</v>
      </c>
      <c r="X699" s="23"/>
      <c r="Y699" s="23" t="s">
        <v>92</v>
      </c>
      <c r="Z699" s="56" t="s">
        <v>928</v>
      </c>
      <c r="AA699" s="24">
        <v>857647</v>
      </c>
      <c r="AB699" s="19"/>
      <c r="AC699" s="19"/>
      <c r="AD699" s="15" t="str">
        <f ca="1">IF(AND($D699&lt;&gt;"",COUNTIF(OFFSET(UFS!$E$2,MATCH($D699&amp;"",UFS!$A$2:$A$175,0)-1,0,COUNTIF(UFS!$A$2:$A$175,$D699&amp;""),1),M699)&gt;0),"Valide","Invalide")</f>
        <v>Valide</v>
      </c>
      <c r="AH699" s="15" t="str">
        <f t="shared" si="10"/>
        <v>En attente</v>
      </c>
    </row>
    <row r="700" spans="1:34" s="15" customFormat="1" ht="45" hidden="1" customHeight="1" x14ac:dyDescent="0.3">
      <c r="A700" s="42">
        <v>701</v>
      </c>
      <c r="B700" s="19" t="s">
        <v>6</v>
      </c>
      <c r="C700" s="19" t="s">
        <v>35</v>
      </c>
      <c r="D700" s="20" t="s">
        <v>516</v>
      </c>
      <c r="E700" s="20" t="s">
        <v>79</v>
      </c>
      <c r="F700" s="21" t="s">
        <v>80</v>
      </c>
      <c r="G700" s="38" t="s">
        <v>81</v>
      </c>
      <c r="H700" s="39" t="s">
        <v>426</v>
      </c>
      <c r="I700" s="39" t="s">
        <v>83</v>
      </c>
      <c r="J700" s="21" t="s">
        <v>497</v>
      </c>
      <c r="K700" s="21" t="s">
        <v>498</v>
      </c>
      <c r="L700" s="21" t="s">
        <v>499</v>
      </c>
      <c r="M700" s="21" t="s">
        <v>498</v>
      </c>
      <c r="N700" s="21" t="s">
        <v>151</v>
      </c>
      <c r="O700" s="20" t="s">
        <v>2468</v>
      </c>
      <c r="P700" s="45">
        <v>45853</v>
      </c>
      <c r="Q700" s="39" t="s">
        <v>2469</v>
      </c>
      <c r="R700" s="19">
        <v>1101.94</v>
      </c>
      <c r="S700" s="21">
        <v>0.2</v>
      </c>
      <c r="T700" s="21">
        <v>1322.328</v>
      </c>
      <c r="U700" s="44" t="s">
        <v>2470</v>
      </c>
      <c r="V700" s="22">
        <v>45874</v>
      </c>
      <c r="W700" s="54" t="s">
        <v>91</v>
      </c>
      <c r="X700" s="23"/>
      <c r="Y700" s="23" t="s">
        <v>92</v>
      </c>
      <c r="Z700" s="76" t="s">
        <v>1338</v>
      </c>
      <c r="AA700" s="24">
        <v>857853</v>
      </c>
      <c r="AB700" s="19"/>
      <c r="AC700" s="19"/>
      <c r="AD700" s="15" t="str">
        <f ca="1">IF(AND($D700&lt;&gt;"",COUNTIF(OFFSET(UFS!$E$2,MATCH($D700&amp;"",UFS!$A$2:$A$175,0)-1,0,COUNTIF(UFS!$A$2:$A$175,$D700&amp;""),1),M700)&gt;0),"Valide","Invalide")</f>
        <v>Valide</v>
      </c>
      <c r="AH700" s="15" t="str">
        <f t="shared" si="10"/>
        <v>En attente</v>
      </c>
    </row>
    <row r="701" spans="1:34" s="15" customFormat="1" ht="121.35" hidden="1" customHeight="1" x14ac:dyDescent="0.3">
      <c r="A701" s="42">
        <v>702</v>
      </c>
      <c r="B701" s="19" t="s">
        <v>6</v>
      </c>
      <c r="C701" s="19" t="s">
        <v>2471</v>
      </c>
      <c r="D701" s="20" t="s">
        <v>516</v>
      </c>
      <c r="E701" s="20" t="s">
        <v>79</v>
      </c>
      <c r="F701" s="21" t="s">
        <v>80</v>
      </c>
      <c r="G701" s="38" t="s">
        <v>81</v>
      </c>
      <c r="H701" s="39" t="s">
        <v>426</v>
      </c>
      <c r="I701" s="39" t="s">
        <v>83</v>
      </c>
      <c r="J701" s="21" t="s">
        <v>497</v>
      </c>
      <c r="K701" s="21" t="s">
        <v>498</v>
      </c>
      <c r="L701" s="21" t="s">
        <v>499</v>
      </c>
      <c r="M701" s="21" t="s">
        <v>498</v>
      </c>
      <c r="N701" s="21" t="s">
        <v>151</v>
      </c>
      <c r="O701" s="20" t="s">
        <v>2472</v>
      </c>
      <c r="P701" s="45">
        <v>45827</v>
      </c>
      <c r="Q701" s="39" t="s">
        <v>2473</v>
      </c>
      <c r="R701" s="19">
        <v>4108.62</v>
      </c>
      <c r="S701" s="21">
        <v>0.2</v>
      </c>
      <c r="T701" s="21">
        <v>4930.3440000000001</v>
      </c>
      <c r="U701" s="44" t="s">
        <v>2474</v>
      </c>
      <c r="V701" s="22">
        <v>45874</v>
      </c>
      <c r="W701" s="54" t="s">
        <v>91</v>
      </c>
      <c r="X701" s="23"/>
      <c r="Y701" s="23" t="s">
        <v>92</v>
      </c>
      <c r="Z701" s="56" t="s">
        <v>1478</v>
      </c>
      <c r="AA701" s="24">
        <v>858439</v>
      </c>
      <c r="AB701" s="19"/>
      <c r="AC701" s="46" t="s">
        <v>94</v>
      </c>
      <c r="AD701" s="15" t="str">
        <f ca="1">IF(AND($D701&lt;&gt;"",COUNTIF(OFFSET(UFS!$E$2,MATCH($D701&amp;"",UFS!$A$2:$A$175,0)-1,0,COUNTIF(UFS!$A$2:$A$175,$D701&amp;""),1),M701)&gt;0),"Valide","Invalide")</f>
        <v>Valide</v>
      </c>
      <c r="AH701" s="15" t="str">
        <f t="shared" si="10"/>
        <v>En attente</v>
      </c>
    </row>
    <row r="702" spans="1:34" s="15" customFormat="1" ht="45" hidden="1" customHeight="1" x14ac:dyDescent="0.3">
      <c r="A702" s="42">
        <v>703</v>
      </c>
      <c r="B702" s="19" t="s">
        <v>6</v>
      </c>
      <c r="C702" s="19" t="s">
        <v>31</v>
      </c>
      <c r="D702" s="20" t="s">
        <v>260</v>
      </c>
      <c r="E702" s="20" t="s">
        <v>79</v>
      </c>
      <c r="F702" s="21" t="s">
        <v>80</v>
      </c>
      <c r="G702" s="38" t="s">
        <v>241</v>
      </c>
      <c r="H702" s="39" t="s">
        <v>242</v>
      </c>
      <c r="I702" s="39" t="s">
        <v>243</v>
      </c>
      <c r="J702" s="21" t="s">
        <v>84</v>
      </c>
      <c r="K702" s="21" t="s">
        <v>113</v>
      </c>
      <c r="L702" s="21" t="s">
        <v>86</v>
      </c>
      <c r="M702" s="21" t="s">
        <v>109</v>
      </c>
      <c r="N702" s="21" t="s">
        <v>109</v>
      </c>
      <c r="O702" s="20" t="s">
        <v>2475</v>
      </c>
      <c r="P702" s="45">
        <v>45835</v>
      </c>
      <c r="Q702" s="39" t="s">
        <v>2476</v>
      </c>
      <c r="R702" s="19">
        <v>375.5</v>
      </c>
      <c r="S702" s="21">
        <v>0.1</v>
      </c>
      <c r="T702" s="21">
        <v>413.05</v>
      </c>
      <c r="U702" s="44" t="s">
        <v>2477</v>
      </c>
      <c r="V702" s="22">
        <v>45874</v>
      </c>
      <c r="W702" s="54" t="s">
        <v>91</v>
      </c>
      <c r="X702" s="23"/>
      <c r="Y702" s="23" t="s">
        <v>92</v>
      </c>
      <c r="Z702" s="56" t="s">
        <v>928</v>
      </c>
      <c r="AA702" s="24">
        <v>857789</v>
      </c>
      <c r="AB702" s="19"/>
      <c r="AC702" s="19"/>
      <c r="AD702" s="15" t="str">
        <f ca="1">IF(AND($D702&lt;&gt;"",COUNTIF(OFFSET(UFS!$E$2,MATCH($D702&amp;"",UFS!$A$2:$A$175,0)-1,0,COUNTIF(UFS!$A$2:$A$175,$D702&amp;""),1),M702)&gt;0),"Valide","Invalide")</f>
        <v>Valide</v>
      </c>
      <c r="AH702" s="15" t="str">
        <f t="shared" si="10"/>
        <v>En attente</v>
      </c>
    </row>
    <row r="703" spans="1:34" s="15" customFormat="1" ht="45" hidden="1" customHeight="1" x14ac:dyDescent="0.3">
      <c r="A703" s="42">
        <v>704</v>
      </c>
      <c r="B703" s="19" t="s">
        <v>6</v>
      </c>
      <c r="C703" s="19" t="s">
        <v>31</v>
      </c>
      <c r="D703" s="20" t="s">
        <v>106</v>
      </c>
      <c r="E703" s="20" t="s">
        <v>79</v>
      </c>
      <c r="F703" s="21" t="s">
        <v>80</v>
      </c>
      <c r="G703" s="38" t="s">
        <v>241</v>
      </c>
      <c r="H703" s="39" t="s">
        <v>242</v>
      </c>
      <c r="I703" s="39" t="s">
        <v>243</v>
      </c>
      <c r="J703" s="21" t="s">
        <v>98</v>
      </c>
      <c r="K703" s="21" t="s">
        <v>108</v>
      </c>
      <c r="L703" s="21" t="s">
        <v>100</v>
      </c>
      <c r="M703" s="21" t="s">
        <v>109</v>
      </c>
      <c r="N703" s="21" t="s">
        <v>109</v>
      </c>
      <c r="O703" s="20" t="s">
        <v>2478</v>
      </c>
      <c r="P703" s="45">
        <v>45851</v>
      </c>
      <c r="Q703" s="39" t="s">
        <v>2479</v>
      </c>
      <c r="R703" s="19">
        <v>375.5</v>
      </c>
      <c r="S703" s="21">
        <v>0.1</v>
      </c>
      <c r="T703" s="21">
        <v>413.05</v>
      </c>
      <c r="U703" s="44" t="s">
        <v>2480</v>
      </c>
      <c r="V703" s="22">
        <v>45874</v>
      </c>
      <c r="W703" s="54" t="s">
        <v>91</v>
      </c>
      <c r="X703" s="23"/>
      <c r="Y703" s="23" t="s">
        <v>92</v>
      </c>
      <c r="Z703" s="56" t="s">
        <v>928</v>
      </c>
      <c r="AA703" s="24">
        <v>857795</v>
      </c>
      <c r="AB703" s="19"/>
      <c r="AC703" s="19"/>
      <c r="AD703" s="15" t="str">
        <f ca="1">IF(AND($D703&lt;&gt;"",COUNTIF(OFFSET(UFS!$E$2,MATCH($D703&amp;"",UFS!$A$2:$A$175,0)-1,0,COUNTIF(UFS!$A$2:$A$175,$D703&amp;""),1),M703)&gt;0),"Valide","Invalide")</f>
        <v>Valide</v>
      </c>
      <c r="AH703" s="15" t="str">
        <f t="shared" si="10"/>
        <v>En attente</v>
      </c>
    </row>
    <row r="704" spans="1:34" s="15" customFormat="1" ht="45" hidden="1" customHeight="1" x14ac:dyDescent="0.3">
      <c r="A704" s="42">
        <v>705</v>
      </c>
      <c r="B704" s="19" t="s">
        <v>6</v>
      </c>
      <c r="C704" s="19" t="s">
        <v>36</v>
      </c>
      <c r="D704" s="20" t="s">
        <v>123</v>
      </c>
      <c r="E704" s="20" t="s">
        <v>79</v>
      </c>
      <c r="F704" s="21" t="s">
        <v>80</v>
      </c>
      <c r="G704" s="38" t="s">
        <v>241</v>
      </c>
      <c r="H704" s="39" t="s">
        <v>252</v>
      </c>
      <c r="I704" s="39" t="s">
        <v>253</v>
      </c>
      <c r="J704" s="21" t="s">
        <v>124</v>
      </c>
      <c r="K704" s="21" t="s">
        <v>125</v>
      </c>
      <c r="L704" s="21" t="s">
        <v>126</v>
      </c>
      <c r="M704" s="21" t="s">
        <v>109</v>
      </c>
      <c r="N704" s="21" t="s">
        <v>109</v>
      </c>
      <c r="O704" s="20" t="s">
        <v>2481</v>
      </c>
      <c r="P704" s="45">
        <v>45870</v>
      </c>
      <c r="Q704" s="39" t="s">
        <v>2482</v>
      </c>
      <c r="R704" s="19">
        <v>339.6</v>
      </c>
      <c r="S704" s="21">
        <v>0.1</v>
      </c>
      <c r="T704" s="21">
        <v>373.56</v>
      </c>
      <c r="U704" s="44" t="s">
        <v>2483</v>
      </c>
      <c r="V704" s="22">
        <v>45874</v>
      </c>
      <c r="W704" s="54" t="s">
        <v>91</v>
      </c>
      <c r="X704" s="23"/>
      <c r="Y704" s="23" t="s">
        <v>92</v>
      </c>
      <c r="Z704" s="56" t="s">
        <v>1338</v>
      </c>
      <c r="AA704" s="24">
        <v>857912</v>
      </c>
      <c r="AB704" s="19"/>
      <c r="AC704" s="19"/>
      <c r="AD704" s="15" t="str">
        <f ca="1">IF(AND($D704&lt;&gt;"",COUNTIF(OFFSET(UFS!$E$2,MATCH($D704&amp;"",UFS!$A$2:$A$175,0)-1,0,COUNTIF(UFS!$A$2:$A$175,$D704&amp;""),1),M704)&gt;0),"Valide","Invalide")</f>
        <v>Valide</v>
      </c>
      <c r="AH704" s="15" t="str">
        <f t="shared" si="10"/>
        <v>En attente</v>
      </c>
    </row>
    <row r="705" spans="1:34" s="15" customFormat="1" ht="45" hidden="1" customHeight="1" x14ac:dyDescent="0.3">
      <c r="A705" s="42">
        <v>706</v>
      </c>
      <c r="B705" s="19" t="s">
        <v>6</v>
      </c>
      <c r="C705" s="19" t="s">
        <v>21</v>
      </c>
      <c r="D705" s="20" t="s">
        <v>587</v>
      </c>
      <c r="E705" s="20" t="s">
        <v>79</v>
      </c>
      <c r="F705" s="21" t="s">
        <v>80</v>
      </c>
      <c r="G705" s="38" t="s">
        <v>533</v>
      </c>
      <c r="H705" s="39" t="s">
        <v>534</v>
      </c>
      <c r="I705" s="39" t="s">
        <v>535</v>
      </c>
      <c r="J705" s="21" t="s">
        <v>144</v>
      </c>
      <c r="K705" s="21" t="s">
        <v>145</v>
      </c>
      <c r="L705" s="21" t="s">
        <v>203</v>
      </c>
      <c r="M705" s="21" t="s">
        <v>589</v>
      </c>
      <c r="N705" s="21" t="s">
        <v>589</v>
      </c>
      <c r="O705" s="20" t="s">
        <v>2484</v>
      </c>
      <c r="P705" s="45">
        <v>45867</v>
      </c>
      <c r="Q705" s="39" t="s">
        <v>2485</v>
      </c>
      <c r="R705" s="19">
        <v>5148</v>
      </c>
      <c r="S705" s="21">
        <v>0.2</v>
      </c>
      <c r="T705" s="21">
        <v>6177.6</v>
      </c>
      <c r="U705" s="44" t="s">
        <v>2486</v>
      </c>
      <c r="V705" s="22">
        <v>45874</v>
      </c>
      <c r="W705" s="54" t="s">
        <v>91</v>
      </c>
      <c r="X705" s="23"/>
      <c r="Y705" s="23" t="s">
        <v>92</v>
      </c>
      <c r="Z705" s="56" t="s">
        <v>2487</v>
      </c>
      <c r="AA705" s="24">
        <v>3019</v>
      </c>
      <c r="AB705" s="19"/>
      <c r="AC705" s="19"/>
      <c r="AD705" s="15" t="str">
        <f ca="1">IF(AND($D705&lt;&gt;"",COUNTIF(OFFSET(UFS!$E$2,MATCH($D705&amp;"",UFS!$A$2:$A$175,0)-1,0,COUNTIF(UFS!$A$2:$A$175,$D705&amp;""),1),M705)&gt;0),"Valide","Invalide")</f>
        <v>Valide</v>
      </c>
      <c r="AH705" s="15" t="str">
        <f t="shared" si="10"/>
        <v>En attente</v>
      </c>
    </row>
    <row r="706" spans="1:34" s="15" customFormat="1" ht="45" hidden="1" customHeight="1" x14ac:dyDescent="0.3">
      <c r="A706" s="42">
        <v>707</v>
      </c>
      <c r="B706" s="19" t="s">
        <v>6</v>
      </c>
      <c r="C706" s="19" t="s">
        <v>21</v>
      </c>
      <c r="D706" s="20" t="s">
        <v>587</v>
      </c>
      <c r="E706" s="20" t="s">
        <v>853</v>
      </c>
      <c r="F706" s="21" t="s">
        <v>80</v>
      </c>
      <c r="G706" s="38" t="s">
        <v>854</v>
      </c>
      <c r="H706" s="39" t="s">
        <v>534</v>
      </c>
      <c r="I706" s="39"/>
      <c r="J706" s="21" t="s">
        <v>144</v>
      </c>
      <c r="K706" s="21" t="s">
        <v>145</v>
      </c>
      <c r="L706" s="21" t="s">
        <v>203</v>
      </c>
      <c r="M706" s="21" t="s">
        <v>589</v>
      </c>
      <c r="N706" s="21" t="s">
        <v>589</v>
      </c>
      <c r="O706" s="20" t="s">
        <v>2488</v>
      </c>
      <c r="P706" s="45">
        <v>45867</v>
      </c>
      <c r="Q706" s="39" t="s">
        <v>2489</v>
      </c>
      <c r="R706" s="19">
        <v>2087.9699999999998</v>
      </c>
      <c r="S706" s="21">
        <v>0.2</v>
      </c>
      <c r="T706" s="21">
        <v>2505.5639999999999</v>
      </c>
      <c r="U706" s="44" t="s">
        <v>2490</v>
      </c>
      <c r="V706" s="22">
        <v>45874</v>
      </c>
      <c r="W706" s="54" t="s">
        <v>91</v>
      </c>
      <c r="X706" s="23"/>
      <c r="Y706" s="23" t="s">
        <v>92</v>
      </c>
      <c r="Z706" s="56" t="s">
        <v>2491</v>
      </c>
      <c r="AA706" s="24">
        <v>3014</v>
      </c>
      <c r="AB706" s="19"/>
      <c r="AC706" s="19"/>
      <c r="AD706" s="15" t="str">
        <f ca="1">IF(AND($D706&lt;&gt;"",COUNTIF(OFFSET(UFS!$E$2,MATCH($D706&amp;"",UFS!$A$2:$A$175,0)-1,0,COUNTIF(UFS!$A$2:$A$175,$D706&amp;""),1),M706)&gt;0),"Valide","Invalide")</f>
        <v>Valide</v>
      </c>
      <c r="AH706" s="15" t="str">
        <f t="shared" si="10"/>
        <v>En attente</v>
      </c>
    </row>
    <row r="707" spans="1:34" s="15" customFormat="1" ht="45" hidden="1" customHeight="1" x14ac:dyDescent="0.3">
      <c r="A707" s="42">
        <v>708</v>
      </c>
      <c r="B707" s="19" t="s">
        <v>6</v>
      </c>
      <c r="C707" s="19" t="s">
        <v>21</v>
      </c>
      <c r="D707" s="20" t="s">
        <v>587</v>
      </c>
      <c r="E707" s="20" t="s">
        <v>853</v>
      </c>
      <c r="F707" s="21" t="s">
        <v>80</v>
      </c>
      <c r="G707" s="38" t="s">
        <v>854</v>
      </c>
      <c r="H707" s="39" t="s">
        <v>534</v>
      </c>
      <c r="I707" s="39"/>
      <c r="J707" s="21" t="s">
        <v>144</v>
      </c>
      <c r="K707" s="21" t="s">
        <v>145</v>
      </c>
      <c r="L707" s="21" t="s">
        <v>203</v>
      </c>
      <c r="M707" s="21" t="s">
        <v>589</v>
      </c>
      <c r="N707" s="21" t="s">
        <v>589</v>
      </c>
      <c r="O707" s="20" t="s">
        <v>2492</v>
      </c>
      <c r="P707" s="45">
        <v>45867</v>
      </c>
      <c r="Q707" s="39" t="s">
        <v>2493</v>
      </c>
      <c r="R707" s="19">
        <v>2262.17</v>
      </c>
      <c r="S707" s="21">
        <v>0.2</v>
      </c>
      <c r="T707" s="21">
        <v>2714.6040000000003</v>
      </c>
      <c r="U707" s="44" t="s">
        <v>2494</v>
      </c>
      <c r="V707" s="22">
        <v>45874</v>
      </c>
      <c r="W707" s="54" t="s">
        <v>91</v>
      </c>
      <c r="X707" s="23"/>
      <c r="Y707" s="23" t="s">
        <v>92</v>
      </c>
      <c r="Z707" s="56" t="s">
        <v>2491</v>
      </c>
      <c r="AA707" s="24">
        <v>3015</v>
      </c>
      <c r="AB707" s="19"/>
      <c r="AC707" s="19"/>
      <c r="AD707" s="15" t="str">
        <f ca="1">IF(AND($D707&lt;&gt;"",COUNTIF(OFFSET(UFS!$E$2,MATCH($D707&amp;"",UFS!$A$2:$A$175,0)-1,0,COUNTIF(UFS!$A$2:$A$175,$D707&amp;""),1),M707)&gt;0),"Valide","Invalide")</f>
        <v>Valide</v>
      </c>
      <c r="AH707" s="15" t="str">
        <f t="shared" ref="AH707:AH770" si="11">IF(T707&lt;&gt;"","En attente","")</f>
        <v>En attente</v>
      </c>
    </row>
    <row r="708" spans="1:34" s="15" customFormat="1" ht="45" hidden="1" customHeight="1" x14ac:dyDescent="0.3">
      <c r="A708" s="42">
        <v>709</v>
      </c>
      <c r="B708" s="19" t="s">
        <v>6</v>
      </c>
      <c r="C708" s="19" t="s">
        <v>21</v>
      </c>
      <c r="D708" s="20" t="s">
        <v>587</v>
      </c>
      <c r="E708" s="20" t="s">
        <v>853</v>
      </c>
      <c r="F708" s="21" t="s">
        <v>80</v>
      </c>
      <c r="G708" s="38" t="s">
        <v>854</v>
      </c>
      <c r="H708" s="39" t="s">
        <v>534</v>
      </c>
      <c r="I708" s="39"/>
      <c r="J708" s="21" t="s">
        <v>144</v>
      </c>
      <c r="K708" s="21" t="s">
        <v>145</v>
      </c>
      <c r="L708" s="21" t="s">
        <v>203</v>
      </c>
      <c r="M708" s="21" t="s">
        <v>589</v>
      </c>
      <c r="N708" s="21" t="s">
        <v>589</v>
      </c>
      <c r="O708" s="20" t="s">
        <v>2495</v>
      </c>
      <c r="P708" s="45">
        <v>45867</v>
      </c>
      <c r="Q708" s="39" t="s">
        <v>2496</v>
      </c>
      <c r="R708" s="19">
        <v>3734.28</v>
      </c>
      <c r="S708" s="21">
        <v>0.2</v>
      </c>
      <c r="T708" s="21">
        <v>4481.1360000000004</v>
      </c>
      <c r="U708" s="44" t="s">
        <v>2497</v>
      </c>
      <c r="V708" s="22">
        <v>45874</v>
      </c>
      <c r="W708" s="54" t="s">
        <v>91</v>
      </c>
      <c r="X708" s="23"/>
      <c r="Y708" s="23" t="s">
        <v>92</v>
      </c>
      <c r="Z708" s="56" t="s">
        <v>2491</v>
      </c>
      <c r="AA708" s="24">
        <v>3016</v>
      </c>
      <c r="AB708" s="19"/>
      <c r="AC708" s="19"/>
      <c r="AD708" s="15" t="str">
        <f ca="1">IF(AND($D708&lt;&gt;"",COUNTIF(OFFSET(UFS!$E$2,MATCH($D708&amp;"",UFS!$A$2:$A$175,0)-1,0,COUNTIF(UFS!$A$2:$A$175,$D708&amp;""),1),M708)&gt;0),"Valide","Invalide")</f>
        <v>Valide</v>
      </c>
      <c r="AH708" s="15" t="str">
        <f t="shared" si="11"/>
        <v>En attente</v>
      </c>
    </row>
    <row r="709" spans="1:34" s="15" customFormat="1" ht="45" hidden="1" customHeight="1" x14ac:dyDescent="0.3">
      <c r="A709" s="42">
        <v>710</v>
      </c>
      <c r="B709" s="19" t="s">
        <v>6</v>
      </c>
      <c r="C709" s="19" t="s">
        <v>21</v>
      </c>
      <c r="D709" s="20" t="s">
        <v>587</v>
      </c>
      <c r="E709" s="20" t="s">
        <v>853</v>
      </c>
      <c r="F709" s="21" t="s">
        <v>80</v>
      </c>
      <c r="G709" s="38" t="s">
        <v>854</v>
      </c>
      <c r="H709" s="39" t="s">
        <v>534</v>
      </c>
      <c r="I709" s="39"/>
      <c r="J709" s="21" t="s">
        <v>144</v>
      </c>
      <c r="K709" s="21" t="s">
        <v>145</v>
      </c>
      <c r="L709" s="21" t="s">
        <v>203</v>
      </c>
      <c r="M709" s="21" t="s">
        <v>589</v>
      </c>
      <c r="N709" s="21" t="s">
        <v>589</v>
      </c>
      <c r="O709" s="20" t="s">
        <v>2498</v>
      </c>
      <c r="P709" s="45">
        <v>45867</v>
      </c>
      <c r="Q709" s="39" t="s">
        <v>2499</v>
      </c>
      <c r="R709" s="19">
        <v>2778.8</v>
      </c>
      <c r="S709" s="21">
        <v>0.2</v>
      </c>
      <c r="T709" s="21">
        <v>3334.5600000000004</v>
      </c>
      <c r="U709" s="44" t="s">
        <v>2500</v>
      </c>
      <c r="V709" s="22">
        <v>45874</v>
      </c>
      <c r="W709" s="54" t="s">
        <v>91</v>
      </c>
      <c r="X709" s="23"/>
      <c r="Y709" s="23" t="s">
        <v>92</v>
      </c>
      <c r="Z709" s="56" t="s">
        <v>2491</v>
      </c>
      <c r="AA709" s="24">
        <v>3017</v>
      </c>
      <c r="AB709" s="19"/>
      <c r="AC709" s="19"/>
      <c r="AD709" s="15" t="str">
        <f ca="1">IF(AND($D709&lt;&gt;"",COUNTIF(OFFSET(UFS!$E$2,MATCH($D709&amp;"",UFS!$A$2:$A$175,0)-1,0,COUNTIF(UFS!$A$2:$A$175,$D709&amp;""),1),M709)&gt;0),"Valide","Invalide")</f>
        <v>Valide</v>
      </c>
      <c r="AH709" s="15" t="str">
        <f t="shared" si="11"/>
        <v>En attente</v>
      </c>
    </row>
    <row r="710" spans="1:34" s="15" customFormat="1" ht="45" hidden="1" customHeight="1" x14ac:dyDescent="0.3">
      <c r="A710" s="42">
        <v>711</v>
      </c>
      <c r="B710" s="19" t="s">
        <v>20</v>
      </c>
      <c r="C710" s="19" t="s">
        <v>1</v>
      </c>
      <c r="D710" s="20" t="s">
        <v>1288</v>
      </c>
      <c r="E710" s="20" t="s">
        <v>79</v>
      </c>
      <c r="F710" s="21" t="s">
        <v>80</v>
      </c>
      <c r="G710" s="38" t="s">
        <v>81</v>
      </c>
      <c r="H710" s="39" t="s">
        <v>82</v>
      </c>
      <c r="I710" s="39" t="s">
        <v>83</v>
      </c>
      <c r="J710" s="21" t="s">
        <v>183</v>
      </c>
      <c r="K710" s="21" t="s">
        <v>544</v>
      </c>
      <c r="L710" s="21" t="s">
        <v>492</v>
      </c>
      <c r="M710" s="21" t="s">
        <v>544</v>
      </c>
      <c r="N710" s="21" t="s">
        <v>151</v>
      </c>
      <c r="O710" s="20" t="s">
        <v>2501</v>
      </c>
      <c r="P710" s="45">
        <v>45870</v>
      </c>
      <c r="Q710" s="39" t="s">
        <v>2502</v>
      </c>
      <c r="R710" s="19">
        <v>184.83</v>
      </c>
      <c r="S710" s="21">
        <v>0.2</v>
      </c>
      <c r="T710" s="21">
        <v>221.79600000000002</v>
      </c>
      <c r="U710" s="44" t="s">
        <v>2503</v>
      </c>
      <c r="V710" s="22">
        <v>45874</v>
      </c>
      <c r="W710" s="54" t="s">
        <v>91</v>
      </c>
      <c r="X710" s="23"/>
      <c r="Y710" s="23" t="s">
        <v>92</v>
      </c>
      <c r="Z710" s="56" t="s">
        <v>1338</v>
      </c>
      <c r="AA710" s="24">
        <v>857913</v>
      </c>
      <c r="AB710" s="19"/>
      <c r="AC710" s="46" t="s">
        <v>94</v>
      </c>
      <c r="AD710" s="15" t="str">
        <f ca="1">IF(AND($D710&lt;&gt;"",COUNTIF(OFFSET(UFS!$E$2,MATCH($D710&amp;"",UFS!$A$2:$A$175,0)-1,0,COUNTIF(UFS!$A$2:$A$175,$D710&amp;""),1),M710)&gt;0),"Valide","Invalide")</f>
        <v>Valide</v>
      </c>
      <c r="AH710" s="15" t="str">
        <f t="shared" si="11"/>
        <v>En attente</v>
      </c>
    </row>
    <row r="711" spans="1:34" s="15" customFormat="1" ht="87.6" hidden="1" customHeight="1" x14ac:dyDescent="0.3">
      <c r="A711" s="42">
        <v>712</v>
      </c>
      <c r="B711" s="19" t="s">
        <v>20</v>
      </c>
      <c r="C711" s="19" t="s">
        <v>1</v>
      </c>
      <c r="D711" s="20" t="s">
        <v>464</v>
      </c>
      <c r="E711" s="20" t="s">
        <v>79</v>
      </c>
      <c r="F711" s="21" t="s">
        <v>80</v>
      </c>
      <c r="G711" s="38" t="s">
        <v>81</v>
      </c>
      <c r="H711" s="39" t="s">
        <v>82</v>
      </c>
      <c r="I711" s="39" t="s">
        <v>83</v>
      </c>
      <c r="J711" s="21" t="s">
        <v>144</v>
      </c>
      <c r="K711" s="21" t="s">
        <v>350</v>
      </c>
      <c r="L711" s="21" t="s">
        <v>278</v>
      </c>
      <c r="M711" s="21" t="s">
        <v>351</v>
      </c>
      <c r="N711" s="21" t="s">
        <v>151</v>
      </c>
      <c r="O711" s="20" t="s">
        <v>2504</v>
      </c>
      <c r="P711" s="45">
        <v>45870</v>
      </c>
      <c r="Q711" s="39" t="s">
        <v>2505</v>
      </c>
      <c r="R711" s="19">
        <v>471.09</v>
      </c>
      <c r="S711" s="21">
        <v>0.2</v>
      </c>
      <c r="T711" s="21">
        <v>565.30799999999999</v>
      </c>
      <c r="U711" s="44" t="s">
        <v>2506</v>
      </c>
      <c r="V711" s="22">
        <v>45874</v>
      </c>
      <c r="W711" s="54" t="s">
        <v>91</v>
      </c>
      <c r="X711" s="23"/>
      <c r="Y711" s="23" t="s">
        <v>92</v>
      </c>
      <c r="Z711" s="56" t="s">
        <v>1338</v>
      </c>
      <c r="AA711" s="24">
        <v>857914</v>
      </c>
      <c r="AB711" s="19"/>
      <c r="AC711" s="46" t="s">
        <v>94</v>
      </c>
      <c r="AD711" s="15" t="str">
        <f ca="1">IF(AND($D711&lt;&gt;"",COUNTIF(OFFSET(UFS!$E$2,MATCH($D711&amp;"",UFS!$A$2:$A$175,0)-1,0,COUNTIF(UFS!$A$2:$A$175,$D711&amp;""),1),M711)&gt;0),"Valide","Invalide")</f>
        <v>Valide</v>
      </c>
      <c r="AH711" s="15" t="str">
        <f t="shared" si="11"/>
        <v>En attente</v>
      </c>
    </row>
    <row r="712" spans="1:34" s="15" customFormat="1" ht="45" hidden="1" customHeight="1" x14ac:dyDescent="0.3">
      <c r="A712" s="42">
        <v>713</v>
      </c>
      <c r="B712" s="19" t="s">
        <v>10</v>
      </c>
      <c r="C712" s="19" t="s">
        <v>2507</v>
      </c>
      <c r="D712" s="20" t="s">
        <v>200</v>
      </c>
      <c r="E712" s="20" t="s">
        <v>96</v>
      </c>
      <c r="F712" s="21" t="s">
        <v>80</v>
      </c>
      <c r="G712" s="38"/>
      <c r="H712" s="39"/>
      <c r="I712" s="39"/>
      <c r="J712" s="21" t="s">
        <v>144</v>
      </c>
      <c r="K712" s="21" t="s">
        <v>145</v>
      </c>
      <c r="L712" s="21" t="s">
        <v>203</v>
      </c>
      <c r="M712" s="21" t="s">
        <v>109</v>
      </c>
      <c r="N712" s="21" t="s">
        <v>109</v>
      </c>
      <c r="O712" s="20" t="s">
        <v>2508</v>
      </c>
      <c r="P712" s="45">
        <v>45875</v>
      </c>
      <c r="Q712" s="39" t="s">
        <v>2509</v>
      </c>
      <c r="R712" s="19">
        <v>7200</v>
      </c>
      <c r="S712" s="21">
        <v>0.2</v>
      </c>
      <c r="T712" s="21">
        <v>8640</v>
      </c>
      <c r="U712" s="60" t="s">
        <v>2510</v>
      </c>
      <c r="V712" s="22">
        <v>45876</v>
      </c>
      <c r="W712" s="54" t="s">
        <v>91</v>
      </c>
      <c r="X712" s="23"/>
      <c r="Y712" s="23" t="s">
        <v>92</v>
      </c>
      <c r="Z712" s="56" t="s">
        <v>2511</v>
      </c>
      <c r="AA712" s="24">
        <v>857794</v>
      </c>
      <c r="AB712" s="19"/>
      <c r="AC712" s="19"/>
      <c r="AD712" s="15" t="e">
        <f ca="1">IF(AND($D712&lt;&gt;"",COUNTIF(OFFSET(UFS!$E$2,MATCH($D712&amp;"",UFS!$A$2:$A$175,0)-1,0,COUNTIF(UFS!$A$2:$A$175,$D712&amp;""),1),M712)&gt;0),"Valide","Invalide")</f>
        <v>#N/A</v>
      </c>
      <c r="AH712" s="15" t="str">
        <f t="shared" si="11"/>
        <v>En attente</v>
      </c>
    </row>
    <row r="713" spans="1:34" s="15" customFormat="1" ht="45" hidden="1" customHeight="1" x14ac:dyDescent="0.3">
      <c r="A713" s="42">
        <v>714</v>
      </c>
      <c r="B713" s="19" t="s">
        <v>16</v>
      </c>
      <c r="C713" s="19" t="s">
        <v>28</v>
      </c>
      <c r="D713" s="20" t="s">
        <v>1669</v>
      </c>
      <c r="E713" s="20" t="s">
        <v>79</v>
      </c>
      <c r="F713" s="21" t="s">
        <v>80</v>
      </c>
      <c r="G713" s="38" t="s">
        <v>81</v>
      </c>
      <c r="H713" s="39" t="s">
        <v>82</v>
      </c>
      <c r="I713" s="39" t="s">
        <v>83</v>
      </c>
      <c r="J713" s="21" t="s">
        <v>144</v>
      </c>
      <c r="K713" s="21" t="s">
        <v>145</v>
      </c>
      <c r="L713" s="21" t="s">
        <v>146</v>
      </c>
      <c r="M713" s="21" t="s">
        <v>1671</v>
      </c>
      <c r="N713" s="21" t="s">
        <v>813</v>
      </c>
      <c r="O713" s="20" t="s">
        <v>2512</v>
      </c>
      <c r="P713" s="45">
        <v>45876</v>
      </c>
      <c r="Q713" s="44" t="s">
        <v>2513</v>
      </c>
      <c r="R713" s="19">
        <v>4184.97</v>
      </c>
      <c r="S713" s="21">
        <v>0.1</v>
      </c>
      <c r="T713" s="21">
        <v>4603.4670000000006</v>
      </c>
      <c r="U713" s="44" t="s">
        <v>2514</v>
      </c>
      <c r="V713" s="22">
        <v>45876</v>
      </c>
      <c r="W713" s="54" t="s">
        <v>91</v>
      </c>
      <c r="X713" s="23"/>
      <c r="Y713" s="23" t="s">
        <v>92</v>
      </c>
      <c r="Z713" s="56" t="s">
        <v>928</v>
      </c>
      <c r="AA713" s="24">
        <v>857829</v>
      </c>
      <c r="AB713" s="19"/>
      <c r="AC713" s="46" t="s">
        <v>94</v>
      </c>
      <c r="AD713" s="15" t="str">
        <f ca="1">IF(AND($D713&lt;&gt;"",COUNTIF(OFFSET(UFS!$E$2,MATCH($D713&amp;"",UFS!$A$2:$A$175,0)-1,0,COUNTIF(UFS!$A$2:$A$175,$D713&amp;""),1),M713)&gt;0),"Valide","Invalide")</f>
        <v>Valide</v>
      </c>
      <c r="AH713" s="15" t="str">
        <f t="shared" si="11"/>
        <v>En attente</v>
      </c>
    </row>
    <row r="714" spans="1:34" s="15" customFormat="1" ht="74.7" hidden="1" customHeight="1" x14ac:dyDescent="0.3">
      <c r="A714" s="42">
        <v>715</v>
      </c>
      <c r="B714" s="19" t="s">
        <v>16</v>
      </c>
      <c r="C714" s="19" t="s">
        <v>35</v>
      </c>
      <c r="D714" s="20" t="s">
        <v>1740</v>
      </c>
      <c r="E714" s="20" t="s">
        <v>79</v>
      </c>
      <c r="F714" s="21" t="s">
        <v>80</v>
      </c>
      <c r="G714" s="38" t="s">
        <v>182</v>
      </c>
      <c r="H714" s="39" t="s">
        <v>215</v>
      </c>
      <c r="I714" s="39" t="s">
        <v>83</v>
      </c>
      <c r="J714" s="21" t="s">
        <v>144</v>
      </c>
      <c r="K714" s="21" t="s">
        <v>145</v>
      </c>
      <c r="L714" s="21" t="s">
        <v>342</v>
      </c>
      <c r="M714" s="21" t="s">
        <v>1741</v>
      </c>
      <c r="N714" s="21" t="s">
        <v>87</v>
      </c>
      <c r="O714" s="20" t="s">
        <v>2515</v>
      </c>
      <c r="P714" s="45">
        <v>45876</v>
      </c>
      <c r="Q714" s="39" t="s">
        <v>2516</v>
      </c>
      <c r="R714" s="19">
        <v>491.26</v>
      </c>
      <c r="S714" s="21">
        <v>0.2</v>
      </c>
      <c r="T714" s="21">
        <v>589.51199999999994</v>
      </c>
      <c r="U714" s="44" t="s">
        <v>2517</v>
      </c>
      <c r="V714" s="22">
        <v>45876</v>
      </c>
      <c r="W714" s="54" t="s">
        <v>91</v>
      </c>
      <c r="X714" s="23"/>
      <c r="Y714" s="23" t="s">
        <v>92</v>
      </c>
      <c r="Z714" s="56" t="s">
        <v>1338</v>
      </c>
      <c r="AA714" s="24">
        <v>858307</v>
      </c>
      <c r="AB714" s="19"/>
      <c r="AC714" s="46" t="s">
        <v>94</v>
      </c>
      <c r="AD714" s="15" t="str">
        <f ca="1">IF(AND($D714&lt;&gt;"",COUNTIF(OFFSET(UFS!$E$2,MATCH($D714&amp;"",UFS!$A$2:$A$175,0)-1,0,COUNTIF(UFS!$A$2:$A$175,$D714&amp;""),1),M714)&gt;0),"Valide","Invalide")</f>
        <v>Valide</v>
      </c>
      <c r="AH714" s="15" t="str">
        <f t="shared" si="11"/>
        <v>En attente</v>
      </c>
    </row>
    <row r="715" spans="1:34" s="15" customFormat="1" ht="45" hidden="1" customHeight="1" x14ac:dyDescent="0.3">
      <c r="A715" s="42">
        <v>716</v>
      </c>
      <c r="B715" s="19" t="s">
        <v>26</v>
      </c>
      <c r="C715" s="19" t="s">
        <v>30</v>
      </c>
      <c r="D715" s="20" t="s">
        <v>432</v>
      </c>
      <c r="E715" s="20" t="s">
        <v>79</v>
      </c>
      <c r="F715" s="21" t="s">
        <v>433</v>
      </c>
      <c r="G715" s="38" t="s">
        <v>81</v>
      </c>
      <c r="H715" s="39" t="s">
        <v>82</v>
      </c>
      <c r="I715" s="39" t="s">
        <v>83</v>
      </c>
      <c r="J715" s="21" t="s">
        <v>144</v>
      </c>
      <c r="K715" s="21" t="s">
        <v>145</v>
      </c>
      <c r="L715" s="21" t="s">
        <v>434</v>
      </c>
      <c r="M715" s="21" t="s">
        <v>435</v>
      </c>
      <c r="N715" s="21" t="s">
        <v>436</v>
      </c>
      <c r="O715" s="20" t="s">
        <v>2518</v>
      </c>
      <c r="P715" s="45">
        <v>45842</v>
      </c>
      <c r="Q715" s="39" t="s">
        <v>2519</v>
      </c>
      <c r="R715" s="19">
        <v>2146.48</v>
      </c>
      <c r="S715" s="21">
        <v>0.1</v>
      </c>
      <c r="T715" s="21">
        <v>2361.1280000000002</v>
      </c>
      <c r="U715" s="60" t="s">
        <v>2520</v>
      </c>
      <c r="V715" s="22">
        <v>45877</v>
      </c>
      <c r="W715" s="54" t="s">
        <v>91</v>
      </c>
      <c r="X715" s="23"/>
      <c r="Y715" s="23" t="s">
        <v>92</v>
      </c>
      <c r="Z715" s="56" t="s">
        <v>2521</v>
      </c>
      <c r="AA715" s="24">
        <v>857915</v>
      </c>
      <c r="AB715" s="19"/>
      <c r="AC715" s="46" t="s">
        <v>94</v>
      </c>
      <c r="AD715" s="15" t="str">
        <f ca="1">IF(AND($D715&lt;&gt;"",COUNTIF(OFFSET(UFS!$E$2,MATCH($D715&amp;"",UFS!$A$2:$A$175,0)-1,0,COUNTIF(UFS!$A$2:$A$175,$D715&amp;""),1),M715)&gt;0),"Valide","Invalide")</f>
        <v>Valide</v>
      </c>
      <c r="AH715" s="15" t="str">
        <f t="shared" si="11"/>
        <v>En attente</v>
      </c>
    </row>
    <row r="716" spans="1:34" s="15" customFormat="1" ht="45" hidden="1" customHeight="1" x14ac:dyDescent="0.3">
      <c r="A716" s="42">
        <v>717</v>
      </c>
      <c r="B716" s="19" t="s">
        <v>26</v>
      </c>
      <c r="C716" s="19" t="s">
        <v>30</v>
      </c>
      <c r="D716" s="20" t="s">
        <v>95</v>
      </c>
      <c r="E716" s="20" t="s">
        <v>96</v>
      </c>
      <c r="F716" s="21" t="s">
        <v>80</v>
      </c>
      <c r="G716" s="38" t="s">
        <v>169</v>
      </c>
      <c r="H716" s="39"/>
      <c r="I716" s="39">
        <v>2025016</v>
      </c>
      <c r="J716" s="21" t="s">
        <v>98</v>
      </c>
      <c r="K716" s="21" t="s">
        <v>99</v>
      </c>
      <c r="L716" s="21" t="s">
        <v>100</v>
      </c>
      <c r="M716" s="21" t="s">
        <v>101</v>
      </c>
      <c r="N716" s="21" t="s">
        <v>102</v>
      </c>
      <c r="O716" s="20" t="s">
        <v>2522</v>
      </c>
      <c r="P716" s="45">
        <v>45876</v>
      </c>
      <c r="Q716" s="39" t="s">
        <v>2523</v>
      </c>
      <c r="R716" s="19">
        <v>1529.68</v>
      </c>
      <c r="S716" s="21">
        <v>0.1</v>
      </c>
      <c r="T716" s="21">
        <v>1682.6480000000001</v>
      </c>
      <c r="U716" s="60" t="s">
        <v>2524</v>
      </c>
      <c r="V716" s="22">
        <v>45877</v>
      </c>
      <c r="W716" s="54" t="s">
        <v>91</v>
      </c>
      <c r="X716" s="23"/>
      <c r="Y716" s="23" t="s">
        <v>92</v>
      </c>
      <c r="Z716" s="56" t="s">
        <v>1338</v>
      </c>
      <c r="AA716" s="24">
        <v>857917</v>
      </c>
      <c r="AB716" s="19"/>
      <c r="AC716" s="49" t="s">
        <v>161</v>
      </c>
      <c r="AD716" s="15" t="str">
        <f ca="1">IF(AND($D716&lt;&gt;"",COUNTIF(OFFSET(UFS!$E$2,MATCH($D716&amp;"",UFS!$A$2:$A$175,0)-1,0,COUNTIF(UFS!$A$2:$A$175,$D716&amp;""),1),M716)&gt;0),"Valide","Invalide")</f>
        <v>Valide</v>
      </c>
      <c r="AH716" s="15" t="str">
        <f t="shared" si="11"/>
        <v>En attente</v>
      </c>
    </row>
    <row r="717" spans="1:34" s="15" customFormat="1" ht="45" hidden="1" customHeight="1" x14ac:dyDescent="0.3">
      <c r="A717" s="42">
        <v>718</v>
      </c>
      <c r="B717" s="19" t="s">
        <v>26</v>
      </c>
      <c r="C717" s="19" t="s">
        <v>11</v>
      </c>
      <c r="D717" s="20" t="s">
        <v>432</v>
      </c>
      <c r="E717" s="20" t="s">
        <v>79</v>
      </c>
      <c r="F717" s="21" t="s">
        <v>433</v>
      </c>
      <c r="G717" s="38" t="s">
        <v>182</v>
      </c>
      <c r="H717" s="39" t="s">
        <v>82</v>
      </c>
      <c r="I717" s="39" t="s">
        <v>83</v>
      </c>
      <c r="J717" s="21" t="s">
        <v>144</v>
      </c>
      <c r="K717" s="21" t="s">
        <v>145</v>
      </c>
      <c r="L717" s="21" t="s">
        <v>434</v>
      </c>
      <c r="M717" s="21" t="s">
        <v>435</v>
      </c>
      <c r="N717" s="21" t="s">
        <v>436</v>
      </c>
      <c r="O717" s="20" t="s">
        <v>2525</v>
      </c>
      <c r="P717" s="45">
        <v>45854</v>
      </c>
      <c r="Q717" s="39" t="s">
        <v>2526</v>
      </c>
      <c r="R717" s="19">
        <v>752.4</v>
      </c>
      <c r="S717" s="21">
        <v>0.1</v>
      </c>
      <c r="T717" s="21">
        <v>827.64</v>
      </c>
      <c r="U717" s="60" t="s">
        <v>2527</v>
      </c>
      <c r="V717" s="22">
        <v>45880</v>
      </c>
      <c r="W717" s="54" t="s">
        <v>91</v>
      </c>
      <c r="X717" s="23"/>
      <c r="Y717" s="23" t="s">
        <v>92</v>
      </c>
      <c r="Z717" s="56" t="s">
        <v>2074</v>
      </c>
      <c r="AA717" s="24">
        <v>857975</v>
      </c>
      <c r="AB717" s="19"/>
      <c r="AC717" s="19"/>
      <c r="AD717" s="15" t="str">
        <f ca="1">IF(AND($D717&lt;&gt;"",COUNTIF(OFFSET(UFS!$E$2,MATCH($D717&amp;"",UFS!$A$2:$A$175,0)-1,0,COUNTIF(UFS!$A$2:$A$175,$D717&amp;""),1),M717)&gt;0),"Valide","Invalide")</f>
        <v>Valide</v>
      </c>
      <c r="AH717" s="15" t="str">
        <f t="shared" si="11"/>
        <v>En attente</v>
      </c>
    </row>
    <row r="718" spans="1:34" s="15" customFormat="1" ht="45" hidden="1" customHeight="1" x14ac:dyDescent="0.3">
      <c r="A718" s="42">
        <v>719</v>
      </c>
      <c r="B718" s="19" t="s">
        <v>0</v>
      </c>
      <c r="C718" s="19" t="s">
        <v>11</v>
      </c>
      <c r="D718" s="20" t="s">
        <v>582</v>
      </c>
      <c r="E718" s="20" t="s">
        <v>79</v>
      </c>
      <c r="F718" s="21" t="s">
        <v>80</v>
      </c>
      <c r="G718" s="38" t="s">
        <v>182</v>
      </c>
      <c r="H718" s="39" t="s">
        <v>211</v>
      </c>
      <c r="I718" s="39" t="s">
        <v>83</v>
      </c>
      <c r="J718" s="21" t="s">
        <v>144</v>
      </c>
      <c r="K718" s="21" t="s">
        <v>145</v>
      </c>
      <c r="L718" s="21" t="s">
        <v>328</v>
      </c>
      <c r="M718" s="21" t="s">
        <v>2528</v>
      </c>
      <c r="N718" s="21" t="s">
        <v>102</v>
      </c>
      <c r="O718" s="20" t="s">
        <v>2529</v>
      </c>
      <c r="P718" s="45">
        <v>45713</v>
      </c>
      <c r="Q718" s="39" t="s">
        <v>2530</v>
      </c>
      <c r="R718" s="19">
        <v>1187.3399999999999</v>
      </c>
      <c r="S718" s="21">
        <v>0.1</v>
      </c>
      <c r="T718" s="21">
        <v>1306.0739999999998</v>
      </c>
      <c r="U718" s="44" t="s">
        <v>2531</v>
      </c>
      <c r="V718" s="22">
        <v>45882</v>
      </c>
      <c r="W718" s="54" t="s">
        <v>91</v>
      </c>
      <c r="X718" s="23"/>
      <c r="Y718" s="23" t="s">
        <v>92</v>
      </c>
      <c r="Z718" s="56" t="s">
        <v>928</v>
      </c>
      <c r="AA718" s="24">
        <v>858263</v>
      </c>
      <c r="AB718" s="19"/>
      <c r="AC718" s="19"/>
      <c r="AD718" s="15" t="str">
        <f ca="1">IF(AND($D718&lt;&gt;"",COUNTIF(OFFSET(UFS!$E$2,MATCH($D718&amp;"",UFS!$A$2:$A$175,0)-1,0,COUNTIF(UFS!$A$2:$A$175,$D718&amp;""),1),M718)&gt;0),"Valide","Invalide")</f>
        <v>Valide</v>
      </c>
      <c r="AH718" s="15" t="str">
        <f t="shared" si="11"/>
        <v>En attente</v>
      </c>
    </row>
    <row r="719" spans="1:34" s="15" customFormat="1" ht="45" hidden="1" customHeight="1" x14ac:dyDescent="0.3">
      <c r="A719" s="42">
        <v>720</v>
      </c>
      <c r="B719" s="19" t="s">
        <v>0</v>
      </c>
      <c r="C719" s="19" t="s">
        <v>11</v>
      </c>
      <c r="D719" s="20" t="s">
        <v>260</v>
      </c>
      <c r="E719" s="20" t="s">
        <v>79</v>
      </c>
      <c r="F719" s="21" t="s">
        <v>80</v>
      </c>
      <c r="G719" s="38" t="s">
        <v>81</v>
      </c>
      <c r="H719" s="39" t="s">
        <v>82</v>
      </c>
      <c r="I719" s="39" t="s">
        <v>83</v>
      </c>
      <c r="J719" s="21" t="s">
        <v>84</v>
      </c>
      <c r="K719" s="21" t="s">
        <v>113</v>
      </c>
      <c r="L719" s="21" t="s">
        <v>86</v>
      </c>
      <c r="M719" s="21" t="s">
        <v>109</v>
      </c>
      <c r="N719" s="21" t="s">
        <v>109</v>
      </c>
      <c r="O719" s="20" t="s">
        <v>2532</v>
      </c>
      <c r="P719" s="45">
        <v>45814</v>
      </c>
      <c r="Q719" s="39" t="s">
        <v>2533</v>
      </c>
      <c r="R719" s="19">
        <v>8791.7800000000007</v>
      </c>
      <c r="S719" s="21">
        <v>0.1</v>
      </c>
      <c r="T719" s="21">
        <v>9670.9580000000005</v>
      </c>
      <c r="U719" s="60" t="s">
        <v>2534</v>
      </c>
      <c r="V719" s="22">
        <v>45882</v>
      </c>
      <c r="W719" s="54" t="s">
        <v>91</v>
      </c>
      <c r="X719" s="23"/>
      <c r="Y719" s="23" t="s">
        <v>92</v>
      </c>
      <c r="Z719" s="56" t="s">
        <v>2535</v>
      </c>
      <c r="AA719" s="24">
        <v>858235</v>
      </c>
      <c r="AB719" s="19"/>
      <c r="AC719" s="19"/>
      <c r="AD719" s="15" t="str">
        <f ca="1">IF(AND($D719&lt;&gt;"",COUNTIF(OFFSET(UFS!$E$2,MATCH($D719&amp;"",UFS!$A$2:$A$175,0)-1,0,COUNTIF(UFS!$A$2:$A$175,$D719&amp;""),1),M719)&gt;0),"Valide","Invalide")</f>
        <v>Valide</v>
      </c>
      <c r="AH719" s="15" t="str">
        <f t="shared" si="11"/>
        <v>En attente</v>
      </c>
    </row>
    <row r="720" spans="1:34" s="15" customFormat="1" ht="45" hidden="1" customHeight="1" x14ac:dyDescent="0.3">
      <c r="A720" s="42">
        <v>721</v>
      </c>
      <c r="B720" s="19" t="s">
        <v>16</v>
      </c>
      <c r="C720" s="19" t="s">
        <v>28</v>
      </c>
      <c r="D720" s="20" t="s">
        <v>143</v>
      </c>
      <c r="E720" s="20" t="s">
        <v>79</v>
      </c>
      <c r="F720" s="21" t="s">
        <v>80</v>
      </c>
      <c r="G720" s="38" t="s">
        <v>81</v>
      </c>
      <c r="H720" s="39" t="s">
        <v>82</v>
      </c>
      <c r="I720" s="39" t="s">
        <v>83</v>
      </c>
      <c r="J720" s="21" t="s">
        <v>144</v>
      </c>
      <c r="K720" s="21" t="s">
        <v>145</v>
      </c>
      <c r="L720" s="21" t="s">
        <v>146</v>
      </c>
      <c r="M720" s="21" t="s">
        <v>146</v>
      </c>
      <c r="N720" s="21" t="s">
        <v>147</v>
      </c>
      <c r="O720" s="20" t="s">
        <v>2536</v>
      </c>
      <c r="P720" s="45">
        <v>45881</v>
      </c>
      <c r="Q720" s="39" t="s">
        <v>2537</v>
      </c>
      <c r="R720" s="19">
        <v>2921.6</v>
      </c>
      <c r="S720" s="21">
        <v>0.2</v>
      </c>
      <c r="T720" s="21">
        <v>3505.92</v>
      </c>
      <c r="U720" s="44" t="s">
        <v>2538</v>
      </c>
      <c r="V720" s="22">
        <v>45883</v>
      </c>
      <c r="W720" s="54" t="s">
        <v>91</v>
      </c>
      <c r="X720" s="23"/>
      <c r="Y720" s="23" t="s">
        <v>92</v>
      </c>
      <c r="Z720" s="56" t="s">
        <v>928</v>
      </c>
      <c r="AA720" s="24">
        <v>858264</v>
      </c>
      <c r="AB720" s="19" t="s">
        <v>2539</v>
      </c>
      <c r="AC720" s="46" t="s">
        <v>94</v>
      </c>
      <c r="AD720" s="15" t="str">
        <f ca="1">IF(AND($D720&lt;&gt;"",COUNTIF(OFFSET(UFS!$E$2,MATCH($D720&amp;"",UFS!$A$2:$A$175,0)-1,0,COUNTIF(UFS!$A$2:$A$175,$D720&amp;""),1),M720)&gt;0),"Valide","Invalide")</f>
        <v>Valide</v>
      </c>
      <c r="AH720" s="15" t="str">
        <f t="shared" si="11"/>
        <v>En attente</v>
      </c>
    </row>
    <row r="721" spans="1:34" s="15" customFormat="1" ht="45" hidden="1" customHeight="1" x14ac:dyDescent="0.3">
      <c r="A721" s="42">
        <v>722</v>
      </c>
      <c r="B721" s="19" t="s">
        <v>20</v>
      </c>
      <c r="C721" s="19" t="s">
        <v>37</v>
      </c>
      <c r="D721" s="20" t="s">
        <v>2540</v>
      </c>
      <c r="E721" s="20" t="s">
        <v>79</v>
      </c>
      <c r="F721" s="21" t="s">
        <v>80</v>
      </c>
      <c r="G721" s="38" t="s">
        <v>241</v>
      </c>
      <c r="H721" s="39" t="s">
        <v>367</v>
      </c>
      <c r="I721" s="39" t="s">
        <v>368</v>
      </c>
      <c r="J721" s="21" t="s">
        <v>84</v>
      </c>
      <c r="K721" s="21" t="s">
        <v>2541</v>
      </c>
      <c r="L721" s="21" t="s">
        <v>86</v>
      </c>
      <c r="M721" s="21" t="s">
        <v>2542</v>
      </c>
      <c r="N721" s="21" t="s">
        <v>151</v>
      </c>
      <c r="O721" s="20" t="s">
        <v>2543</v>
      </c>
      <c r="P721" s="45">
        <v>45880</v>
      </c>
      <c r="Q721" s="39" t="s">
        <v>2544</v>
      </c>
      <c r="R721" s="19">
        <v>135.80000000000001</v>
      </c>
      <c r="S721" s="21">
        <v>0.2</v>
      </c>
      <c r="T721" s="21">
        <v>162.96</v>
      </c>
      <c r="U721" s="44" t="s">
        <v>2545</v>
      </c>
      <c r="V721" s="22">
        <v>45888</v>
      </c>
      <c r="W721" s="54"/>
      <c r="X721" s="23"/>
      <c r="Y721" s="23" t="s">
        <v>92</v>
      </c>
      <c r="Z721" s="56" t="s">
        <v>2546</v>
      </c>
      <c r="AA721" s="24">
        <v>858359</v>
      </c>
      <c r="AB721" s="19"/>
      <c r="AC721" s="46" t="s">
        <v>94</v>
      </c>
      <c r="AD721" s="15" t="str">
        <f ca="1">IF(AND($D721&lt;&gt;"",COUNTIF(OFFSET(UFS!$E$2,MATCH($D721&amp;"",UFS!$A$2:$A$175,0)-1,0,COUNTIF(UFS!$A$2:$A$175,$D721&amp;""),1),M721)&gt;0),"Valide","Invalide")</f>
        <v>Valide</v>
      </c>
      <c r="AH721" s="15" t="str">
        <f t="shared" si="11"/>
        <v>En attente</v>
      </c>
    </row>
    <row r="722" spans="1:34" s="15" customFormat="1" ht="45" hidden="1" customHeight="1" x14ac:dyDescent="0.3">
      <c r="A722" s="42">
        <v>723</v>
      </c>
      <c r="B722" s="19" t="s">
        <v>20</v>
      </c>
      <c r="C722" s="19" t="s">
        <v>37</v>
      </c>
      <c r="D722" s="20" t="s">
        <v>2540</v>
      </c>
      <c r="E722" s="20" t="s">
        <v>79</v>
      </c>
      <c r="F722" s="21" t="s">
        <v>80</v>
      </c>
      <c r="G722" s="38" t="s">
        <v>241</v>
      </c>
      <c r="H722" s="39" t="s">
        <v>367</v>
      </c>
      <c r="I722" s="39" t="s">
        <v>368</v>
      </c>
      <c r="J722" s="21" t="s">
        <v>84</v>
      </c>
      <c r="K722" s="21" t="s">
        <v>2541</v>
      </c>
      <c r="L722" s="21" t="s">
        <v>86</v>
      </c>
      <c r="M722" s="21" t="s">
        <v>2542</v>
      </c>
      <c r="N722" s="21" t="s">
        <v>151</v>
      </c>
      <c r="O722" s="20" t="s">
        <v>2547</v>
      </c>
      <c r="P722" s="45">
        <v>45880</v>
      </c>
      <c r="Q722" s="39" t="s">
        <v>2548</v>
      </c>
      <c r="R722" s="19">
        <v>90</v>
      </c>
      <c r="S722" s="21">
        <v>0.2</v>
      </c>
      <c r="T722" s="21">
        <v>108</v>
      </c>
      <c r="U722" s="60" t="s">
        <v>2549</v>
      </c>
      <c r="V722" s="22">
        <v>45888</v>
      </c>
      <c r="W722" s="54"/>
      <c r="X722" s="23"/>
      <c r="Y722" s="23" t="s">
        <v>92</v>
      </c>
      <c r="Z722" s="56" t="s">
        <v>2550</v>
      </c>
      <c r="AA722" s="24">
        <v>858360</v>
      </c>
      <c r="AB722" s="19"/>
      <c r="AC722" s="46" t="s">
        <v>94</v>
      </c>
      <c r="AD722" s="15" t="str">
        <f ca="1">IF(AND($D722&lt;&gt;"",COUNTIF(OFFSET(UFS!$E$2,MATCH($D722&amp;"",UFS!$A$2:$A$175,0)-1,0,COUNTIF(UFS!$A$2:$A$175,$D722&amp;""),1),M722)&gt;0),"Valide","Invalide")</f>
        <v>Valide</v>
      </c>
      <c r="AH722" s="15" t="str">
        <f t="shared" si="11"/>
        <v>En attente</v>
      </c>
    </row>
    <row r="723" spans="1:34" s="15" customFormat="1" ht="45" hidden="1" customHeight="1" x14ac:dyDescent="0.3">
      <c r="A723" s="42">
        <v>724</v>
      </c>
      <c r="B723" s="19" t="s">
        <v>26</v>
      </c>
      <c r="C723" s="19" t="s">
        <v>28</v>
      </c>
      <c r="D723" s="20" t="s">
        <v>413</v>
      </c>
      <c r="E723" s="20" t="s">
        <v>79</v>
      </c>
      <c r="F723" s="21" t="s">
        <v>80</v>
      </c>
      <c r="G723" s="38" t="s">
        <v>81</v>
      </c>
      <c r="H723" s="39" t="s">
        <v>82</v>
      </c>
      <c r="I723" s="39" t="s">
        <v>83</v>
      </c>
      <c r="J723" s="21" t="s">
        <v>183</v>
      </c>
      <c r="K723" s="21" t="s">
        <v>184</v>
      </c>
      <c r="L723" s="21" t="s">
        <v>185</v>
      </c>
      <c r="M723" s="21" t="s">
        <v>109</v>
      </c>
      <c r="N723" s="21" t="s">
        <v>109</v>
      </c>
      <c r="O723" s="20" t="s">
        <v>2551</v>
      </c>
      <c r="P723" s="45">
        <v>45888</v>
      </c>
      <c r="Q723" s="39" t="s">
        <v>2552</v>
      </c>
      <c r="R723" s="19">
        <v>5880</v>
      </c>
      <c r="S723" s="21">
        <v>0.1</v>
      </c>
      <c r="T723" s="21">
        <v>6468</v>
      </c>
      <c r="U723" s="60" t="s">
        <v>2553</v>
      </c>
      <c r="V723" s="22">
        <v>45888</v>
      </c>
      <c r="W723" s="54"/>
      <c r="X723" s="23"/>
      <c r="Y723" s="23" t="s">
        <v>92</v>
      </c>
      <c r="Z723" s="56" t="s">
        <v>1338</v>
      </c>
      <c r="AA723" s="24">
        <v>858361</v>
      </c>
      <c r="AB723" s="19"/>
      <c r="AC723" s="19"/>
      <c r="AD723" s="15" t="str">
        <f ca="1">IF(AND($D723&lt;&gt;"",COUNTIF(OFFSET(UFS!$E$2,MATCH($D723&amp;"",UFS!$A$2:$A$175,0)-1,0,COUNTIF(UFS!$A$2:$A$175,$D723&amp;""),1),M723)&gt;0),"Valide","Invalide")</f>
        <v>Valide</v>
      </c>
      <c r="AH723" s="15" t="str">
        <f t="shared" si="11"/>
        <v>En attente</v>
      </c>
    </row>
    <row r="724" spans="1:34" s="15" customFormat="1" ht="45" hidden="1" customHeight="1" x14ac:dyDescent="0.3">
      <c r="A724" s="42">
        <v>725</v>
      </c>
      <c r="B724" s="19" t="s">
        <v>20</v>
      </c>
      <c r="C724" s="19" t="s">
        <v>37</v>
      </c>
      <c r="D724" s="20" t="s">
        <v>233</v>
      </c>
      <c r="E724" s="20" t="s">
        <v>79</v>
      </c>
      <c r="F724" s="21" t="s">
        <v>80</v>
      </c>
      <c r="G724" s="38" t="s">
        <v>241</v>
      </c>
      <c r="H724" s="39" t="s">
        <v>367</v>
      </c>
      <c r="I724" s="39" t="s">
        <v>368</v>
      </c>
      <c r="J724" s="21" t="s">
        <v>124</v>
      </c>
      <c r="K724" s="21" t="s">
        <v>235</v>
      </c>
      <c r="L724" s="21" t="s">
        <v>177</v>
      </c>
      <c r="M724" s="21" t="s">
        <v>109</v>
      </c>
      <c r="N724" s="21" t="s">
        <v>109</v>
      </c>
      <c r="O724" s="20" t="s">
        <v>2554</v>
      </c>
      <c r="P724" s="45">
        <v>45880</v>
      </c>
      <c r="Q724" s="39" t="s">
        <v>2555</v>
      </c>
      <c r="R724" s="19">
        <v>585</v>
      </c>
      <c r="S724" s="21">
        <v>0.1</v>
      </c>
      <c r="T724" s="21">
        <v>643.5</v>
      </c>
      <c r="U724" s="44" t="s">
        <v>2556</v>
      </c>
      <c r="V724" s="22">
        <v>45889</v>
      </c>
      <c r="W724" s="54"/>
      <c r="X724" s="23"/>
      <c r="Y724" s="23" t="s">
        <v>92</v>
      </c>
      <c r="Z724" s="56" t="s">
        <v>2557</v>
      </c>
      <c r="AA724" s="24">
        <v>858398</v>
      </c>
      <c r="AB724" s="19"/>
      <c r="AC724" s="46" t="s">
        <v>94</v>
      </c>
      <c r="AD724" s="15" t="str">
        <f ca="1">IF(AND($D724&lt;&gt;"",COUNTIF(OFFSET(UFS!$E$2,MATCH($D724&amp;"",UFS!$A$2:$A$175,0)-1,0,COUNTIF(UFS!$A$2:$A$175,$D724&amp;""),1),M724)&gt;0),"Valide","Invalide")</f>
        <v>Valide</v>
      </c>
      <c r="AH724" s="15" t="str">
        <f t="shared" si="11"/>
        <v>En attente</v>
      </c>
    </row>
    <row r="725" spans="1:34" s="15" customFormat="1" ht="45" hidden="1" customHeight="1" x14ac:dyDescent="0.3">
      <c r="A725" s="42">
        <v>726</v>
      </c>
      <c r="B725" s="19" t="s">
        <v>20</v>
      </c>
      <c r="C725" s="19" t="s">
        <v>37</v>
      </c>
      <c r="D725" s="20" t="s">
        <v>523</v>
      </c>
      <c r="E725" s="20" t="s">
        <v>79</v>
      </c>
      <c r="F725" s="21" t="s">
        <v>80</v>
      </c>
      <c r="G725" s="38" t="s">
        <v>241</v>
      </c>
      <c r="H725" s="39" t="s">
        <v>367</v>
      </c>
      <c r="I725" s="39" t="s">
        <v>368</v>
      </c>
      <c r="J725" s="21" t="s">
        <v>341</v>
      </c>
      <c r="K725" s="21" t="s">
        <v>145</v>
      </c>
      <c r="L725" s="21" t="s">
        <v>192</v>
      </c>
      <c r="M725" s="21" t="s">
        <v>343</v>
      </c>
      <c r="N725" s="21" t="s">
        <v>151</v>
      </c>
      <c r="O725" s="20" t="s">
        <v>2558</v>
      </c>
      <c r="P725" s="45">
        <v>45888</v>
      </c>
      <c r="Q725" s="39" t="s">
        <v>2559</v>
      </c>
      <c r="R725" s="19">
        <v>826.35</v>
      </c>
      <c r="S725" s="21">
        <v>0.2</v>
      </c>
      <c r="T725" s="21">
        <v>991.62</v>
      </c>
      <c r="U725" s="44" t="s">
        <v>2560</v>
      </c>
      <c r="V725" s="22">
        <v>45889</v>
      </c>
      <c r="W725" s="54"/>
      <c r="X725" s="23"/>
      <c r="Y725" s="23" t="s">
        <v>92</v>
      </c>
      <c r="Z725" s="56" t="s">
        <v>1338</v>
      </c>
      <c r="AA725" s="24">
        <v>858441</v>
      </c>
      <c r="AB725" s="19"/>
      <c r="AC725" s="46" t="s">
        <v>94</v>
      </c>
      <c r="AD725" s="15" t="str">
        <f ca="1">IF(AND($D725&lt;&gt;"",COUNTIF(OFFSET(UFS!$E$2,MATCH($D725&amp;"",UFS!$A$2:$A$175,0)-1,0,COUNTIF(UFS!$A$2:$A$175,$D725&amp;""),1),M725)&gt;0),"Valide","Invalide")</f>
        <v>Valide</v>
      </c>
      <c r="AH725" s="15" t="str">
        <f t="shared" si="11"/>
        <v>En attente</v>
      </c>
    </row>
    <row r="726" spans="1:34" s="15" customFormat="1" ht="74.7" hidden="1" customHeight="1" x14ac:dyDescent="0.3">
      <c r="A726" s="42">
        <v>727</v>
      </c>
      <c r="B726" s="19" t="s">
        <v>2</v>
      </c>
      <c r="C726" s="19" t="s">
        <v>1757</v>
      </c>
      <c r="D726" s="20" t="s">
        <v>200</v>
      </c>
      <c r="E726" s="20" t="s">
        <v>79</v>
      </c>
      <c r="F726" s="21" t="s">
        <v>80</v>
      </c>
      <c r="G726" s="38" t="s">
        <v>1169</v>
      </c>
      <c r="H726" s="39" t="s">
        <v>1085</v>
      </c>
      <c r="I726" s="39"/>
      <c r="J726" s="21" t="s">
        <v>144</v>
      </c>
      <c r="K726" s="21" t="s">
        <v>145</v>
      </c>
      <c r="L726" s="21" t="s">
        <v>203</v>
      </c>
      <c r="M726" s="21" t="s">
        <v>109</v>
      </c>
      <c r="N726" s="21" t="s">
        <v>109</v>
      </c>
      <c r="O726" s="20" t="s">
        <v>2561</v>
      </c>
      <c r="P726" s="45">
        <v>45888</v>
      </c>
      <c r="Q726" s="39" t="s">
        <v>2562</v>
      </c>
      <c r="R726" s="19">
        <v>1280</v>
      </c>
      <c r="S726" s="21">
        <v>0.2</v>
      </c>
      <c r="T726" s="21">
        <v>1536</v>
      </c>
      <c r="U726" s="44" t="s">
        <v>2563</v>
      </c>
      <c r="V726" s="22">
        <v>45890</v>
      </c>
      <c r="W726" s="54"/>
      <c r="X726" s="23"/>
      <c r="Y726" s="23" t="s">
        <v>92</v>
      </c>
      <c r="Z726" s="56" t="s">
        <v>2564</v>
      </c>
      <c r="AA726" s="24">
        <v>858442</v>
      </c>
      <c r="AB726" s="19"/>
      <c r="AC726" s="19"/>
      <c r="AD726" s="15" t="e">
        <f ca="1">IF(AND($D726&lt;&gt;"",COUNTIF(OFFSET(UFS!$E$2,MATCH($D726&amp;"",UFS!$A$2:$A$175,0)-1,0,COUNTIF(UFS!$A$2:$A$175,$D726&amp;""),1),M726)&gt;0),"Valide","Invalide")</f>
        <v>#N/A</v>
      </c>
      <c r="AH726" s="15" t="str">
        <f t="shared" si="11"/>
        <v>En attente</v>
      </c>
    </row>
    <row r="727" spans="1:34" s="15" customFormat="1" ht="63" hidden="1" customHeight="1" x14ac:dyDescent="0.3">
      <c r="A727" s="42">
        <v>728</v>
      </c>
      <c r="B727" s="19" t="s">
        <v>709</v>
      </c>
      <c r="C727" s="19" t="s">
        <v>23</v>
      </c>
      <c r="D727" s="20" t="s">
        <v>1726</v>
      </c>
      <c r="E727" s="20" t="s">
        <v>79</v>
      </c>
      <c r="F727" s="21" t="s">
        <v>80</v>
      </c>
      <c r="G727" s="38" t="s">
        <v>241</v>
      </c>
      <c r="H727" s="39" t="s">
        <v>643</v>
      </c>
      <c r="I727" s="39" t="s">
        <v>644</v>
      </c>
      <c r="J727" s="21" t="s">
        <v>124</v>
      </c>
      <c r="K727" s="21" t="s">
        <v>2565</v>
      </c>
      <c r="L727" s="21" t="s">
        <v>203</v>
      </c>
      <c r="M727" s="21" t="s">
        <v>2566</v>
      </c>
      <c r="N727" s="21" t="s">
        <v>711</v>
      </c>
      <c r="O727" s="20" t="s">
        <v>2567</v>
      </c>
      <c r="P727" s="45">
        <v>45877</v>
      </c>
      <c r="Q727" s="39" t="s">
        <v>2568</v>
      </c>
      <c r="R727" s="19">
        <v>253.2</v>
      </c>
      <c r="S727" s="21">
        <v>0.1</v>
      </c>
      <c r="T727" s="21">
        <v>278.52</v>
      </c>
      <c r="U727" s="60" t="s">
        <v>2569</v>
      </c>
      <c r="V727" s="21"/>
      <c r="W727" s="54" t="s">
        <v>91</v>
      </c>
      <c r="X727" s="23"/>
      <c r="Y727" s="23" t="s">
        <v>92</v>
      </c>
      <c r="Z727" s="56" t="s">
        <v>1338</v>
      </c>
      <c r="AA727" s="24">
        <v>858449</v>
      </c>
      <c r="AB727" s="19"/>
      <c r="AC727" s="19"/>
      <c r="AD727" s="15" t="str">
        <f ca="1">IF(AND($D727&lt;&gt;"",COUNTIF(OFFSET(UFS!$E$2,MATCH($D727&amp;"",UFS!$A$2:$A$175,0)-1,0,COUNTIF(UFS!$A$2:$A$175,$D727&amp;""),1),M727)&gt;0),"Valide","Invalide")</f>
        <v>Invalide</v>
      </c>
      <c r="AH727" s="15" t="str">
        <f t="shared" si="11"/>
        <v>En attente</v>
      </c>
    </row>
    <row r="728" spans="1:34" s="15" customFormat="1" ht="45" hidden="1" customHeight="1" x14ac:dyDescent="0.3">
      <c r="A728" s="42">
        <v>729</v>
      </c>
      <c r="B728" s="19" t="s">
        <v>26</v>
      </c>
      <c r="C728" s="19" t="s">
        <v>28</v>
      </c>
      <c r="D728" s="20" t="s">
        <v>935</v>
      </c>
      <c r="E728" s="20" t="s">
        <v>79</v>
      </c>
      <c r="F728" s="21" t="s">
        <v>80</v>
      </c>
      <c r="G728" s="38" t="s">
        <v>182</v>
      </c>
      <c r="H728" s="39" t="s">
        <v>82</v>
      </c>
      <c r="I728" s="39" t="s">
        <v>83</v>
      </c>
      <c r="J728" s="21" t="s">
        <v>144</v>
      </c>
      <c r="K728" s="21" t="s">
        <v>145</v>
      </c>
      <c r="L728" s="21" t="s">
        <v>936</v>
      </c>
      <c r="M728" s="21" t="s">
        <v>937</v>
      </c>
      <c r="N728" s="21" t="s">
        <v>937</v>
      </c>
      <c r="O728" s="20" t="s">
        <v>2570</v>
      </c>
      <c r="P728" s="45">
        <v>45881</v>
      </c>
      <c r="Q728" s="39" t="s">
        <v>2571</v>
      </c>
      <c r="R728" s="19">
        <v>2224.3000000000002</v>
      </c>
      <c r="S728" s="21">
        <v>0.2</v>
      </c>
      <c r="T728" s="21">
        <v>2669.1600000000003</v>
      </c>
      <c r="U728" s="44" t="s">
        <v>2572</v>
      </c>
      <c r="V728" s="22">
        <v>45890</v>
      </c>
      <c r="W728" s="54"/>
      <c r="X728" s="23"/>
      <c r="Y728" s="23" t="s">
        <v>92</v>
      </c>
      <c r="Z728" s="56" t="s">
        <v>928</v>
      </c>
      <c r="AA728" s="24">
        <v>858588</v>
      </c>
      <c r="AB728" s="19"/>
      <c r="AC728" s="46" t="s">
        <v>94</v>
      </c>
      <c r="AD728" s="15" t="e">
        <f ca="1">IF(AND($D728&lt;&gt;"",COUNTIF(OFFSET(UFS!$E$2,MATCH($D728&amp;"",UFS!$A$2:$A$175,0)-1,0,COUNTIF(UFS!$A$2:$A$175,$D728&amp;""),1),M728)&gt;0),"Valide","Invalide")</f>
        <v>#N/A</v>
      </c>
      <c r="AH728" s="15" t="str">
        <f t="shared" si="11"/>
        <v>En attente</v>
      </c>
    </row>
    <row r="729" spans="1:34" s="15" customFormat="1" ht="45" hidden="1" customHeight="1" x14ac:dyDescent="0.3">
      <c r="A729" s="42">
        <v>730</v>
      </c>
      <c r="B729" s="19" t="s">
        <v>26</v>
      </c>
      <c r="C729" s="19" t="s">
        <v>28</v>
      </c>
      <c r="D729" s="20" t="s">
        <v>935</v>
      </c>
      <c r="E729" s="20" t="s">
        <v>79</v>
      </c>
      <c r="F729" s="21" t="s">
        <v>80</v>
      </c>
      <c r="G729" s="38" t="s">
        <v>182</v>
      </c>
      <c r="H729" s="39" t="s">
        <v>82</v>
      </c>
      <c r="I729" s="39" t="s">
        <v>83</v>
      </c>
      <c r="J729" s="21" t="s">
        <v>144</v>
      </c>
      <c r="K729" s="21" t="s">
        <v>145</v>
      </c>
      <c r="L729" s="21" t="s">
        <v>936</v>
      </c>
      <c r="M729" s="21" t="s">
        <v>937</v>
      </c>
      <c r="N729" s="21" t="s">
        <v>937</v>
      </c>
      <c r="O729" s="20" t="s">
        <v>2573</v>
      </c>
      <c r="P729" s="45">
        <v>45881</v>
      </c>
      <c r="Q729" s="39" t="s">
        <v>2574</v>
      </c>
      <c r="R729" s="19">
        <v>1799.04</v>
      </c>
      <c r="S729" s="21">
        <v>0.2</v>
      </c>
      <c r="T729" s="21">
        <v>2158.848</v>
      </c>
      <c r="U729" s="44" t="s">
        <v>2575</v>
      </c>
      <c r="V729" s="22">
        <v>45890</v>
      </c>
      <c r="W729" s="54"/>
      <c r="X729" s="23"/>
      <c r="Y729" s="23" t="s">
        <v>347</v>
      </c>
      <c r="Z729" s="56" t="s">
        <v>2576</v>
      </c>
      <c r="AA729" s="24"/>
      <c r="AB729" s="19"/>
      <c r="AC729" s="19"/>
      <c r="AD729" s="15" t="e">
        <f ca="1">IF(AND($D729&lt;&gt;"",COUNTIF(OFFSET(UFS!$E$2,MATCH($D729&amp;"",UFS!$A$2:$A$175,0)-1,0,COUNTIF(UFS!$A$2:$A$175,$D729&amp;""),1),M729)&gt;0),"Valide","Invalide")</f>
        <v>#N/A</v>
      </c>
      <c r="AH729" s="15" t="str">
        <f t="shared" si="11"/>
        <v>En attente</v>
      </c>
    </row>
    <row r="730" spans="1:34" s="15" customFormat="1" ht="45" hidden="1" customHeight="1" x14ac:dyDescent="0.3">
      <c r="A730" s="42">
        <v>731</v>
      </c>
      <c r="B730" s="19" t="s">
        <v>26</v>
      </c>
      <c r="C730" s="19" t="s">
        <v>28</v>
      </c>
      <c r="D730" s="20" t="s">
        <v>935</v>
      </c>
      <c r="E730" s="20" t="s">
        <v>79</v>
      </c>
      <c r="F730" s="21" t="s">
        <v>80</v>
      </c>
      <c r="G730" s="38" t="s">
        <v>182</v>
      </c>
      <c r="H730" s="39" t="s">
        <v>82</v>
      </c>
      <c r="I730" s="39" t="s">
        <v>83</v>
      </c>
      <c r="J730" s="21" t="s">
        <v>144</v>
      </c>
      <c r="K730" s="21" t="s">
        <v>145</v>
      </c>
      <c r="L730" s="21" t="s">
        <v>936</v>
      </c>
      <c r="M730" s="21" t="s">
        <v>937</v>
      </c>
      <c r="N730" s="21" t="s">
        <v>937</v>
      </c>
      <c r="O730" s="20" t="s">
        <v>2577</v>
      </c>
      <c r="P730" s="45">
        <v>45881</v>
      </c>
      <c r="Q730" s="39" t="s">
        <v>2578</v>
      </c>
      <c r="R730" s="19">
        <v>1329.96</v>
      </c>
      <c r="S730" s="21">
        <v>0.2</v>
      </c>
      <c r="T730" s="21">
        <v>1595.952</v>
      </c>
      <c r="U730" s="44" t="s">
        <v>2579</v>
      </c>
      <c r="V730" s="22">
        <v>45890</v>
      </c>
      <c r="W730" s="54"/>
      <c r="X730" s="23"/>
      <c r="Y730" s="23" t="s">
        <v>347</v>
      </c>
      <c r="Z730" s="56" t="s">
        <v>2576</v>
      </c>
      <c r="AA730" s="24"/>
      <c r="AB730" s="19"/>
      <c r="AC730" s="19"/>
      <c r="AD730" s="15" t="e">
        <f ca="1">IF(AND($D730&lt;&gt;"",COUNTIF(OFFSET(UFS!$E$2,MATCH($D730&amp;"",UFS!$A$2:$A$175,0)-1,0,COUNTIF(UFS!$A$2:$A$175,$D730&amp;""),1),M730)&gt;0),"Valide","Invalide")</f>
        <v>#N/A</v>
      </c>
      <c r="AH730" s="15" t="str">
        <f t="shared" si="11"/>
        <v>En attente</v>
      </c>
    </row>
    <row r="731" spans="1:34" s="15" customFormat="1" ht="45" hidden="1" customHeight="1" x14ac:dyDescent="0.3">
      <c r="A731" s="42">
        <v>732</v>
      </c>
      <c r="B731" s="19" t="s">
        <v>26</v>
      </c>
      <c r="C731" s="19" t="s">
        <v>11</v>
      </c>
      <c r="D731" s="20" t="s">
        <v>935</v>
      </c>
      <c r="E731" s="20" t="s">
        <v>79</v>
      </c>
      <c r="F731" s="21" t="s">
        <v>80</v>
      </c>
      <c r="G731" s="38" t="s">
        <v>182</v>
      </c>
      <c r="H731" s="39" t="s">
        <v>82</v>
      </c>
      <c r="I731" s="39" t="s">
        <v>83</v>
      </c>
      <c r="J731" s="21" t="s">
        <v>144</v>
      </c>
      <c r="K731" s="21" t="s">
        <v>145</v>
      </c>
      <c r="L731" s="21" t="s">
        <v>936</v>
      </c>
      <c r="M731" s="21" t="s">
        <v>937</v>
      </c>
      <c r="N731" s="21" t="s">
        <v>937</v>
      </c>
      <c r="O731" s="20" t="s">
        <v>2580</v>
      </c>
      <c r="P731" s="45">
        <v>45890</v>
      </c>
      <c r="Q731" s="39" t="s">
        <v>2581</v>
      </c>
      <c r="R731" s="19">
        <v>447.85</v>
      </c>
      <c r="S731" s="21">
        <v>0.2</v>
      </c>
      <c r="T731" s="21">
        <v>537.42000000000007</v>
      </c>
      <c r="U731" s="44" t="s">
        <v>2582</v>
      </c>
      <c r="V731" s="22">
        <v>45890</v>
      </c>
      <c r="W731" s="54"/>
      <c r="X731" s="23"/>
      <c r="Y731" s="23" t="s">
        <v>92</v>
      </c>
      <c r="Z731" s="56" t="s">
        <v>1338</v>
      </c>
      <c r="AA731" s="24">
        <v>858532</v>
      </c>
      <c r="AB731" s="19"/>
      <c r="AC731" s="19"/>
      <c r="AD731" s="15" t="e">
        <f ca="1">IF(AND($D731&lt;&gt;"",COUNTIF(OFFSET(UFS!$E$2,MATCH($D731&amp;"",UFS!$A$2:$A$175,0)-1,0,COUNTIF(UFS!$A$2:$A$175,$D731&amp;""),1),M731)&gt;0),"Valide","Invalide")</f>
        <v>#N/A</v>
      </c>
      <c r="AH731" s="15" t="str">
        <f t="shared" si="11"/>
        <v>En attente</v>
      </c>
    </row>
    <row r="732" spans="1:34" s="15" customFormat="1" ht="45" hidden="1" customHeight="1" x14ac:dyDescent="0.3">
      <c r="A732" s="42">
        <v>733</v>
      </c>
      <c r="B732" s="19" t="s">
        <v>4</v>
      </c>
      <c r="C732" s="19" t="s">
        <v>27</v>
      </c>
      <c r="D732" s="20" t="s">
        <v>2583</v>
      </c>
      <c r="E732" s="20" t="s">
        <v>79</v>
      </c>
      <c r="F732" s="21" t="s">
        <v>80</v>
      </c>
      <c r="G732" s="38" t="s">
        <v>241</v>
      </c>
      <c r="H732" s="39" t="s">
        <v>381</v>
      </c>
      <c r="I732" s="39" t="s">
        <v>382</v>
      </c>
      <c r="J732" s="21" t="s">
        <v>84</v>
      </c>
      <c r="K732" s="21" t="s">
        <v>2541</v>
      </c>
      <c r="L732" s="21" t="s">
        <v>86</v>
      </c>
      <c r="M732" s="21" t="s">
        <v>2542</v>
      </c>
      <c r="N732" s="21" t="s">
        <v>271</v>
      </c>
      <c r="O732" s="20" t="s">
        <v>2584</v>
      </c>
      <c r="P732" s="45">
        <v>45829</v>
      </c>
      <c r="Q732" s="39" t="s">
        <v>2585</v>
      </c>
      <c r="R732" s="19">
        <v>1257.08</v>
      </c>
      <c r="S732" s="21">
        <v>0.2</v>
      </c>
      <c r="T732" s="111">
        <v>1508.4959999999999</v>
      </c>
      <c r="U732" s="44" t="s">
        <v>385</v>
      </c>
      <c r="V732" s="22">
        <v>45891</v>
      </c>
      <c r="W732" s="54"/>
      <c r="X732" s="23"/>
      <c r="Y732" s="23" t="s">
        <v>92</v>
      </c>
      <c r="Z732" s="56" t="s">
        <v>1338</v>
      </c>
      <c r="AA732" s="24">
        <v>858534</v>
      </c>
      <c r="AB732" s="19"/>
      <c r="AC732" s="19"/>
      <c r="AD732" s="15" t="str">
        <f ca="1">IF(AND($D732&lt;&gt;"",COUNTIF(OFFSET(UFS!$E$2,MATCH($D732&amp;"",UFS!$A$2:$A$175,0)-1,0,COUNTIF(UFS!$A$2:$A$175,$D732&amp;""),1),M732)&gt;0),"Valide","Invalide")</f>
        <v>Valide</v>
      </c>
      <c r="AH732" s="15" t="str">
        <f t="shared" si="11"/>
        <v>En attente</v>
      </c>
    </row>
    <row r="733" spans="1:34" s="15" customFormat="1" ht="45" hidden="1" customHeight="1" x14ac:dyDescent="0.3">
      <c r="A733" s="42">
        <v>734</v>
      </c>
      <c r="B733" s="19" t="s">
        <v>24</v>
      </c>
      <c r="C733" s="19" t="s">
        <v>11</v>
      </c>
      <c r="D733" s="20" t="s">
        <v>233</v>
      </c>
      <c r="E733" s="20" t="s">
        <v>79</v>
      </c>
      <c r="F733" s="21" t="s">
        <v>80</v>
      </c>
      <c r="G733" s="38" t="s">
        <v>182</v>
      </c>
      <c r="H733" s="39" t="s">
        <v>82</v>
      </c>
      <c r="I733" s="39" t="s">
        <v>83</v>
      </c>
      <c r="J733" s="21" t="s">
        <v>124</v>
      </c>
      <c r="K733" s="21" t="s">
        <v>235</v>
      </c>
      <c r="L733" s="21" t="s">
        <v>177</v>
      </c>
      <c r="M733" s="21" t="s">
        <v>109</v>
      </c>
      <c r="N733" s="21" t="s">
        <v>109</v>
      </c>
      <c r="O733" s="20" t="s">
        <v>2586</v>
      </c>
      <c r="P733" s="45">
        <v>45889</v>
      </c>
      <c r="Q733" s="39" t="s">
        <v>2587</v>
      </c>
      <c r="R733" s="19">
        <v>2903.69</v>
      </c>
      <c r="S733" s="21">
        <v>0.1</v>
      </c>
      <c r="T733" s="111">
        <v>3194.0590000000002</v>
      </c>
      <c r="U733" s="60" t="s">
        <v>2588</v>
      </c>
      <c r="V733" s="22">
        <v>45891</v>
      </c>
      <c r="W733" s="54" t="s">
        <v>91</v>
      </c>
      <c r="X733" s="23"/>
      <c r="Y733" s="23" t="s">
        <v>92</v>
      </c>
      <c r="Z733" s="56" t="s">
        <v>1338</v>
      </c>
      <c r="AA733" s="24">
        <v>858543</v>
      </c>
      <c r="AB733" s="19"/>
      <c r="AC733" s="46" t="s">
        <v>94</v>
      </c>
      <c r="AD733" s="15" t="str">
        <f ca="1">IF(AND($D733&lt;&gt;"",COUNTIF(OFFSET(UFS!$E$2,MATCH($D733&amp;"",UFS!$A$2:$A$175,0)-1,0,COUNTIF(UFS!$A$2:$A$175,$D733&amp;""),1),M733)&gt;0),"Valide","Invalide")</f>
        <v>Valide</v>
      </c>
      <c r="AH733" s="15" t="str">
        <f t="shared" si="11"/>
        <v>En attente</v>
      </c>
    </row>
    <row r="734" spans="1:34" s="15" customFormat="1" ht="45" hidden="1" customHeight="1" x14ac:dyDescent="0.3">
      <c r="A734" s="42">
        <v>735</v>
      </c>
      <c r="B734" s="19" t="s">
        <v>24</v>
      </c>
      <c r="C734" s="19" t="s">
        <v>30</v>
      </c>
      <c r="D734" s="20" t="s">
        <v>628</v>
      </c>
      <c r="E734" s="20" t="s">
        <v>79</v>
      </c>
      <c r="F734" s="21" t="s">
        <v>80</v>
      </c>
      <c r="G734" s="38" t="s">
        <v>81</v>
      </c>
      <c r="H734" s="39" t="s">
        <v>82</v>
      </c>
      <c r="I734" s="39" t="s">
        <v>83</v>
      </c>
      <c r="J734" s="21" t="s">
        <v>124</v>
      </c>
      <c r="K734" s="21" t="s">
        <v>125</v>
      </c>
      <c r="L734" s="21" t="s">
        <v>629</v>
      </c>
      <c r="M734" s="21" t="s">
        <v>136</v>
      </c>
      <c r="N734" s="21" t="s">
        <v>102</v>
      </c>
      <c r="O734" s="20" t="s">
        <v>2589</v>
      </c>
      <c r="P734" s="45">
        <v>45891</v>
      </c>
      <c r="Q734" s="39" t="s">
        <v>2590</v>
      </c>
      <c r="R734" s="19">
        <v>1341.13</v>
      </c>
      <c r="S734" s="21">
        <v>0.1</v>
      </c>
      <c r="T734" s="21">
        <v>1475.2430000000002</v>
      </c>
      <c r="U734" s="60" t="s">
        <v>2591</v>
      </c>
      <c r="V734" s="22">
        <v>45891</v>
      </c>
      <c r="W734" s="54"/>
      <c r="X734" s="23"/>
      <c r="Y734" s="23" t="s">
        <v>92</v>
      </c>
      <c r="Z734" s="56" t="s">
        <v>1338</v>
      </c>
      <c r="AA734" s="24">
        <v>858719</v>
      </c>
      <c r="AB734" s="19"/>
      <c r="AC734" s="46" t="s">
        <v>94</v>
      </c>
      <c r="AD734" s="15" t="str">
        <f ca="1">IF(AND($D734&lt;&gt;"",COUNTIF(OFFSET(UFS!$E$2,MATCH($D734&amp;"",UFS!$A$2:$A$175,0)-1,0,COUNTIF(UFS!$A$2:$A$175,$D734&amp;""),1),M734)&gt;0),"Valide","Invalide")</f>
        <v>Valide</v>
      </c>
      <c r="AH734" s="15" t="str">
        <f t="shared" si="11"/>
        <v>En attente</v>
      </c>
    </row>
    <row r="735" spans="1:34" s="15" customFormat="1" ht="45" hidden="1" customHeight="1" x14ac:dyDescent="0.3">
      <c r="A735" s="42">
        <v>736</v>
      </c>
      <c r="B735" s="19" t="s">
        <v>709</v>
      </c>
      <c r="C735" s="19" t="s">
        <v>35</v>
      </c>
      <c r="D735" s="20" t="s">
        <v>1090</v>
      </c>
      <c r="E735" s="20" t="s">
        <v>79</v>
      </c>
      <c r="F735" s="21" t="s">
        <v>80</v>
      </c>
      <c r="G735" s="38" t="s">
        <v>241</v>
      </c>
      <c r="H735" s="39" t="s">
        <v>643</v>
      </c>
      <c r="I735" s="39" t="s">
        <v>644</v>
      </c>
      <c r="J735" s="21" t="s">
        <v>144</v>
      </c>
      <c r="K735" s="21" t="s">
        <v>145</v>
      </c>
      <c r="L735" s="21" t="s">
        <v>636</v>
      </c>
      <c r="M735" s="21" t="s">
        <v>1091</v>
      </c>
      <c r="N735" s="21" t="s">
        <v>102</v>
      </c>
      <c r="O735" s="20" t="s">
        <v>2592</v>
      </c>
      <c r="P735" s="45">
        <v>45869</v>
      </c>
      <c r="Q735" s="39" t="s">
        <v>2593</v>
      </c>
      <c r="R735" s="19">
        <v>1534.88</v>
      </c>
      <c r="S735" s="21">
        <v>0.1</v>
      </c>
      <c r="T735" s="21">
        <v>1688.37</v>
      </c>
      <c r="U735" s="60" t="s">
        <v>2594</v>
      </c>
      <c r="V735" s="22">
        <v>45875</v>
      </c>
      <c r="W735" s="54" t="s">
        <v>91</v>
      </c>
      <c r="X735" s="23"/>
      <c r="Y735" s="23" t="s">
        <v>92</v>
      </c>
      <c r="Z735" s="56"/>
      <c r="AA735" s="24">
        <v>858556</v>
      </c>
      <c r="AB735" s="19"/>
      <c r="AC735" s="19"/>
      <c r="AD735" s="15" t="str">
        <f ca="1">IF(AND($D735&lt;&gt;"",COUNTIF(OFFSET(UFS!$E$2,MATCH($D735&amp;"",UFS!$A$2:$A$175,0)-1,0,COUNTIF(UFS!$A$2:$A$175,$D735&amp;""),1),M735)&gt;0),"Valide","Invalide")</f>
        <v>Valide</v>
      </c>
      <c r="AH735" s="15" t="str">
        <f t="shared" si="11"/>
        <v>En attente</v>
      </c>
    </row>
    <row r="736" spans="1:34" s="15" customFormat="1" ht="45" hidden="1" customHeight="1" x14ac:dyDescent="0.3">
      <c r="A736" s="42">
        <v>737</v>
      </c>
      <c r="B736" s="19" t="s">
        <v>709</v>
      </c>
      <c r="C736" s="19" t="s">
        <v>2225</v>
      </c>
      <c r="D736" s="20" t="s">
        <v>1090</v>
      </c>
      <c r="E736" s="20" t="s">
        <v>79</v>
      </c>
      <c r="F736" s="21" t="s">
        <v>80</v>
      </c>
      <c r="G736" s="38" t="s">
        <v>241</v>
      </c>
      <c r="H736" s="39" t="s">
        <v>643</v>
      </c>
      <c r="I736" s="39" t="s">
        <v>644</v>
      </c>
      <c r="J736" s="21" t="s">
        <v>144</v>
      </c>
      <c r="K736" s="21" t="s">
        <v>145</v>
      </c>
      <c r="L736" s="21" t="s">
        <v>636</v>
      </c>
      <c r="M736" s="21" t="s">
        <v>1091</v>
      </c>
      <c r="N736" s="21" t="s">
        <v>102</v>
      </c>
      <c r="O736" s="20" t="s">
        <v>2595</v>
      </c>
      <c r="P736" s="45">
        <v>45895</v>
      </c>
      <c r="Q736" s="39" t="s">
        <v>2596</v>
      </c>
      <c r="R736" s="19">
        <v>1500</v>
      </c>
      <c r="S736" s="21">
        <v>0.2</v>
      </c>
      <c r="T736" s="21">
        <v>1800</v>
      </c>
      <c r="U736" s="60" t="s">
        <v>2594</v>
      </c>
      <c r="V736" s="22">
        <v>45895</v>
      </c>
      <c r="W736" s="54" t="s">
        <v>91</v>
      </c>
      <c r="X736" s="23"/>
      <c r="Y736" s="23" t="s">
        <v>92</v>
      </c>
      <c r="Z736" s="56"/>
      <c r="AA736" s="24">
        <v>858558</v>
      </c>
      <c r="AB736" s="19"/>
      <c r="AC736" s="19"/>
      <c r="AD736" s="15" t="str">
        <f ca="1">IF(AND($D736&lt;&gt;"",COUNTIF(OFFSET(UFS!$E$2,MATCH($D736&amp;"",UFS!$A$2:$A$175,0)-1,0,COUNTIF(UFS!$A$2:$A$175,$D736&amp;""),1),M736)&gt;0),"Valide","Invalide")</f>
        <v>Valide</v>
      </c>
      <c r="AH736" s="15" t="str">
        <f t="shared" si="11"/>
        <v>En attente</v>
      </c>
    </row>
    <row r="737" spans="1:34" s="15" customFormat="1" ht="45" hidden="1" customHeight="1" x14ac:dyDescent="0.3">
      <c r="A737" s="42">
        <v>738</v>
      </c>
      <c r="B737" s="19" t="s">
        <v>20</v>
      </c>
      <c r="C737" s="19" t="s">
        <v>1</v>
      </c>
      <c r="D737" s="20" t="s">
        <v>181</v>
      </c>
      <c r="E737" s="20" t="s">
        <v>79</v>
      </c>
      <c r="F737" s="21" t="s">
        <v>80</v>
      </c>
      <c r="G737" s="38" t="s">
        <v>81</v>
      </c>
      <c r="H737" s="39" t="s">
        <v>82</v>
      </c>
      <c r="I737" s="39" t="s">
        <v>83</v>
      </c>
      <c r="J737" s="21" t="s">
        <v>183</v>
      </c>
      <c r="K737" s="21" t="s">
        <v>184</v>
      </c>
      <c r="L737" s="21" t="s">
        <v>185</v>
      </c>
      <c r="M737" s="21" t="s">
        <v>186</v>
      </c>
      <c r="N737" s="21" t="s">
        <v>102</v>
      </c>
      <c r="O737" s="20" t="s">
        <v>2597</v>
      </c>
      <c r="P737" s="45">
        <v>45896</v>
      </c>
      <c r="Q737" s="39" t="s">
        <v>2598</v>
      </c>
      <c r="R737" s="19">
        <v>94.67</v>
      </c>
      <c r="S737" s="21">
        <v>0.1</v>
      </c>
      <c r="T737" s="21">
        <v>104.137</v>
      </c>
      <c r="U737" s="60" t="s">
        <v>2599</v>
      </c>
      <c r="V737" s="22">
        <v>45897</v>
      </c>
      <c r="W737" s="54"/>
      <c r="X737" s="23"/>
      <c r="Y737" s="23" t="s">
        <v>92</v>
      </c>
      <c r="Z737" s="56" t="s">
        <v>1338</v>
      </c>
      <c r="AA737" s="24">
        <v>858720</v>
      </c>
      <c r="AB737" s="19"/>
      <c r="AC737" s="46" t="s">
        <v>94</v>
      </c>
      <c r="AD737" s="15" t="str">
        <f ca="1">IF(AND($D737&lt;&gt;"",COUNTIF(OFFSET(UFS!$E$2,MATCH($D737&amp;"",UFS!$A$2:$A$175,0)-1,0,COUNTIF(UFS!$A$2:$A$175,$D737&amp;""),1),M737)&gt;0),"Valide","Invalide")</f>
        <v>Valide</v>
      </c>
      <c r="AH737" s="15" t="str">
        <f t="shared" si="11"/>
        <v>En attente</v>
      </c>
    </row>
    <row r="738" spans="1:34" s="15" customFormat="1" ht="45" hidden="1" customHeight="1" x14ac:dyDescent="0.3">
      <c r="A738" s="42">
        <v>739</v>
      </c>
      <c r="B738" s="19" t="s">
        <v>20</v>
      </c>
      <c r="C738" s="19" t="s">
        <v>1</v>
      </c>
      <c r="D738" s="20" t="s">
        <v>473</v>
      </c>
      <c r="E738" s="20" t="s">
        <v>79</v>
      </c>
      <c r="F738" s="21" t="s">
        <v>80</v>
      </c>
      <c r="G738" s="38" t="s">
        <v>81</v>
      </c>
      <c r="H738" s="39" t="s">
        <v>82</v>
      </c>
      <c r="I738" s="39" t="s">
        <v>83</v>
      </c>
      <c r="J738" s="21" t="s">
        <v>268</v>
      </c>
      <c r="K738" s="21" t="s">
        <v>269</v>
      </c>
      <c r="L738" s="21" t="s">
        <v>270</v>
      </c>
      <c r="M738" s="21" t="s">
        <v>269</v>
      </c>
      <c r="N738" s="21" t="s">
        <v>87</v>
      </c>
      <c r="O738" s="20" t="s">
        <v>2600</v>
      </c>
      <c r="P738" s="45">
        <v>45896</v>
      </c>
      <c r="Q738" s="39" t="s">
        <v>2601</v>
      </c>
      <c r="R738" s="19">
        <v>229.91</v>
      </c>
      <c r="S738" s="21">
        <v>0.2</v>
      </c>
      <c r="T738" s="21">
        <v>275.892</v>
      </c>
      <c r="U738" s="60" t="s">
        <v>2602</v>
      </c>
      <c r="V738" s="22">
        <v>45897</v>
      </c>
      <c r="W738" s="54"/>
      <c r="X738" s="23"/>
      <c r="Y738" s="23" t="s">
        <v>92</v>
      </c>
      <c r="Z738" s="56" t="s">
        <v>1338</v>
      </c>
      <c r="AA738" s="24">
        <v>858721</v>
      </c>
      <c r="AB738" s="19"/>
      <c r="AC738" s="46" t="s">
        <v>94</v>
      </c>
      <c r="AD738" s="15" t="str">
        <f ca="1">IF(AND($D738&lt;&gt;"",COUNTIF(OFFSET(UFS!$E$2,MATCH($D738&amp;"",UFS!$A$2:$A$175,0)-1,0,COUNTIF(UFS!$A$2:$A$175,$D738&amp;""),1),M738)&gt;0),"Valide","Invalide")</f>
        <v>Valide</v>
      </c>
      <c r="AH738" s="15" t="str">
        <f t="shared" si="11"/>
        <v>En attente</v>
      </c>
    </row>
    <row r="739" spans="1:34" s="15" customFormat="1" ht="45" hidden="1" customHeight="1" x14ac:dyDescent="0.3">
      <c r="A739" s="42">
        <v>740</v>
      </c>
      <c r="B739" s="19" t="s">
        <v>20</v>
      </c>
      <c r="C739" s="19" t="s">
        <v>1</v>
      </c>
      <c r="D739" s="20" t="s">
        <v>233</v>
      </c>
      <c r="E739" s="20" t="s">
        <v>79</v>
      </c>
      <c r="F739" s="21" t="s">
        <v>80</v>
      </c>
      <c r="G739" s="38" t="s">
        <v>81</v>
      </c>
      <c r="H739" s="39" t="s">
        <v>82</v>
      </c>
      <c r="I739" s="39" t="s">
        <v>83</v>
      </c>
      <c r="J739" s="21" t="s">
        <v>124</v>
      </c>
      <c r="K739" s="21" t="s">
        <v>235</v>
      </c>
      <c r="L739" s="21" t="s">
        <v>177</v>
      </c>
      <c r="M739" s="21" t="s">
        <v>109</v>
      </c>
      <c r="N739" s="21" t="s">
        <v>109</v>
      </c>
      <c r="O739" s="20" t="s">
        <v>2603</v>
      </c>
      <c r="P739" s="45">
        <v>45896</v>
      </c>
      <c r="Q739" s="39" t="s">
        <v>2604</v>
      </c>
      <c r="R739" s="19">
        <v>1601.24</v>
      </c>
      <c r="S739" s="21">
        <v>0.1</v>
      </c>
      <c r="T739" s="21">
        <v>1761.364</v>
      </c>
      <c r="U739" s="60" t="s">
        <v>2605</v>
      </c>
      <c r="V739" s="22">
        <v>45897</v>
      </c>
      <c r="W739" s="54"/>
      <c r="X739" s="23"/>
      <c r="Y739" s="23" t="s">
        <v>92</v>
      </c>
      <c r="Z739" s="56" t="s">
        <v>1338</v>
      </c>
      <c r="AA739" s="24">
        <v>858722</v>
      </c>
      <c r="AB739" s="19"/>
      <c r="AC739" s="46" t="s">
        <v>94</v>
      </c>
      <c r="AD739" s="15" t="str">
        <f ca="1">IF(AND($D739&lt;&gt;"",COUNTIF(OFFSET(UFS!$E$2,MATCH($D739&amp;"",UFS!$A$2:$A$175,0)-1,0,COUNTIF(UFS!$A$2:$A$175,$D739&amp;""),1),M739)&gt;0),"Valide","Invalide")</f>
        <v>Valide</v>
      </c>
      <c r="AH739" s="15" t="str">
        <f t="shared" si="11"/>
        <v>En attente</v>
      </c>
    </row>
    <row r="740" spans="1:34" s="15" customFormat="1" ht="45" hidden="1" customHeight="1" x14ac:dyDescent="0.3">
      <c r="A740" s="42">
        <v>741</v>
      </c>
      <c r="B740" s="19" t="s">
        <v>26</v>
      </c>
      <c r="C740" s="19" t="s">
        <v>25</v>
      </c>
      <c r="D740" s="20" t="s">
        <v>2444</v>
      </c>
      <c r="E740" s="20" t="s">
        <v>79</v>
      </c>
      <c r="F740" s="21" t="s">
        <v>80</v>
      </c>
      <c r="G740" s="38" t="s">
        <v>81</v>
      </c>
      <c r="H740" s="39" t="s">
        <v>82</v>
      </c>
      <c r="I740" s="39" t="s">
        <v>83</v>
      </c>
      <c r="J740" s="21" t="s">
        <v>144</v>
      </c>
      <c r="K740" s="21" t="s">
        <v>145</v>
      </c>
      <c r="L740" s="21" t="s">
        <v>203</v>
      </c>
      <c r="M740" s="21" t="s">
        <v>2445</v>
      </c>
      <c r="N740" s="21" t="s">
        <v>2445</v>
      </c>
      <c r="O740" s="20" t="s">
        <v>2606</v>
      </c>
      <c r="P740" s="45">
        <v>45791</v>
      </c>
      <c r="Q740" s="39" t="s">
        <v>2607</v>
      </c>
      <c r="R740" s="19">
        <v>22187.7</v>
      </c>
      <c r="S740" s="21">
        <v>0.2</v>
      </c>
      <c r="T740" s="21">
        <v>26625.24</v>
      </c>
      <c r="U740" s="44" t="s">
        <v>2608</v>
      </c>
      <c r="V740" s="22">
        <v>45897</v>
      </c>
      <c r="W740" s="54"/>
      <c r="X740" s="23"/>
      <c r="Y740" s="23" t="s">
        <v>92</v>
      </c>
      <c r="Z740" s="84" t="s">
        <v>2609</v>
      </c>
      <c r="AA740" s="64">
        <v>858997</v>
      </c>
      <c r="AB740" s="19"/>
      <c r="AC740" s="49" t="s">
        <v>161</v>
      </c>
      <c r="AD740" s="15" t="str">
        <f ca="1">IF(AND($D740&lt;&gt;"",COUNTIF(OFFSET(UFS!$E$2,MATCH($D740&amp;"",UFS!$A$2:$A$175,0)-1,0,COUNTIF(UFS!$A$2:$A$175,$D740&amp;""),1),M740)&gt;0),"Valide","Invalide")</f>
        <v>Valide</v>
      </c>
      <c r="AH740" s="15" t="str">
        <f t="shared" si="11"/>
        <v>En attente</v>
      </c>
    </row>
    <row r="741" spans="1:34" s="15" customFormat="1" ht="45" hidden="1" customHeight="1" x14ac:dyDescent="0.3">
      <c r="A741" s="42">
        <v>742</v>
      </c>
      <c r="B741" s="19" t="s">
        <v>26</v>
      </c>
      <c r="C741" s="19" t="s">
        <v>35</v>
      </c>
      <c r="D741" s="20" t="s">
        <v>2033</v>
      </c>
      <c r="E741" s="20" t="s">
        <v>96</v>
      </c>
      <c r="F741" s="21" t="s">
        <v>80</v>
      </c>
      <c r="G741" s="38" t="s">
        <v>175</v>
      </c>
      <c r="H741" s="39"/>
      <c r="I741" s="39" t="s">
        <v>2610</v>
      </c>
      <c r="J741" s="21" t="s">
        <v>144</v>
      </c>
      <c r="K741" s="21" t="s">
        <v>145</v>
      </c>
      <c r="L741" s="21" t="s">
        <v>254</v>
      </c>
      <c r="M741" s="21" t="s">
        <v>255</v>
      </c>
      <c r="N741" s="21" t="s">
        <v>2035</v>
      </c>
      <c r="O741" s="20" t="s">
        <v>2611</v>
      </c>
      <c r="P741" s="45">
        <v>45898</v>
      </c>
      <c r="Q741" s="39" t="s">
        <v>2612</v>
      </c>
      <c r="R741" s="19">
        <v>2229.86</v>
      </c>
      <c r="S741" s="21">
        <v>0.2</v>
      </c>
      <c r="T741" s="21">
        <v>2675.8320000000003</v>
      </c>
      <c r="U741" s="60" t="s">
        <v>2038</v>
      </c>
      <c r="V741" s="22">
        <v>45898</v>
      </c>
      <c r="W741" s="54"/>
      <c r="X741" s="23"/>
      <c r="Y741" s="23" t="s">
        <v>92</v>
      </c>
      <c r="Z741" s="56" t="s">
        <v>1338</v>
      </c>
      <c r="AA741" s="24">
        <v>858779</v>
      </c>
      <c r="AB741" s="19"/>
      <c r="AC741" s="46" t="s">
        <v>94</v>
      </c>
      <c r="AD741" s="15" t="str">
        <f ca="1">IF(AND($D741&lt;&gt;"",COUNTIF(OFFSET(UFS!$E$2,MATCH($D741&amp;"",UFS!$A$2:$A$175,0)-1,0,COUNTIF(UFS!$A$2:$A$175,$D741&amp;""),1),M741)&gt;0),"Valide","Invalide")</f>
        <v>Valide</v>
      </c>
      <c r="AH741" s="15" t="str">
        <f t="shared" si="11"/>
        <v>En attente</v>
      </c>
    </row>
    <row r="742" spans="1:34" s="15" customFormat="1" ht="45" customHeight="1" x14ac:dyDescent="0.3">
      <c r="A742" s="42">
        <v>743</v>
      </c>
      <c r="B742" s="19" t="s">
        <v>24</v>
      </c>
      <c r="C742" s="19" t="s">
        <v>35</v>
      </c>
      <c r="D742" s="20" t="s">
        <v>819</v>
      </c>
      <c r="E742" s="20" t="s">
        <v>79</v>
      </c>
      <c r="F742" s="21" t="s">
        <v>80</v>
      </c>
      <c r="G742" s="38" t="s">
        <v>81</v>
      </c>
      <c r="H742" s="39"/>
      <c r="I742" s="39"/>
      <c r="J742" s="21" t="s">
        <v>361</v>
      </c>
      <c r="K742" s="21" t="s">
        <v>820</v>
      </c>
      <c r="L742" s="21" t="s">
        <v>246</v>
      </c>
      <c r="M742" s="21" t="s">
        <v>821</v>
      </c>
      <c r="N742" s="21" t="s">
        <v>151</v>
      </c>
      <c r="O742" s="20" t="s">
        <v>2613</v>
      </c>
      <c r="P742" s="45">
        <v>45898</v>
      </c>
      <c r="Q742" s="39" t="s">
        <v>2614</v>
      </c>
      <c r="R742" s="19">
        <v>2750.47</v>
      </c>
      <c r="S742" s="21">
        <v>0.2</v>
      </c>
      <c r="T742" s="21">
        <v>3300.5639999999999</v>
      </c>
      <c r="U742" s="44" t="s">
        <v>2615</v>
      </c>
      <c r="V742" s="22">
        <v>45901</v>
      </c>
      <c r="W742" s="54"/>
      <c r="X742" s="23"/>
      <c r="Y742" s="23" t="s">
        <v>92</v>
      </c>
      <c r="Z742" s="56" t="s">
        <v>2616</v>
      </c>
      <c r="AA742" s="24">
        <v>858780</v>
      </c>
      <c r="AB742" s="19" t="s">
        <v>2617</v>
      </c>
      <c r="AC742" s="19"/>
      <c r="AD742" s="15" t="str">
        <f ca="1">IF(AND($D742&lt;&gt;"",COUNTIF(OFFSET(UFS!$E$2,MATCH($D742&amp;"",UFS!$A$2:$A$175,0)-1,0,COUNTIF(UFS!$A$2:$A$175,$D742&amp;""),1),M742)&gt;0),"Valide","Invalide")</f>
        <v>Valide</v>
      </c>
      <c r="AH742" s="15" t="str">
        <f t="shared" si="11"/>
        <v>En attente</v>
      </c>
    </row>
    <row r="743" spans="1:34" s="15" customFormat="1" ht="45" hidden="1" customHeight="1" x14ac:dyDescent="0.3">
      <c r="A743" s="42">
        <v>744</v>
      </c>
      <c r="B743" s="19" t="s">
        <v>0</v>
      </c>
      <c r="C743" s="19" t="s">
        <v>1</v>
      </c>
      <c r="D743" s="20" t="s">
        <v>1740</v>
      </c>
      <c r="E743" s="20" t="s">
        <v>79</v>
      </c>
      <c r="F743" s="21" t="s">
        <v>80</v>
      </c>
      <c r="G743" s="38" t="s">
        <v>182</v>
      </c>
      <c r="H743" s="39" t="s">
        <v>82</v>
      </c>
      <c r="I743" s="39" t="s">
        <v>83</v>
      </c>
      <c r="J743" s="21" t="s">
        <v>144</v>
      </c>
      <c r="K743" s="21" t="s">
        <v>145</v>
      </c>
      <c r="L743" s="21" t="s">
        <v>342</v>
      </c>
      <c r="M743" s="21" t="s">
        <v>1741</v>
      </c>
      <c r="N743" s="21" t="s">
        <v>87</v>
      </c>
      <c r="O743" s="20" t="s">
        <v>2618</v>
      </c>
      <c r="P743" s="45">
        <v>45896</v>
      </c>
      <c r="Q743" s="39" t="s">
        <v>2619</v>
      </c>
      <c r="R743" s="19">
        <v>5157.38</v>
      </c>
      <c r="S743" s="21">
        <v>0.2</v>
      </c>
      <c r="T743" s="21">
        <v>6188.8559999999998</v>
      </c>
      <c r="U743" s="44" t="s">
        <v>2620</v>
      </c>
      <c r="V743" s="22">
        <v>45901</v>
      </c>
      <c r="W743" s="54"/>
      <c r="X743" s="23"/>
      <c r="Y743" s="23" t="s">
        <v>92</v>
      </c>
      <c r="Z743" s="56" t="s">
        <v>1338</v>
      </c>
      <c r="AA743" s="24">
        <v>858782</v>
      </c>
      <c r="AB743" s="19"/>
      <c r="AC743" s="19"/>
      <c r="AD743" s="15" t="str">
        <f ca="1">IF(AND($D743&lt;&gt;"",COUNTIF(OFFSET(UFS!$E$2,MATCH($D743&amp;"",UFS!$A$2:$A$175,0)-1,0,COUNTIF(UFS!$A$2:$A$175,$D743&amp;""),1),M743)&gt;0),"Valide","Invalide")</f>
        <v>Valide</v>
      </c>
      <c r="AH743" s="15" t="str">
        <f t="shared" si="11"/>
        <v>En attente</v>
      </c>
    </row>
    <row r="744" spans="1:34" s="15" customFormat="1" ht="74.099999999999994" hidden="1" customHeight="1" x14ac:dyDescent="0.3">
      <c r="A744" s="42">
        <v>745</v>
      </c>
      <c r="B744" s="19" t="s">
        <v>0</v>
      </c>
      <c r="C744" s="19" t="s">
        <v>11</v>
      </c>
      <c r="D744" s="20" t="s">
        <v>858</v>
      </c>
      <c r="E744" s="20" t="s">
        <v>79</v>
      </c>
      <c r="F744" s="21" t="s">
        <v>80</v>
      </c>
      <c r="G744" s="38" t="s">
        <v>182</v>
      </c>
      <c r="H744" s="39"/>
      <c r="I744" s="39" t="s">
        <v>83</v>
      </c>
      <c r="J744" s="21" t="s">
        <v>98</v>
      </c>
      <c r="K744" s="21" t="s">
        <v>859</v>
      </c>
      <c r="L744" s="21" t="s">
        <v>100</v>
      </c>
      <c r="M744" s="21" t="s">
        <v>860</v>
      </c>
      <c r="N744" s="21" t="s">
        <v>87</v>
      </c>
      <c r="O744" s="19" t="s">
        <v>2621</v>
      </c>
      <c r="P744" s="101">
        <v>45889</v>
      </c>
      <c r="Q744" s="39" t="s">
        <v>2622</v>
      </c>
      <c r="R744" s="19">
        <v>2475.4299999999998</v>
      </c>
      <c r="S744" s="21">
        <v>0.2</v>
      </c>
      <c r="T744" s="21">
        <v>2970.5159999999996</v>
      </c>
      <c r="U744" s="60" t="s">
        <v>2623</v>
      </c>
      <c r="V744" s="22">
        <v>45901</v>
      </c>
      <c r="W744" s="54"/>
      <c r="X744" s="23"/>
      <c r="Y744" s="23" t="s">
        <v>92</v>
      </c>
      <c r="Z744" s="56" t="s">
        <v>2624</v>
      </c>
      <c r="AA744" s="24">
        <v>858804</v>
      </c>
      <c r="AB744" s="19"/>
      <c r="AC744" s="46" t="s">
        <v>94</v>
      </c>
      <c r="AD744" s="15" t="str">
        <f ca="1">IF(AND($D744&lt;&gt;"",COUNTIF(OFFSET(UFS!$E$2,MATCH($D744&amp;"",UFS!$A$2:$A$175,0)-1,0,COUNTIF(UFS!$A$2:$A$175,$D744&amp;""),1),M744)&gt;0),"Valide","Invalide")</f>
        <v>Valide</v>
      </c>
      <c r="AH744" s="15" t="str">
        <f t="shared" si="11"/>
        <v>En attente</v>
      </c>
    </row>
    <row r="745" spans="1:34" s="15" customFormat="1" ht="45" hidden="1" customHeight="1" x14ac:dyDescent="0.3">
      <c r="A745" s="42">
        <v>746</v>
      </c>
      <c r="B745" s="19" t="s">
        <v>24</v>
      </c>
      <c r="C745" s="19" t="s">
        <v>25</v>
      </c>
      <c r="D745" s="20" t="s">
        <v>174</v>
      </c>
      <c r="E745" s="20" t="s">
        <v>79</v>
      </c>
      <c r="F745" s="21" t="s">
        <v>80</v>
      </c>
      <c r="G745" s="38" t="s">
        <v>81</v>
      </c>
      <c r="H745" s="39" t="s">
        <v>82</v>
      </c>
      <c r="I745" s="39" t="s">
        <v>83</v>
      </c>
      <c r="J745" s="21" t="s">
        <v>124</v>
      </c>
      <c r="K745" s="21" t="s">
        <v>125</v>
      </c>
      <c r="L745" s="21" t="s">
        <v>177</v>
      </c>
      <c r="M745" s="21" t="s">
        <v>136</v>
      </c>
      <c r="N745" s="21" t="s">
        <v>102</v>
      </c>
      <c r="O745" s="20" t="s">
        <v>2625</v>
      </c>
      <c r="P745" s="45">
        <v>45825</v>
      </c>
      <c r="Q745" s="39" t="s">
        <v>2626</v>
      </c>
      <c r="R745" s="19">
        <v>3651.71</v>
      </c>
      <c r="S745" s="21">
        <v>0.1</v>
      </c>
      <c r="T745" s="21">
        <v>4016.8809999999999</v>
      </c>
      <c r="U745" s="60" t="s">
        <v>2627</v>
      </c>
      <c r="V745" s="22">
        <v>45901</v>
      </c>
      <c r="W745" s="54" t="s">
        <v>91</v>
      </c>
      <c r="X745" s="23"/>
      <c r="Y745" s="23" t="s">
        <v>92</v>
      </c>
      <c r="Z745" s="56" t="s">
        <v>928</v>
      </c>
      <c r="AA745" s="24">
        <v>858823</v>
      </c>
      <c r="AB745" s="19"/>
      <c r="AC745" s="46" t="s">
        <v>94</v>
      </c>
      <c r="AD745" s="15" t="str">
        <f ca="1">IF(AND($D745&lt;&gt;"",COUNTIF(OFFSET(UFS!$E$2,MATCH($D745&amp;"",UFS!$A$2:$A$175,0)-1,0,COUNTIF(UFS!$A$2:$A$175,$D745&amp;""),1),M745)&gt;0),"Valide","Invalide")</f>
        <v>Valide</v>
      </c>
      <c r="AH745" s="15" t="str">
        <f t="shared" si="11"/>
        <v>En attente</v>
      </c>
    </row>
    <row r="746" spans="1:34" s="15" customFormat="1" ht="45" hidden="1" customHeight="1" x14ac:dyDescent="0.3">
      <c r="A746" s="42">
        <v>747</v>
      </c>
      <c r="B746" s="19" t="s">
        <v>709</v>
      </c>
      <c r="C746" s="19" t="s">
        <v>23</v>
      </c>
      <c r="D746" s="20" t="s">
        <v>1090</v>
      </c>
      <c r="E746" s="20" t="s">
        <v>79</v>
      </c>
      <c r="F746" s="21" t="s">
        <v>80</v>
      </c>
      <c r="G746" s="38" t="s">
        <v>241</v>
      </c>
      <c r="H746" s="39" t="s">
        <v>643</v>
      </c>
      <c r="I746" s="39" t="s">
        <v>644</v>
      </c>
      <c r="J746" s="21" t="s">
        <v>144</v>
      </c>
      <c r="K746" s="21" t="s">
        <v>145</v>
      </c>
      <c r="L746" s="21" t="s">
        <v>636</v>
      </c>
      <c r="M746" s="21" t="s">
        <v>1091</v>
      </c>
      <c r="N746" s="21" t="s">
        <v>102</v>
      </c>
      <c r="O746" s="20" t="s">
        <v>2628</v>
      </c>
      <c r="P746" s="96">
        <v>45901</v>
      </c>
      <c r="Q746" s="39" t="s">
        <v>2629</v>
      </c>
      <c r="R746" s="19">
        <v>562.4</v>
      </c>
      <c r="S746" s="21">
        <v>0.1</v>
      </c>
      <c r="T746" s="21">
        <v>618.64</v>
      </c>
      <c r="U746" s="60" t="s">
        <v>2630</v>
      </c>
      <c r="V746" s="22">
        <v>45902</v>
      </c>
      <c r="W746" s="54" t="s">
        <v>91</v>
      </c>
      <c r="X746" s="23"/>
      <c r="Y746" s="23" t="s">
        <v>92</v>
      </c>
      <c r="Z746" s="56" t="s">
        <v>928</v>
      </c>
      <c r="AA746" s="24">
        <v>858930</v>
      </c>
      <c r="AB746" s="19"/>
      <c r="AC746" s="19"/>
      <c r="AD746" s="15" t="str">
        <f ca="1">IF(AND($D746&lt;&gt;"",COUNTIF(OFFSET(UFS!$E$2,MATCH($D746&amp;"",UFS!$A$2:$A$175,0)-1,0,COUNTIF(UFS!$A$2:$A$175,$D746&amp;""),1),M746)&gt;0),"Valide","Invalide")</f>
        <v>Valide</v>
      </c>
      <c r="AH746" s="15" t="str">
        <f t="shared" si="11"/>
        <v>En attente</v>
      </c>
    </row>
    <row r="747" spans="1:34" s="15" customFormat="1" ht="45" hidden="1" customHeight="1" x14ac:dyDescent="0.3">
      <c r="A747" s="42">
        <v>748</v>
      </c>
      <c r="B747" s="19" t="s">
        <v>709</v>
      </c>
      <c r="C747" s="19" t="s">
        <v>23</v>
      </c>
      <c r="D747" s="20" t="s">
        <v>1726</v>
      </c>
      <c r="E747" s="20" t="s">
        <v>79</v>
      </c>
      <c r="F747" s="21" t="s">
        <v>80</v>
      </c>
      <c r="G747" s="38" t="s">
        <v>241</v>
      </c>
      <c r="H747" s="39" t="s">
        <v>643</v>
      </c>
      <c r="I747" s="39" t="s">
        <v>644</v>
      </c>
      <c r="J747" s="21" t="s">
        <v>124</v>
      </c>
      <c r="K747" s="21" t="s">
        <v>235</v>
      </c>
      <c r="L747" s="21" t="s">
        <v>203</v>
      </c>
      <c r="M747" s="21" t="s">
        <v>2566</v>
      </c>
      <c r="N747" s="21" t="s">
        <v>109</v>
      </c>
      <c r="O747" s="20" t="s">
        <v>2631</v>
      </c>
      <c r="P747" s="45">
        <v>45896</v>
      </c>
      <c r="Q747" s="39" t="s">
        <v>2632</v>
      </c>
      <c r="R747" s="19">
        <v>405.26</v>
      </c>
      <c r="S747" s="21">
        <v>0.1</v>
      </c>
      <c r="T747" s="21">
        <v>445.79</v>
      </c>
      <c r="U747" s="60" t="s">
        <v>2633</v>
      </c>
      <c r="V747" s="22">
        <v>45902</v>
      </c>
      <c r="W747" s="54" t="s">
        <v>91</v>
      </c>
      <c r="X747" s="23"/>
      <c r="Y747" s="23" t="s">
        <v>92</v>
      </c>
      <c r="Z747" s="56" t="s">
        <v>928</v>
      </c>
      <c r="AA747" s="24">
        <v>858932</v>
      </c>
      <c r="AB747" s="19"/>
      <c r="AC747" s="19"/>
      <c r="AD747" s="15" t="str">
        <f ca="1">IF(AND($D747&lt;&gt;"",COUNTIF(OFFSET(UFS!$E$2,MATCH($D747&amp;"",UFS!$A$2:$A$175,0)-1,0,COUNTIF(UFS!$A$2:$A$175,$D747&amp;""),1),M747)&gt;0),"Valide","Invalide")</f>
        <v>Invalide</v>
      </c>
      <c r="AH747" s="15" t="str">
        <f t="shared" si="11"/>
        <v>En attente</v>
      </c>
    </row>
    <row r="748" spans="1:34" s="15" customFormat="1" ht="45" hidden="1" customHeight="1" x14ac:dyDescent="0.3">
      <c r="A748" s="42">
        <v>749</v>
      </c>
      <c r="B748" s="19" t="s">
        <v>709</v>
      </c>
      <c r="C748" s="19" t="s">
        <v>23</v>
      </c>
      <c r="D748" s="20" t="s">
        <v>496</v>
      </c>
      <c r="E748" s="20" t="s">
        <v>79</v>
      </c>
      <c r="F748" s="21" t="s">
        <v>80</v>
      </c>
      <c r="G748" s="38" t="s">
        <v>241</v>
      </c>
      <c r="H748" s="39" t="s">
        <v>643</v>
      </c>
      <c r="I748" s="39" t="s">
        <v>644</v>
      </c>
      <c r="J748" s="21" t="s">
        <v>497</v>
      </c>
      <c r="K748" s="21" t="s">
        <v>498</v>
      </c>
      <c r="L748" s="21" t="s">
        <v>499</v>
      </c>
      <c r="M748" s="21" t="s">
        <v>498</v>
      </c>
      <c r="N748" s="21" t="s">
        <v>109</v>
      </c>
      <c r="O748" s="20" t="s">
        <v>2634</v>
      </c>
      <c r="P748" s="45">
        <v>45896</v>
      </c>
      <c r="Q748" s="39" t="s">
        <v>2635</v>
      </c>
      <c r="R748" s="19">
        <v>635.41999999999996</v>
      </c>
      <c r="S748" s="21">
        <v>0.2</v>
      </c>
      <c r="T748" s="21">
        <v>762.5</v>
      </c>
      <c r="U748" s="60" t="s">
        <v>2636</v>
      </c>
      <c r="V748" s="22">
        <v>45902</v>
      </c>
      <c r="W748" s="54" t="s">
        <v>91</v>
      </c>
      <c r="X748" s="23"/>
      <c r="Y748" s="23" t="s">
        <v>92</v>
      </c>
      <c r="Z748" s="56" t="s">
        <v>928</v>
      </c>
      <c r="AA748" s="24">
        <v>858934</v>
      </c>
      <c r="AB748" s="19"/>
      <c r="AC748" s="19"/>
      <c r="AD748" s="15" t="str">
        <f ca="1">IF(AND($D748&lt;&gt;"",COUNTIF(OFFSET(UFS!$E$2,MATCH($D748&amp;"",UFS!$A$2:$A$175,0)-1,0,COUNTIF(UFS!$A$2:$A$175,$D748&amp;""),1),M748)&gt;0),"Valide","Invalide")</f>
        <v>Valide</v>
      </c>
      <c r="AH748" s="15" t="str">
        <f t="shared" si="11"/>
        <v>En attente</v>
      </c>
    </row>
    <row r="749" spans="1:34" s="15" customFormat="1" ht="45" hidden="1" customHeight="1" x14ac:dyDescent="0.3">
      <c r="A749" s="42">
        <v>750</v>
      </c>
      <c r="B749" s="19" t="s">
        <v>0</v>
      </c>
      <c r="C749" s="19" t="s">
        <v>25</v>
      </c>
      <c r="D749" s="20" t="s">
        <v>523</v>
      </c>
      <c r="E749" s="20" t="s">
        <v>79</v>
      </c>
      <c r="F749" s="21" t="s">
        <v>80</v>
      </c>
      <c r="G749" s="38" t="s">
        <v>182</v>
      </c>
      <c r="H749" s="39" t="s">
        <v>82</v>
      </c>
      <c r="I749" s="39" t="s">
        <v>83</v>
      </c>
      <c r="J749" s="21" t="s">
        <v>341</v>
      </c>
      <c r="K749" s="21" t="s">
        <v>145</v>
      </c>
      <c r="L749" s="21" t="s">
        <v>192</v>
      </c>
      <c r="M749" s="21" t="s">
        <v>343</v>
      </c>
      <c r="N749" s="21" t="s">
        <v>151</v>
      </c>
      <c r="O749" s="20" t="s">
        <v>2637</v>
      </c>
      <c r="P749" s="45">
        <v>45856</v>
      </c>
      <c r="Q749" s="39" t="s">
        <v>2638</v>
      </c>
      <c r="R749" s="19">
        <v>5504.1</v>
      </c>
      <c r="S749" s="21">
        <v>0.2</v>
      </c>
      <c r="T749" s="21">
        <v>6604.92</v>
      </c>
      <c r="U749" s="44" t="s">
        <v>2639</v>
      </c>
      <c r="V749" s="22">
        <v>45902</v>
      </c>
      <c r="W749" s="54"/>
      <c r="X749" s="23"/>
      <c r="Y749" s="23" t="s">
        <v>92</v>
      </c>
      <c r="Z749" s="56" t="s">
        <v>2640</v>
      </c>
      <c r="AA749" s="24">
        <v>859019</v>
      </c>
      <c r="AB749" s="19"/>
      <c r="AC749" s="46" t="s">
        <v>94</v>
      </c>
      <c r="AD749" s="15" t="str">
        <f ca="1">IF(AND($D749&lt;&gt;"",COUNTIF(OFFSET(UFS!$E$2,MATCH($D749&amp;"",UFS!$A$2:$A$175,0)-1,0,COUNTIF(UFS!$A$2:$A$175,$D749&amp;""),1),M749)&gt;0),"Valide","Invalide")</f>
        <v>Valide</v>
      </c>
      <c r="AH749" s="15" t="str">
        <f t="shared" si="11"/>
        <v>En attente</v>
      </c>
    </row>
    <row r="750" spans="1:34" s="15" customFormat="1" ht="45" hidden="1" customHeight="1" x14ac:dyDescent="0.3">
      <c r="A750" s="42">
        <v>751</v>
      </c>
      <c r="B750" s="19" t="s">
        <v>0</v>
      </c>
      <c r="C750" s="19" t="s">
        <v>11</v>
      </c>
      <c r="D750" s="20" t="s">
        <v>1593</v>
      </c>
      <c r="E750" s="20" t="s">
        <v>79</v>
      </c>
      <c r="F750" s="21" t="s">
        <v>80</v>
      </c>
      <c r="G750" s="38" t="s">
        <v>182</v>
      </c>
      <c r="H750" s="39" t="s">
        <v>82</v>
      </c>
      <c r="I750" s="39" t="s">
        <v>83</v>
      </c>
      <c r="J750" s="21" t="s">
        <v>144</v>
      </c>
      <c r="K750" s="21" t="s">
        <v>145</v>
      </c>
      <c r="L750" s="21" t="s">
        <v>192</v>
      </c>
      <c r="M750" s="21" t="s">
        <v>1976</v>
      </c>
      <c r="N750" s="21" t="s">
        <v>1977</v>
      </c>
      <c r="O750" s="20" t="s">
        <v>2641</v>
      </c>
      <c r="P750" s="45">
        <v>45889</v>
      </c>
      <c r="Q750" s="39" t="s">
        <v>2642</v>
      </c>
      <c r="R750" s="19">
        <v>484.82</v>
      </c>
      <c r="S750" s="21">
        <v>0.1</v>
      </c>
      <c r="T750" s="21">
        <v>533.30200000000002</v>
      </c>
      <c r="U750" s="60" t="s">
        <v>2643</v>
      </c>
      <c r="V750" s="22">
        <v>45902</v>
      </c>
      <c r="W750" s="54"/>
      <c r="X750" s="23"/>
      <c r="Y750" s="23" t="s">
        <v>92</v>
      </c>
      <c r="Z750" s="56" t="s">
        <v>2644</v>
      </c>
      <c r="AA750" s="24">
        <v>859022</v>
      </c>
      <c r="AB750" s="19"/>
      <c r="AC750" s="19"/>
      <c r="AD750" s="15" t="str">
        <f ca="1">IF(AND($D750&lt;&gt;"",COUNTIF(OFFSET(UFS!$E$2,MATCH($D750&amp;"",UFS!$A$2:$A$175,0)-1,0,COUNTIF(UFS!$A$2:$A$175,$D750&amp;""),1),M750)&gt;0),"Valide","Invalide")</f>
        <v>Valide</v>
      </c>
      <c r="AH750" s="15" t="str">
        <f t="shared" si="11"/>
        <v>En attente</v>
      </c>
    </row>
    <row r="751" spans="1:34" s="15" customFormat="1" ht="45" hidden="1" customHeight="1" x14ac:dyDescent="0.3">
      <c r="A751" s="42">
        <v>752</v>
      </c>
      <c r="B751" s="19" t="s">
        <v>425</v>
      </c>
      <c r="C751" s="19" t="s">
        <v>2645</v>
      </c>
      <c r="D751" s="20" t="s">
        <v>872</v>
      </c>
      <c r="E751" s="20" t="s">
        <v>96</v>
      </c>
      <c r="F751" s="21" t="s">
        <v>80</v>
      </c>
      <c r="G751" s="38" t="s">
        <v>1422</v>
      </c>
      <c r="H751" s="39" t="s">
        <v>2646</v>
      </c>
      <c r="I751" s="39" t="s">
        <v>170</v>
      </c>
      <c r="J751" s="21" t="s">
        <v>124</v>
      </c>
      <c r="K751" s="21" t="s">
        <v>235</v>
      </c>
      <c r="L751" s="21" t="s">
        <v>246</v>
      </c>
      <c r="M751" s="21" t="s">
        <v>284</v>
      </c>
      <c r="N751" s="21" t="s">
        <v>873</v>
      </c>
      <c r="O751" s="20" t="s">
        <v>2647</v>
      </c>
      <c r="P751" s="45">
        <v>45804</v>
      </c>
      <c r="Q751" s="39" t="s">
        <v>2648</v>
      </c>
      <c r="R751" s="19">
        <v>19157.73</v>
      </c>
      <c r="S751" s="21">
        <v>0.2</v>
      </c>
      <c r="T751" s="21">
        <v>22989.275999999998</v>
      </c>
      <c r="U751" s="44" t="s">
        <v>429</v>
      </c>
      <c r="V751" s="22">
        <v>45902</v>
      </c>
      <c r="W751" s="54"/>
      <c r="X751" s="23" t="s">
        <v>430</v>
      </c>
      <c r="Y751" s="23" t="s">
        <v>92</v>
      </c>
      <c r="Z751" s="56" t="s">
        <v>1338</v>
      </c>
      <c r="AA751" s="24">
        <v>859845</v>
      </c>
      <c r="AB751" s="19"/>
      <c r="AC751" s="46" t="s">
        <v>94</v>
      </c>
      <c r="AD751" s="15" t="str">
        <f ca="1">IF(AND($D751&lt;&gt;"",COUNTIF(OFFSET(UFS!$E$2,MATCH($D751&amp;"",UFS!$A$2:$A$175,0)-1,0,COUNTIF(UFS!$A$2:$A$175,$D751&amp;""),1),M751)&gt;0),"Valide","Invalide")</f>
        <v>Valide</v>
      </c>
      <c r="AH751" s="15" t="str">
        <f t="shared" si="11"/>
        <v>En attente</v>
      </c>
    </row>
    <row r="752" spans="1:34" s="15" customFormat="1" ht="45" hidden="1" customHeight="1" x14ac:dyDescent="0.3">
      <c r="A752" s="42">
        <v>753</v>
      </c>
      <c r="B752" s="19" t="s">
        <v>16</v>
      </c>
      <c r="C752" s="19" t="s">
        <v>35</v>
      </c>
      <c r="D752" s="20" t="s">
        <v>1513</v>
      </c>
      <c r="E752" s="20" t="s">
        <v>79</v>
      </c>
      <c r="F752" s="21" t="s">
        <v>80</v>
      </c>
      <c r="G752" s="38" t="s">
        <v>81</v>
      </c>
      <c r="H752" s="39" t="s">
        <v>215</v>
      </c>
      <c r="I752" s="39"/>
      <c r="J752" s="21" t="s">
        <v>144</v>
      </c>
      <c r="K752" s="21" t="s">
        <v>145</v>
      </c>
      <c r="L752" s="21" t="s">
        <v>499</v>
      </c>
      <c r="M752" s="21" t="s">
        <v>1514</v>
      </c>
      <c r="N752" s="21" t="s">
        <v>529</v>
      </c>
      <c r="O752" s="20" t="s">
        <v>2649</v>
      </c>
      <c r="P752" s="45">
        <v>45897</v>
      </c>
      <c r="Q752" s="39" t="s">
        <v>2650</v>
      </c>
      <c r="R752" s="19">
        <v>5008.6400000000003</v>
      </c>
      <c r="S752" s="21">
        <v>0.1</v>
      </c>
      <c r="T752" s="21">
        <v>5509.5040000000008</v>
      </c>
      <c r="U752" s="44" t="s">
        <v>2651</v>
      </c>
      <c r="V752" s="22">
        <v>45903</v>
      </c>
      <c r="W752" s="54"/>
      <c r="X752" s="23"/>
      <c r="Y752" s="23" t="s">
        <v>92</v>
      </c>
      <c r="Z752" s="56" t="s">
        <v>1338</v>
      </c>
      <c r="AA752" s="24">
        <v>859819</v>
      </c>
      <c r="AB752" s="47">
        <v>45908</v>
      </c>
      <c r="AC752" s="46" t="s">
        <v>94</v>
      </c>
      <c r="AD752" s="15" t="str">
        <f ca="1">IF(AND($D752&lt;&gt;"",COUNTIF(OFFSET(UFS!$E$2,MATCH($D752&amp;"",UFS!$A$2:$A$175,0)-1,0,COUNTIF(UFS!$A$2:$A$175,$D752&amp;""),1),M752)&gt;0),"Valide","Invalide")</f>
        <v>Valide</v>
      </c>
      <c r="AH752" s="15" t="str">
        <f t="shared" si="11"/>
        <v>En attente</v>
      </c>
    </row>
    <row r="753" spans="1:34" s="15" customFormat="1" ht="45" hidden="1" customHeight="1" x14ac:dyDescent="0.3">
      <c r="A753" s="42">
        <v>754</v>
      </c>
      <c r="B753" s="19" t="s">
        <v>16</v>
      </c>
      <c r="C753" s="19" t="s">
        <v>5</v>
      </c>
      <c r="D753" s="20" t="s">
        <v>1513</v>
      </c>
      <c r="E753" s="20" t="s">
        <v>79</v>
      </c>
      <c r="F753" s="21" t="s">
        <v>80</v>
      </c>
      <c r="G753" s="38" t="s">
        <v>81</v>
      </c>
      <c r="H753" s="39" t="s">
        <v>82</v>
      </c>
      <c r="I753" s="39" t="s">
        <v>83</v>
      </c>
      <c r="J753" s="21" t="s">
        <v>144</v>
      </c>
      <c r="K753" s="21" t="s">
        <v>145</v>
      </c>
      <c r="L753" s="21" t="s">
        <v>499</v>
      </c>
      <c r="M753" s="21" t="s">
        <v>1514</v>
      </c>
      <c r="N753" s="21" t="s">
        <v>529</v>
      </c>
      <c r="O753" s="20" t="s">
        <v>2652</v>
      </c>
      <c r="P753" s="45">
        <v>45873</v>
      </c>
      <c r="Q753" s="39" t="s">
        <v>2653</v>
      </c>
      <c r="R753" s="19">
        <v>4790.6899999999996</v>
      </c>
      <c r="S753" s="21">
        <v>0.1</v>
      </c>
      <c r="T753" s="21">
        <v>5269.759</v>
      </c>
      <c r="U753" s="44" t="s">
        <v>2654</v>
      </c>
      <c r="V753" s="22">
        <v>45903</v>
      </c>
      <c r="W753" s="54" t="s">
        <v>91</v>
      </c>
      <c r="X753" s="23"/>
      <c r="Y753" s="23" t="s">
        <v>92</v>
      </c>
      <c r="Z753" s="56" t="s">
        <v>1338</v>
      </c>
      <c r="AA753" s="24">
        <v>859821</v>
      </c>
      <c r="AB753" s="47">
        <v>45908</v>
      </c>
      <c r="AC753" s="46" t="s">
        <v>94</v>
      </c>
      <c r="AD753" s="15" t="str">
        <f ca="1">IF(AND($D753&lt;&gt;"",COUNTIF(OFFSET(UFS!$E$2,MATCH($D753&amp;"",UFS!$A$2:$A$175,0)-1,0,COUNTIF(UFS!$A$2:$A$175,$D753&amp;""),1),M753)&gt;0),"Valide","Invalide")</f>
        <v>Valide</v>
      </c>
      <c r="AH753" s="15" t="str">
        <f t="shared" si="11"/>
        <v>En attente</v>
      </c>
    </row>
    <row r="754" spans="1:34" s="15" customFormat="1" ht="45" hidden="1" customHeight="1" x14ac:dyDescent="0.3">
      <c r="A754" s="42">
        <v>755</v>
      </c>
      <c r="B754" s="19" t="s">
        <v>16</v>
      </c>
      <c r="C754" s="19" t="s">
        <v>15</v>
      </c>
      <c r="D754" s="20" t="s">
        <v>1513</v>
      </c>
      <c r="E754" s="20" t="s">
        <v>79</v>
      </c>
      <c r="F754" s="21" t="s">
        <v>80</v>
      </c>
      <c r="G754" s="38" t="s">
        <v>81</v>
      </c>
      <c r="H754" s="39" t="s">
        <v>139</v>
      </c>
      <c r="I754" s="39" t="s">
        <v>83</v>
      </c>
      <c r="J754" s="21" t="s">
        <v>144</v>
      </c>
      <c r="K754" s="21" t="s">
        <v>145</v>
      </c>
      <c r="L754" s="21" t="s">
        <v>499</v>
      </c>
      <c r="M754" s="21" t="s">
        <v>1514</v>
      </c>
      <c r="N754" s="21" t="s">
        <v>529</v>
      </c>
      <c r="O754" s="20" t="s">
        <v>2655</v>
      </c>
      <c r="P754" s="45">
        <v>45919</v>
      </c>
      <c r="Q754" s="39" t="s">
        <v>2656</v>
      </c>
      <c r="R754" s="19">
        <v>10923.32</v>
      </c>
      <c r="S754" s="21">
        <v>0.1</v>
      </c>
      <c r="T754" s="21">
        <v>12015.652</v>
      </c>
      <c r="U754" s="44" t="s">
        <v>2657</v>
      </c>
      <c r="V754" s="22">
        <v>45915</v>
      </c>
      <c r="W754" s="54" t="s">
        <v>91</v>
      </c>
      <c r="X754" s="23"/>
      <c r="Y754" s="23" t="s">
        <v>92</v>
      </c>
      <c r="Z754" s="56" t="s">
        <v>1338</v>
      </c>
      <c r="AA754" s="24">
        <v>859824</v>
      </c>
      <c r="AB754" s="45">
        <v>45932</v>
      </c>
      <c r="AC754" s="46" t="s">
        <v>94</v>
      </c>
      <c r="AD754" s="15" t="str">
        <f ca="1">IF(AND($D754&lt;&gt;"",COUNTIF(OFFSET(UFS!$E$2,MATCH($D754&amp;"",UFS!$A$2:$A$175,0)-1,0,COUNTIF(UFS!$A$2:$A$175,$D754&amp;""),1),M754)&gt;0),"Valide","Invalide")</f>
        <v>Valide</v>
      </c>
      <c r="AH754" s="15" t="str">
        <f t="shared" si="11"/>
        <v>En attente</v>
      </c>
    </row>
    <row r="755" spans="1:34" s="15" customFormat="1" ht="45" hidden="1" customHeight="1" x14ac:dyDescent="0.3">
      <c r="A755" s="42">
        <v>756</v>
      </c>
      <c r="B755" s="19" t="s">
        <v>24</v>
      </c>
      <c r="C755" s="19" t="s">
        <v>35</v>
      </c>
      <c r="D755" s="20" t="s">
        <v>819</v>
      </c>
      <c r="E755" s="20" t="s">
        <v>79</v>
      </c>
      <c r="F755" s="21" t="s">
        <v>80</v>
      </c>
      <c r="G755" s="38" t="s">
        <v>81</v>
      </c>
      <c r="H755" s="39" t="s">
        <v>426</v>
      </c>
      <c r="I755" s="39" t="s">
        <v>83</v>
      </c>
      <c r="J755" s="21" t="s">
        <v>361</v>
      </c>
      <c r="K755" s="21" t="s">
        <v>820</v>
      </c>
      <c r="L755" s="21" t="s">
        <v>246</v>
      </c>
      <c r="M755" s="21" t="s">
        <v>821</v>
      </c>
      <c r="N755" s="21" t="s">
        <v>151</v>
      </c>
      <c r="O755" s="20" t="s">
        <v>2658</v>
      </c>
      <c r="P755" s="45">
        <v>45905</v>
      </c>
      <c r="Q755" s="39" t="s">
        <v>2659</v>
      </c>
      <c r="R755" s="19">
        <v>2977.7</v>
      </c>
      <c r="S755" s="21">
        <v>0.2</v>
      </c>
      <c r="T755" s="21">
        <v>3573.24</v>
      </c>
      <c r="U755" s="44" t="s">
        <v>2660</v>
      </c>
      <c r="V755" s="22">
        <v>45905</v>
      </c>
      <c r="W755" s="54" t="s">
        <v>91</v>
      </c>
      <c r="X755" s="23"/>
      <c r="Y755" s="23" t="s">
        <v>92</v>
      </c>
      <c r="Z755" s="56" t="s">
        <v>1338</v>
      </c>
      <c r="AA755" s="24">
        <v>859754</v>
      </c>
      <c r="AB755" s="47">
        <v>45936</v>
      </c>
      <c r="AC755" s="46" t="s">
        <v>94</v>
      </c>
      <c r="AD755" s="15" t="str">
        <f ca="1">IF(AND($D755&lt;&gt;"",COUNTIF(OFFSET(UFS!$E$2,MATCH($D755&amp;"",UFS!$A$2:$A$175,0)-1,0,COUNTIF(UFS!$A$2:$A$175,$D755&amp;""),1),M755)&gt;0),"Valide","Invalide")</f>
        <v>Valide</v>
      </c>
      <c r="AH755" s="15" t="str">
        <f t="shared" si="11"/>
        <v>En attente</v>
      </c>
    </row>
    <row r="756" spans="1:34" s="15" customFormat="1" ht="45" customHeight="1" x14ac:dyDescent="0.3">
      <c r="A756" s="42">
        <v>757</v>
      </c>
      <c r="B756" s="19" t="s">
        <v>24</v>
      </c>
      <c r="C756" s="19" t="s">
        <v>35</v>
      </c>
      <c r="D756" s="20" t="s">
        <v>123</v>
      </c>
      <c r="E756" s="20" t="s">
        <v>96</v>
      </c>
      <c r="F756" s="21" t="s">
        <v>80</v>
      </c>
      <c r="G756" s="38" t="s">
        <v>201</v>
      </c>
      <c r="H756" s="39" t="s">
        <v>1422</v>
      </c>
      <c r="I756" s="39" t="s">
        <v>2661</v>
      </c>
      <c r="J756" s="21" t="s">
        <v>124</v>
      </c>
      <c r="K756" s="21" t="s">
        <v>125</v>
      </c>
      <c r="L756" s="21" t="s">
        <v>126</v>
      </c>
      <c r="M756" s="21" t="s">
        <v>109</v>
      </c>
      <c r="N756" s="21" t="s">
        <v>109</v>
      </c>
      <c r="O756" s="20" t="s">
        <v>2662</v>
      </c>
      <c r="P756" s="45">
        <v>45867</v>
      </c>
      <c r="Q756" s="39" t="s">
        <v>2663</v>
      </c>
      <c r="R756" s="19">
        <v>27089.53</v>
      </c>
      <c r="S756" s="21">
        <v>0.1</v>
      </c>
      <c r="T756" s="21">
        <v>29798.483</v>
      </c>
      <c r="U756" s="44" t="s">
        <v>2664</v>
      </c>
      <c r="V756" s="22">
        <v>45905</v>
      </c>
      <c r="W756" s="54" t="s">
        <v>91</v>
      </c>
      <c r="X756" s="23"/>
      <c r="Y756" s="23" t="s">
        <v>92</v>
      </c>
      <c r="Z756" s="78" t="s">
        <v>1338</v>
      </c>
      <c r="AA756" s="24">
        <v>859839</v>
      </c>
      <c r="AB756" s="47">
        <v>45978</v>
      </c>
      <c r="AC756" s="49" t="s">
        <v>161</v>
      </c>
      <c r="AD756" s="15" t="str">
        <f ca="1">IF(AND($D756&lt;&gt;"",COUNTIF(OFFSET(UFS!$E$2,MATCH($D756&amp;"",UFS!$A$2:$A$175,0)-1,0,COUNTIF(UFS!$A$2:$A$175,$D756&amp;""),1),M756)&gt;0),"Valide","Invalide")</f>
        <v>Valide</v>
      </c>
      <c r="AH756" s="15" t="str">
        <f t="shared" si="11"/>
        <v>En attente</v>
      </c>
    </row>
    <row r="757" spans="1:34" s="15" customFormat="1" ht="45" hidden="1" customHeight="1" x14ac:dyDescent="0.3">
      <c r="A757" s="42">
        <v>758</v>
      </c>
      <c r="B757" s="19" t="s">
        <v>4</v>
      </c>
      <c r="C757" s="19" t="s">
        <v>33</v>
      </c>
      <c r="D757" s="20" t="s">
        <v>1740</v>
      </c>
      <c r="E757" s="20" t="s">
        <v>79</v>
      </c>
      <c r="F757" s="21" t="s">
        <v>80</v>
      </c>
      <c r="G757" s="38" t="s">
        <v>81</v>
      </c>
      <c r="H757" s="39" t="s">
        <v>234</v>
      </c>
      <c r="I757" s="39" t="s">
        <v>83</v>
      </c>
      <c r="J757" s="21" t="s">
        <v>144</v>
      </c>
      <c r="K757" s="21" t="s">
        <v>145</v>
      </c>
      <c r="L757" s="21" t="s">
        <v>342</v>
      </c>
      <c r="M757" s="21" t="s">
        <v>1741</v>
      </c>
      <c r="N757" s="21" t="s">
        <v>87</v>
      </c>
      <c r="O757" s="20" t="s">
        <v>2665</v>
      </c>
      <c r="P757" s="45">
        <v>45905</v>
      </c>
      <c r="Q757" s="39" t="s">
        <v>2666</v>
      </c>
      <c r="R757" s="19">
        <v>491.92</v>
      </c>
      <c r="S757" s="21">
        <v>0.2</v>
      </c>
      <c r="T757" s="21">
        <v>590.30399999999997</v>
      </c>
      <c r="U757" s="44" t="s">
        <v>953</v>
      </c>
      <c r="V757" s="22">
        <v>45908</v>
      </c>
      <c r="W757" s="54"/>
      <c r="X757" s="23"/>
      <c r="Y757" s="23" t="s">
        <v>92</v>
      </c>
      <c r="Z757" s="56" t="s">
        <v>1338</v>
      </c>
      <c r="AA757" s="24">
        <v>859827</v>
      </c>
      <c r="AB757" s="19" t="s">
        <v>2667</v>
      </c>
      <c r="AC757" s="19"/>
      <c r="AD757" s="15" t="str">
        <f ca="1">IF(AND($D757&lt;&gt;"",COUNTIF(OFFSET(UFS!$E$2,MATCH($D757&amp;"",UFS!$A$2:$A$175,0)-1,0,COUNTIF(UFS!$A$2:$A$175,$D757&amp;""),1),M757)&gt;0),"Valide","Invalide")</f>
        <v>Valide</v>
      </c>
      <c r="AH757" s="15" t="str">
        <f t="shared" si="11"/>
        <v>En attente</v>
      </c>
    </row>
    <row r="758" spans="1:34" s="15" customFormat="1" ht="45" hidden="1" customHeight="1" x14ac:dyDescent="0.3">
      <c r="A758" s="42">
        <v>759</v>
      </c>
      <c r="B758" s="19" t="s">
        <v>26</v>
      </c>
      <c r="C758" s="19" t="s">
        <v>30</v>
      </c>
      <c r="D758" s="20" t="s">
        <v>95</v>
      </c>
      <c r="E758" s="20" t="s">
        <v>96</v>
      </c>
      <c r="F758" s="21" t="s">
        <v>80</v>
      </c>
      <c r="G758" s="38" t="s">
        <v>169</v>
      </c>
      <c r="H758" s="39"/>
      <c r="I758" s="39">
        <v>2025016</v>
      </c>
      <c r="J758" s="21" t="s">
        <v>98</v>
      </c>
      <c r="K758" s="21" t="s">
        <v>99</v>
      </c>
      <c r="L758" s="21" t="s">
        <v>100</v>
      </c>
      <c r="M758" s="21" t="s">
        <v>101</v>
      </c>
      <c r="N758" s="21" t="s">
        <v>102</v>
      </c>
      <c r="O758" s="20" t="s">
        <v>2668</v>
      </c>
      <c r="P758" s="45">
        <v>45903</v>
      </c>
      <c r="Q758" s="39" t="s">
        <v>2669</v>
      </c>
      <c r="R758" s="19">
        <v>1127</v>
      </c>
      <c r="S758" s="21">
        <v>0.1</v>
      </c>
      <c r="T758" s="21">
        <v>1239.7</v>
      </c>
      <c r="U758" s="44" t="s">
        <v>1803</v>
      </c>
      <c r="V758" s="22">
        <v>45908</v>
      </c>
      <c r="W758" s="54" t="s">
        <v>91</v>
      </c>
      <c r="X758" s="23"/>
      <c r="Y758" s="23" t="s">
        <v>92</v>
      </c>
      <c r="Z758" s="56" t="s">
        <v>1338</v>
      </c>
      <c r="AA758" s="24">
        <v>859831</v>
      </c>
      <c r="AB758" s="47">
        <v>45936</v>
      </c>
      <c r="AC758" s="46" t="s">
        <v>94</v>
      </c>
      <c r="AD758" s="15" t="str">
        <f ca="1">IF(AND($D758&lt;&gt;"",COUNTIF(OFFSET(UFS!$E$2,MATCH($D758&amp;"",UFS!$A$2:$A$175,0)-1,0,COUNTIF(UFS!$A$2:$A$175,$D758&amp;""),1),M758)&gt;0),"Valide","Invalide")</f>
        <v>Valide</v>
      </c>
      <c r="AH758" s="15" t="str">
        <f t="shared" si="11"/>
        <v>En attente</v>
      </c>
    </row>
    <row r="759" spans="1:34" s="15" customFormat="1" ht="45" hidden="1" customHeight="1" x14ac:dyDescent="0.3">
      <c r="A759" s="42">
        <v>760</v>
      </c>
      <c r="B759" s="19" t="s">
        <v>26</v>
      </c>
      <c r="C759" s="19" t="s">
        <v>1</v>
      </c>
      <c r="D759" s="20" t="s">
        <v>1659</v>
      </c>
      <c r="E759" s="20" t="s">
        <v>96</v>
      </c>
      <c r="F759" s="21" t="s">
        <v>80</v>
      </c>
      <c r="G759" s="38" t="s">
        <v>288</v>
      </c>
      <c r="H759" s="39"/>
      <c r="I759" s="39" t="s">
        <v>49</v>
      </c>
      <c r="J759" s="21" t="s">
        <v>144</v>
      </c>
      <c r="K759" s="21" t="s">
        <v>145</v>
      </c>
      <c r="L759" s="21" t="s">
        <v>1660</v>
      </c>
      <c r="M759" s="21" t="s">
        <v>1661</v>
      </c>
      <c r="N759" s="21" t="s">
        <v>1662</v>
      </c>
      <c r="O759" s="20" t="s">
        <v>2670</v>
      </c>
      <c r="P759" s="45">
        <v>45896</v>
      </c>
      <c r="Q759" s="39" t="s">
        <v>2671</v>
      </c>
      <c r="R759" s="19">
        <v>959.08</v>
      </c>
      <c r="S759" s="21">
        <v>0.2</v>
      </c>
      <c r="T759" s="21">
        <v>1150.896</v>
      </c>
      <c r="U759" s="44" t="s">
        <v>1895</v>
      </c>
      <c r="V759" s="22">
        <v>45908</v>
      </c>
      <c r="W759" s="54" t="s">
        <v>91</v>
      </c>
      <c r="X759" s="23"/>
      <c r="Y759" s="23" t="s">
        <v>92</v>
      </c>
      <c r="Z759" s="56" t="s">
        <v>928</v>
      </c>
      <c r="AA759" s="24">
        <v>859832</v>
      </c>
      <c r="AB759" s="47">
        <v>45924</v>
      </c>
      <c r="AC759" s="46" t="s">
        <v>94</v>
      </c>
      <c r="AD759" s="15" t="str">
        <f ca="1">IF(AND($D759&lt;&gt;"",COUNTIF(OFFSET(UFS!$E$2,MATCH($D759&amp;"",UFS!$A$2:$A$175,0)-1,0,COUNTIF(UFS!$A$2:$A$175,$D759&amp;""),1),M759)&gt;0),"Valide","Invalide")</f>
        <v>Valide</v>
      </c>
      <c r="AH759" s="15" t="str">
        <f t="shared" si="11"/>
        <v>En attente</v>
      </c>
    </row>
    <row r="760" spans="1:34" s="15" customFormat="1" ht="45" hidden="1" customHeight="1" x14ac:dyDescent="0.3">
      <c r="A760" s="42">
        <v>761</v>
      </c>
      <c r="B760" s="19" t="s">
        <v>26</v>
      </c>
      <c r="C760" s="19" t="s">
        <v>1</v>
      </c>
      <c r="D760" s="20" t="s">
        <v>1659</v>
      </c>
      <c r="E760" s="20" t="s">
        <v>79</v>
      </c>
      <c r="F760" s="21" t="s">
        <v>80</v>
      </c>
      <c r="G760" s="38" t="s">
        <v>182</v>
      </c>
      <c r="H760" s="39" t="s">
        <v>82</v>
      </c>
      <c r="I760" s="39" t="s">
        <v>83</v>
      </c>
      <c r="J760" s="21" t="s">
        <v>144</v>
      </c>
      <c r="K760" s="21" t="s">
        <v>145</v>
      </c>
      <c r="L760" s="21" t="s">
        <v>1660</v>
      </c>
      <c r="M760" s="21" t="s">
        <v>1661</v>
      </c>
      <c r="N760" s="21" t="s">
        <v>1662</v>
      </c>
      <c r="O760" s="20" t="s">
        <v>2672</v>
      </c>
      <c r="P760" s="45">
        <v>45896</v>
      </c>
      <c r="Q760" s="39" t="s">
        <v>2673</v>
      </c>
      <c r="R760" s="19">
        <v>1010.92</v>
      </c>
      <c r="S760" s="21">
        <v>0.2</v>
      </c>
      <c r="T760" s="21">
        <v>1213.104</v>
      </c>
      <c r="U760" s="44" t="s">
        <v>2674</v>
      </c>
      <c r="V760" s="22">
        <v>45908</v>
      </c>
      <c r="W760" s="54" t="s">
        <v>91</v>
      </c>
      <c r="X760" s="23"/>
      <c r="Y760" s="23" t="s">
        <v>92</v>
      </c>
      <c r="Z760" s="56" t="s">
        <v>928</v>
      </c>
      <c r="AA760" s="24">
        <v>859836</v>
      </c>
      <c r="AB760" s="47">
        <v>45924</v>
      </c>
      <c r="AC760" s="19"/>
      <c r="AD760" s="15" t="str">
        <f ca="1">IF(AND($D760&lt;&gt;"",COUNTIF(OFFSET(UFS!$E$2,MATCH($D760&amp;"",UFS!$A$2:$A$175,0)-1,0,COUNTIF(UFS!$A$2:$A$175,$D760&amp;""),1),M760)&gt;0),"Valide","Invalide")</f>
        <v>Valide</v>
      </c>
      <c r="AH760" s="15" t="str">
        <f t="shared" si="11"/>
        <v>En attente</v>
      </c>
    </row>
    <row r="761" spans="1:34" s="15" customFormat="1" ht="45" hidden="1" customHeight="1" x14ac:dyDescent="0.3">
      <c r="A761" s="42">
        <v>762</v>
      </c>
      <c r="B761" s="19" t="s">
        <v>26</v>
      </c>
      <c r="C761" s="19" t="s">
        <v>1</v>
      </c>
      <c r="D761" s="20" t="s">
        <v>1358</v>
      </c>
      <c r="E761" s="20" t="s">
        <v>79</v>
      </c>
      <c r="F761" s="21" t="s">
        <v>80</v>
      </c>
      <c r="G761" s="38" t="s">
        <v>182</v>
      </c>
      <c r="H761" s="39" t="s">
        <v>82</v>
      </c>
      <c r="I761" s="39" t="s">
        <v>83</v>
      </c>
      <c r="J761" s="21" t="s">
        <v>98</v>
      </c>
      <c r="K761" s="21" t="s">
        <v>859</v>
      </c>
      <c r="L761" s="21" t="s">
        <v>100</v>
      </c>
      <c r="M761" s="21" t="s">
        <v>109</v>
      </c>
      <c r="N761" s="21" t="s">
        <v>109</v>
      </c>
      <c r="O761" s="20" t="s">
        <v>2675</v>
      </c>
      <c r="P761" s="45">
        <v>45898</v>
      </c>
      <c r="Q761" s="39" t="s">
        <v>2676</v>
      </c>
      <c r="R761" s="19">
        <v>146.51</v>
      </c>
      <c r="S761" s="21">
        <v>0.2</v>
      </c>
      <c r="T761" s="21">
        <v>175.81199999999998</v>
      </c>
      <c r="U761" s="44" t="s">
        <v>2674</v>
      </c>
      <c r="V761" s="22">
        <v>45908</v>
      </c>
      <c r="W761" s="54" t="s">
        <v>91</v>
      </c>
      <c r="X761" s="23"/>
      <c r="Y761" s="23" t="s">
        <v>92</v>
      </c>
      <c r="Z761" s="56" t="s">
        <v>928</v>
      </c>
      <c r="AA761" s="24">
        <v>859847</v>
      </c>
      <c r="AB761" s="19" t="s">
        <v>2667</v>
      </c>
      <c r="AC761" s="19"/>
      <c r="AD761" s="15" t="str">
        <f ca="1">IF(AND($D761&lt;&gt;"",COUNTIF(OFFSET(UFS!$E$2,MATCH($D761&amp;"",UFS!$A$2:$A$175,0)-1,0,COUNTIF(UFS!$A$2:$A$175,$D761&amp;""),1),M761)&gt;0),"Valide","Invalide")</f>
        <v>Valide</v>
      </c>
      <c r="AH761" s="15" t="str">
        <f t="shared" si="11"/>
        <v>En attente</v>
      </c>
    </row>
    <row r="762" spans="1:34" s="15" customFormat="1" ht="45" hidden="1" customHeight="1" x14ac:dyDescent="0.3">
      <c r="A762" s="42">
        <v>763</v>
      </c>
      <c r="B762" s="19" t="s">
        <v>26</v>
      </c>
      <c r="C762" s="19" t="s">
        <v>30</v>
      </c>
      <c r="D762" s="20" t="s">
        <v>1669</v>
      </c>
      <c r="E762" s="20" t="s">
        <v>96</v>
      </c>
      <c r="F762" s="21" t="s">
        <v>80</v>
      </c>
      <c r="G762" s="38" t="s">
        <v>320</v>
      </c>
      <c r="H762" s="39"/>
      <c r="I762" s="39" t="s">
        <v>2677</v>
      </c>
      <c r="J762" s="21" t="s">
        <v>144</v>
      </c>
      <c r="K762" s="21" t="s">
        <v>145</v>
      </c>
      <c r="L762" s="21" t="s">
        <v>146</v>
      </c>
      <c r="M762" s="21" t="s">
        <v>1671</v>
      </c>
      <c r="N762" s="21" t="s">
        <v>813</v>
      </c>
      <c r="O762" s="20" t="s">
        <v>2678</v>
      </c>
      <c r="P762" s="45">
        <v>45903</v>
      </c>
      <c r="Q762" s="39" t="s">
        <v>2679</v>
      </c>
      <c r="R762" s="19">
        <v>6153.42</v>
      </c>
      <c r="S762" s="21">
        <v>0.1</v>
      </c>
      <c r="T762" s="21">
        <v>6768.7619999999997</v>
      </c>
      <c r="U762" s="44" t="s">
        <v>2680</v>
      </c>
      <c r="V762" s="22">
        <v>45909</v>
      </c>
      <c r="W762" s="54" t="s">
        <v>91</v>
      </c>
      <c r="X762" s="23"/>
      <c r="Y762" s="23" t="s">
        <v>92</v>
      </c>
      <c r="Z762" s="56" t="s">
        <v>1338</v>
      </c>
      <c r="AA762" s="24">
        <v>859848</v>
      </c>
      <c r="AB762" s="47">
        <v>45936</v>
      </c>
      <c r="AC762" s="46" t="s">
        <v>94</v>
      </c>
      <c r="AD762" s="15" t="str">
        <f ca="1">IF(AND($D762&lt;&gt;"",COUNTIF(OFFSET(UFS!$E$2,MATCH($D762&amp;"",UFS!$A$2:$A$175,0)-1,0,COUNTIF(UFS!$A$2:$A$175,$D762&amp;""),1),M762)&gt;0),"Valide","Invalide")</f>
        <v>Valide</v>
      </c>
      <c r="AH762" s="15" t="str">
        <f t="shared" si="11"/>
        <v>En attente</v>
      </c>
    </row>
    <row r="763" spans="1:34" s="15" customFormat="1" ht="45" hidden="1" customHeight="1" x14ac:dyDescent="0.3">
      <c r="A763" s="42">
        <v>764</v>
      </c>
      <c r="B763" s="19" t="s">
        <v>6</v>
      </c>
      <c r="C763" s="19" t="s">
        <v>31</v>
      </c>
      <c r="D763" s="20" t="s">
        <v>260</v>
      </c>
      <c r="E763" s="20" t="s">
        <v>79</v>
      </c>
      <c r="F763" s="21" t="s">
        <v>80</v>
      </c>
      <c r="G763" s="38" t="s">
        <v>241</v>
      </c>
      <c r="H763" s="39" t="s">
        <v>242</v>
      </c>
      <c r="I763" s="39" t="s">
        <v>243</v>
      </c>
      <c r="J763" s="21" t="s">
        <v>84</v>
      </c>
      <c r="K763" s="21" t="s">
        <v>113</v>
      </c>
      <c r="L763" s="21" t="s">
        <v>86</v>
      </c>
      <c r="M763" s="21" t="s">
        <v>109</v>
      </c>
      <c r="N763" s="21" t="s">
        <v>109</v>
      </c>
      <c r="O763" s="20" t="s">
        <v>2681</v>
      </c>
      <c r="P763" s="45">
        <v>45903</v>
      </c>
      <c r="Q763" s="39" t="s">
        <v>2682</v>
      </c>
      <c r="R763" s="19">
        <v>11194.41</v>
      </c>
      <c r="S763" s="21">
        <v>0.1</v>
      </c>
      <c r="T763" s="21">
        <v>12313.851000000001</v>
      </c>
      <c r="U763" s="60" t="s">
        <v>2683</v>
      </c>
      <c r="V763" s="22">
        <v>45909</v>
      </c>
      <c r="W763" s="54"/>
      <c r="X763" s="23"/>
      <c r="Y763" s="23" t="s">
        <v>92</v>
      </c>
      <c r="Z763" s="56" t="s">
        <v>1338</v>
      </c>
      <c r="AA763" s="24">
        <v>859849</v>
      </c>
      <c r="AB763" s="19"/>
      <c r="AC763" s="19"/>
      <c r="AD763" s="15" t="str">
        <f ca="1">IF(AND($D763&lt;&gt;"",COUNTIF(OFFSET(UFS!$E$2,MATCH($D763&amp;"",UFS!$A$2:$A$175,0)-1,0,COUNTIF(UFS!$A$2:$A$175,$D763&amp;""),1),M763)&gt;0),"Valide","Invalide")</f>
        <v>Valide</v>
      </c>
      <c r="AH763" s="15" t="str">
        <f t="shared" si="11"/>
        <v>En attente</v>
      </c>
    </row>
    <row r="764" spans="1:34" s="15" customFormat="1" ht="45" hidden="1" customHeight="1" x14ac:dyDescent="0.3">
      <c r="A764" s="42">
        <v>765</v>
      </c>
      <c r="B764" s="19" t="s">
        <v>6</v>
      </c>
      <c r="C764" s="19" t="s">
        <v>31</v>
      </c>
      <c r="D764" s="20" t="s">
        <v>260</v>
      </c>
      <c r="E764" s="20" t="s">
        <v>79</v>
      </c>
      <c r="F764" s="21" t="s">
        <v>80</v>
      </c>
      <c r="G764" s="38" t="s">
        <v>241</v>
      </c>
      <c r="H764" s="39" t="s">
        <v>242</v>
      </c>
      <c r="I764" s="39" t="s">
        <v>243</v>
      </c>
      <c r="J764" s="21" t="s">
        <v>84</v>
      </c>
      <c r="K764" s="21" t="s">
        <v>113</v>
      </c>
      <c r="L764" s="21" t="s">
        <v>86</v>
      </c>
      <c r="M764" s="21" t="s">
        <v>109</v>
      </c>
      <c r="N764" s="21" t="s">
        <v>109</v>
      </c>
      <c r="O764" s="20" t="s">
        <v>2684</v>
      </c>
      <c r="P764" s="45">
        <v>45903</v>
      </c>
      <c r="Q764" s="39" t="s">
        <v>2685</v>
      </c>
      <c r="R764" s="19">
        <v>1150.9000000000001</v>
      </c>
      <c r="S764" s="21">
        <v>0.1</v>
      </c>
      <c r="T764" s="21">
        <v>1265.99</v>
      </c>
      <c r="U764" s="60" t="s">
        <v>2686</v>
      </c>
      <c r="V764" s="22">
        <v>45909</v>
      </c>
      <c r="W764" s="54"/>
      <c r="X764" s="23"/>
      <c r="Y764" s="23" t="s">
        <v>92</v>
      </c>
      <c r="Z764" s="56" t="s">
        <v>1338</v>
      </c>
      <c r="AA764" s="24">
        <v>859850</v>
      </c>
      <c r="AB764" s="19"/>
      <c r="AC764" s="19"/>
      <c r="AD764" s="15" t="str">
        <f ca="1">IF(AND($D764&lt;&gt;"",COUNTIF(OFFSET(UFS!$E$2,MATCH($D764&amp;"",UFS!$A$2:$A$175,0)-1,0,COUNTIF(UFS!$A$2:$A$175,$D764&amp;""),1),M764)&gt;0),"Valide","Invalide")</f>
        <v>Valide</v>
      </c>
      <c r="AH764" s="15" t="str">
        <f t="shared" si="11"/>
        <v>En attente</v>
      </c>
    </row>
    <row r="765" spans="1:34" s="15" customFormat="1" ht="45" hidden="1" customHeight="1" x14ac:dyDescent="0.3">
      <c r="A765" s="42">
        <v>766</v>
      </c>
      <c r="B765" s="19" t="s">
        <v>6</v>
      </c>
      <c r="C765" s="19" t="s">
        <v>31</v>
      </c>
      <c r="D765" s="20" t="s">
        <v>260</v>
      </c>
      <c r="E765" s="20" t="s">
        <v>79</v>
      </c>
      <c r="F765" s="21" t="s">
        <v>80</v>
      </c>
      <c r="G765" s="38" t="s">
        <v>241</v>
      </c>
      <c r="H765" s="39" t="s">
        <v>242</v>
      </c>
      <c r="I765" s="39" t="s">
        <v>243</v>
      </c>
      <c r="J765" s="21" t="s">
        <v>84</v>
      </c>
      <c r="K765" s="21" t="s">
        <v>113</v>
      </c>
      <c r="L765" s="21" t="s">
        <v>86</v>
      </c>
      <c r="M765" s="21" t="s">
        <v>109</v>
      </c>
      <c r="N765" s="21" t="s">
        <v>109</v>
      </c>
      <c r="O765" s="20" t="s">
        <v>2687</v>
      </c>
      <c r="P765" s="45">
        <v>45903</v>
      </c>
      <c r="Q765" s="39" t="s">
        <v>2688</v>
      </c>
      <c r="R765" s="19">
        <v>1150.9000000000001</v>
      </c>
      <c r="S765" s="21">
        <v>0.1</v>
      </c>
      <c r="T765" s="21">
        <v>1265.99</v>
      </c>
      <c r="U765" s="60" t="s">
        <v>2689</v>
      </c>
      <c r="V765" s="22">
        <v>45909</v>
      </c>
      <c r="W765" s="54"/>
      <c r="X765" s="23"/>
      <c r="Y765" s="23" t="s">
        <v>92</v>
      </c>
      <c r="Z765" s="56" t="s">
        <v>1338</v>
      </c>
      <c r="AA765" s="24">
        <v>859851</v>
      </c>
      <c r="AB765" s="19"/>
      <c r="AC765" s="19"/>
      <c r="AD765" s="15" t="str">
        <f ca="1">IF(AND($D765&lt;&gt;"",COUNTIF(OFFSET(UFS!$E$2,MATCH($D765&amp;"",UFS!$A$2:$A$175,0)-1,0,COUNTIF(UFS!$A$2:$A$175,$D765&amp;""),1),M765)&gt;0),"Valide","Invalide")</f>
        <v>Valide</v>
      </c>
      <c r="AH765" s="15" t="str">
        <f t="shared" si="11"/>
        <v>En attente</v>
      </c>
    </row>
    <row r="766" spans="1:34" s="15" customFormat="1" ht="45" hidden="1" customHeight="1" x14ac:dyDescent="0.3">
      <c r="A766" s="42">
        <v>767</v>
      </c>
      <c r="B766" s="19" t="s">
        <v>6</v>
      </c>
      <c r="C766" s="19" t="s">
        <v>31</v>
      </c>
      <c r="D766" s="20" t="s">
        <v>260</v>
      </c>
      <c r="E766" s="20" t="s">
        <v>79</v>
      </c>
      <c r="F766" s="21" t="s">
        <v>80</v>
      </c>
      <c r="G766" s="38" t="s">
        <v>241</v>
      </c>
      <c r="H766" s="39" t="s">
        <v>242</v>
      </c>
      <c r="I766" s="39" t="s">
        <v>243</v>
      </c>
      <c r="J766" s="21" t="s">
        <v>84</v>
      </c>
      <c r="K766" s="21" t="s">
        <v>113</v>
      </c>
      <c r="L766" s="21" t="s">
        <v>86</v>
      </c>
      <c r="M766" s="21" t="s">
        <v>109</v>
      </c>
      <c r="N766" s="21" t="s">
        <v>109</v>
      </c>
      <c r="O766" s="20" t="s">
        <v>2690</v>
      </c>
      <c r="P766" s="45">
        <v>45903</v>
      </c>
      <c r="Q766" s="39" t="s">
        <v>2691</v>
      </c>
      <c r="R766" s="19">
        <v>1150.9000000000001</v>
      </c>
      <c r="S766" s="21">
        <v>0.1</v>
      </c>
      <c r="T766" s="21">
        <v>1265.99</v>
      </c>
      <c r="U766" s="60" t="s">
        <v>2692</v>
      </c>
      <c r="V766" s="22">
        <v>45909</v>
      </c>
      <c r="W766" s="54"/>
      <c r="X766" s="23"/>
      <c r="Y766" s="23" t="s">
        <v>92</v>
      </c>
      <c r="Z766" s="56" t="s">
        <v>1338</v>
      </c>
      <c r="AA766" s="24">
        <v>859852</v>
      </c>
      <c r="AB766" s="19"/>
      <c r="AC766" s="19"/>
      <c r="AD766" s="15" t="str">
        <f ca="1">IF(AND($D766&lt;&gt;"",COUNTIF(OFFSET(UFS!$E$2,MATCH($D766&amp;"",UFS!$A$2:$A$175,0)-1,0,COUNTIF(UFS!$A$2:$A$175,$D766&amp;""),1),M766)&gt;0),"Valide","Invalide")</f>
        <v>Valide</v>
      </c>
      <c r="AH766" s="15" t="str">
        <f t="shared" si="11"/>
        <v>En attente</v>
      </c>
    </row>
    <row r="767" spans="1:34" s="15" customFormat="1" ht="45" hidden="1" customHeight="1" x14ac:dyDescent="0.3">
      <c r="A767" s="42">
        <v>768</v>
      </c>
      <c r="B767" s="19" t="s">
        <v>24</v>
      </c>
      <c r="C767" s="19" t="s">
        <v>35</v>
      </c>
      <c r="D767" s="20" t="s">
        <v>134</v>
      </c>
      <c r="E767" s="20" t="s">
        <v>79</v>
      </c>
      <c r="F767" s="21" t="s">
        <v>80</v>
      </c>
      <c r="G767" s="38" t="s">
        <v>81</v>
      </c>
      <c r="H767" s="39" t="s">
        <v>215</v>
      </c>
      <c r="I767" s="39"/>
      <c r="J767" s="21" t="s">
        <v>124</v>
      </c>
      <c r="K767" s="21" t="s">
        <v>125</v>
      </c>
      <c r="L767" s="21" t="s">
        <v>135</v>
      </c>
      <c r="M767" s="21" t="s">
        <v>136</v>
      </c>
      <c r="N767" s="21" t="s">
        <v>102</v>
      </c>
      <c r="O767" s="20" t="s">
        <v>2693</v>
      </c>
      <c r="P767" s="45">
        <v>45910</v>
      </c>
      <c r="Q767" s="39" t="s">
        <v>2694</v>
      </c>
      <c r="R767" s="19">
        <v>560.02</v>
      </c>
      <c r="S767" s="21">
        <v>0.1</v>
      </c>
      <c r="T767" s="21">
        <v>616.02199999999993</v>
      </c>
      <c r="U767" s="44" t="s">
        <v>2695</v>
      </c>
      <c r="V767" s="22">
        <v>45910</v>
      </c>
      <c r="W767" s="54" t="s">
        <v>91</v>
      </c>
      <c r="X767" s="23"/>
      <c r="Y767" s="23" t="s">
        <v>92</v>
      </c>
      <c r="Z767" s="56" t="s">
        <v>1338</v>
      </c>
      <c r="AA767" s="24">
        <v>859856</v>
      </c>
      <c r="AB767" s="19"/>
      <c r="AC767" s="46" t="s">
        <v>94</v>
      </c>
      <c r="AD767" s="15" t="str">
        <f ca="1">IF(AND($D767&lt;&gt;"",COUNTIF(OFFSET(UFS!$E$2,MATCH($D767&amp;"",UFS!$A$2:$A$175,0)-1,0,COUNTIF(UFS!$A$2:$A$175,$D767&amp;""),1),M767)&gt;0),"Valide","Invalide")</f>
        <v>Valide</v>
      </c>
      <c r="AH767" s="15" t="str">
        <f t="shared" si="11"/>
        <v>En attente</v>
      </c>
    </row>
    <row r="768" spans="1:34" s="15" customFormat="1" ht="45" hidden="1" customHeight="1" x14ac:dyDescent="0.3">
      <c r="A768" s="42">
        <v>769</v>
      </c>
      <c r="B768" s="19" t="s">
        <v>24</v>
      </c>
      <c r="C768" s="19" t="s">
        <v>35</v>
      </c>
      <c r="D768" s="20" t="s">
        <v>819</v>
      </c>
      <c r="E768" s="20" t="s">
        <v>79</v>
      </c>
      <c r="F768" s="21" t="s">
        <v>80</v>
      </c>
      <c r="G768" s="38" t="s">
        <v>81</v>
      </c>
      <c r="H768" s="39" t="s">
        <v>215</v>
      </c>
      <c r="I768" s="39"/>
      <c r="J768" s="21" t="s">
        <v>361</v>
      </c>
      <c r="K768" s="21" t="s">
        <v>820</v>
      </c>
      <c r="L768" s="21" t="s">
        <v>246</v>
      </c>
      <c r="M768" s="21" t="s">
        <v>821</v>
      </c>
      <c r="N768" s="21" t="s">
        <v>151</v>
      </c>
      <c r="O768" s="20" t="s">
        <v>2696</v>
      </c>
      <c r="P768" s="45">
        <v>45686</v>
      </c>
      <c r="Q768" s="39" t="s">
        <v>2697</v>
      </c>
      <c r="R768" s="19">
        <v>240.05</v>
      </c>
      <c r="S768" s="21">
        <v>0.2</v>
      </c>
      <c r="T768" s="21">
        <v>288.06</v>
      </c>
      <c r="U768" s="44" t="s">
        <v>2698</v>
      </c>
      <c r="V768" s="22">
        <v>45910</v>
      </c>
      <c r="W768" s="54" t="s">
        <v>91</v>
      </c>
      <c r="X768" s="23"/>
      <c r="Y768" s="23" t="s">
        <v>92</v>
      </c>
      <c r="Z768" s="56" t="s">
        <v>1338</v>
      </c>
      <c r="AA768" s="24">
        <v>859874</v>
      </c>
      <c r="AB768" s="19"/>
      <c r="AC768" s="46" t="s">
        <v>94</v>
      </c>
      <c r="AD768" s="15" t="str">
        <f ca="1">IF(AND($D768&lt;&gt;"",COUNTIF(OFFSET(UFS!$E$2,MATCH($D768&amp;"",UFS!$A$2:$A$175,0)-1,0,COUNTIF(UFS!$A$2:$A$175,$D768&amp;""),1),M768)&gt;0),"Valide","Invalide")</f>
        <v>Valide</v>
      </c>
      <c r="AH768" s="15" t="str">
        <f t="shared" si="11"/>
        <v>En attente</v>
      </c>
    </row>
    <row r="769" spans="1:34" s="15" customFormat="1" ht="45" hidden="1" customHeight="1" x14ac:dyDescent="0.3">
      <c r="A769" s="42">
        <v>770</v>
      </c>
      <c r="B769" s="19" t="s">
        <v>24</v>
      </c>
      <c r="C769" s="19" t="s">
        <v>11</v>
      </c>
      <c r="D769" s="20" t="s">
        <v>174</v>
      </c>
      <c r="E769" s="20" t="s">
        <v>96</v>
      </c>
      <c r="F769" s="21" t="s">
        <v>80</v>
      </c>
      <c r="G769" s="38" t="s">
        <v>182</v>
      </c>
      <c r="H769" s="39"/>
      <c r="I769" s="39" t="s">
        <v>2661</v>
      </c>
      <c r="J769" s="21" t="s">
        <v>124</v>
      </c>
      <c r="K769" s="21" t="s">
        <v>125</v>
      </c>
      <c r="L769" s="21" t="s">
        <v>177</v>
      </c>
      <c r="M769" s="21" t="s">
        <v>136</v>
      </c>
      <c r="N769" s="21" t="s">
        <v>102</v>
      </c>
      <c r="O769" s="20" t="s">
        <v>2699</v>
      </c>
      <c r="P769" s="45">
        <v>45848</v>
      </c>
      <c r="Q769" s="39" t="s">
        <v>2700</v>
      </c>
      <c r="R769" s="19">
        <v>24659.62</v>
      </c>
      <c r="S769" s="21">
        <v>0.1</v>
      </c>
      <c r="T769" s="21">
        <v>27125.581999999999</v>
      </c>
      <c r="U769" s="44" t="s">
        <v>2701</v>
      </c>
      <c r="V769" s="22">
        <v>45910</v>
      </c>
      <c r="W769" s="54" t="s">
        <v>91</v>
      </c>
      <c r="X769" s="23"/>
      <c r="Y769" s="56" t="s">
        <v>92</v>
      </c>
      <c r="Z769" s="56" t="s">
        <v>1338</v>
      </c>
      <c r="AA769" s="24">
        <v>859876</v>
      </c>
      <c r="AB769" s="47">
        <v>45943</v>
      </c>
      <c r="AC769" s="46" t="s">
        <v>94</v>
      </c>
      <c r="AD769" s="15" t="str">
        <f ca="1">IF(AND($D769&lt;&gt;"",COUNTIF(OFFSET(UFS!$E$2,MATCH($D769&amp;"",UFS!$A$2:$A$175,0)-1,0,COUNTIF(UFS!$A$2:$A$175,$D769&amp;""),1),M769)&gt;0),"Valide","Invalide")</f>
        <v>Valide</v>
      </c>
      <c r="AH769" s="15" t="str">
        <f t="shared" si="11"/>
        <v>En attente</v>
      </c>
    </row>
    <row r="770" spans="1:34" s="15" customFormat="1" ht="45" hidden="1" customHeight="1" x14ac:dyDescent="0.3">
      <c r="A770" s="42">
        <v>771</v>
      </c>
      <c r="B770" s="19" t="s">
        <v>24</v>
      </c>
      <c r="C770" s="19" t="s">
        <v>35</v>
      </c>
      <c r="D770" s="20" t="s">
        <v>174</v>
      </c>
      <c r="E770" s="20" t="s">
        <v>96</v>
      </c>
      <c r="F770" s="21" t="s">
        <v>80</v>
      </c>
      <c r="G770" s="38" t="s">
        <v>182</v>
      </c>
      <c r="H770" s="39"/>
      <c r="I770" s="39" t="s">
        <v>2661</v>
      </c>
      <c r="J770" s="21" t="s">
        <v>124</v>
      </c>
      <c r="K770" s="21" t="s">
        <v>125</v>
      </c>
      <c r="L770" s="21" t="s">
        <v>177</v>
      </c>
      <c r="M770" s="21" t="s">
        <v>136</v>
      </c>
      <c r="N770" s="21" t="s">
        <v>102</v>
      </c>
      <c r="O770" s="20" t="s">
        <v>2702</v>
      </c>
      <c r="P770" s="45">
        <v>45849</v>
      </c>
      <c r="Q770" s="39" t="s">
        <v>2703</v>
      </c>
      <c r="R770" s="19">
        <v>5203.46</v>
      </c>
      <c r="S770" s="21">
        <v>0.1</v>
      </c>
      <c r="T770" s="21">
        <v>5723.8060000000005</v>
      </c>
      <c r="U770" s="44" t="s">
        <v>2701</v>
      </c>
      <c r="V770" s="22">
        <v>45910</v>
      </c>
      <c r="W770" s="54" t="s">
        <v>91</v>
      </c>
      <c r="X770" s="23"/>
      <c r="Y770" s="23" t="s">
        <v>92</v>
      </c>
      <c r="Z770" s="56" t="s">
        <v>1338</v>
      </c>
      <c r="AA770" s="24">
        <v>859877</v>
      </c>
      <c r="AB770" s="47">
        <v>45936</v>
      </c>
      <c r="AC770" s="46" t="s">
        <v>94</v>
      </c>
      <c r="AD770" s="15" t="str">
        <f ca="1">IF(AND($D770&lt;&gt;"",COUNTIF(OFFSET(UFS!$E$2,MATCH($D770&amp;"",UFS!$A$2:$A$175,0)-1,0,COUNTIF(UFS!$A$2:$A$175,$D770&amp;""),1),M770)&gt;0),"Valide","Invalide")</f>
        <v>Valide</v>
      </c>
      <c r="AH770" s="15" t="str">
        <f t="shared" si="11"/>
        <v>En attente</v>
      </c>
    </row>
    <row r="771" spans="1:34" s="15" customFormat="1" ht="45" hidden="1" customHeight="1" x14ac:dyDescent="0.3">
      <c r="A771" s="42">
        <v>772</v>
      </c>
      <c r="B771" s="19" t="s">
        <v>24</v>
      </c>
      <c r="C771" s="19" t="s">
        <v>28</v>
      </c>
      <c r="D771" s="20" t="s">
        <v>174</v>
      </c>
      <c r="E771" s="20" t="s">
        <v>96</v>
      </c>
      <c r="F771" s="21" t="s">
        <v>80</v>
      </c>
      <c r="G771" s="38" t="s">
        <v>182</v>
      </c>
      <c r="H771" s="39"/>
      <c r="I771" s="39" t="s">
        <v>2661</v>
      </c>
      <c r="J771" s="21" t="s">
        <v>124</v>
      </c>
      <c r="K771" s="21" t="s">
        <v>125</v>
      </c>
      <c r="L771" s="21" t="s">
        <v>177</v>
      </c>
      <c r="M771" s="21" t="s">
        <v>136</v>
      </c>
      <c r="N771" s="21" t="s">
        <v>102</v>
      </c>
      <c r="O771" s="20" t="s">
        <v>2704</v>
      </c>
      <c r="P771" s="45">
        <v>45908</v>
      </c>
      <c r="Q771" s="39" t="s">
        <v>2705</v>
      </c>
      <c r="R771" s="19">
        <v>12629.42</v>
      </c>
      <c r="S771" s="21">
        <v>0.1</v>
      </c>
      <c r="T771" s="21">
        <v>13892.362000000001</v>
      </c>
      <c r="U771" s="44" t="s">
        <v>2701</v>
      </c>
      <c r="V771" s="22">
        <v>45911</v>
      </c>
      <c r="W771" s="54" t="s">
        <v>91</v>
      </c>
      <c r="X771" s="23"/>
      <c r="Y771" s="23" t="s">
        <v>92</v>
      </c>
      <c r="Z771" s="56" t="s">
        <v>1338</v>
      </c>
      <c r="AA771" s="24">
        <v>859878</v>
      </c>
      <c r="AB771" s="47">
        <v>45936</v>
      </c>
      <c r="AC771" s="46" t="s">
        <v>94</v>
      </c>
      <c r="AD771" s="15" t="str">
        <f ca="1">IF(AND($D771&lt;&gt;"",COUNTIF(OFFSET(UFS!$E$2,MATCH($D771&amp;"",UFS!$A$2:$A$175,0)-1,0,COUNTIF(UFS!$A$2:$A$175,$D771&amp;""),1),M771)&gt;0),"Valide","Invalide")</f>
        <v>Valide</v>
      </c>
      <c r="AH771" s="15" t="str">
        <f t="shared" ref="AH771:AH834" si="12">IF(T771&lt;&gt;"","En attente","")</f>
        <v>En attente</v>
      </c>
    </row>
    <row r="772" spans="1:34" s="15" customFormat="1" ht="45" hidden="1" customHeight="1" x14ac:dyDescent="0.3">
      <c r="A772" s="42">
        <v>773</v>
      </c>
      <c r="B772" s="19" t="s">
        <v>16</v>
      </c>
      <c r="C772" s="19" t="s">
        <v>19</v>
      </c>
      <c r="D772" s="20" t="s">
        <v>911</v>
      </c>
      <c r="E772" s="20" t="s">
        <v>79</v>
      </c>
      <c r="F772" s="21" t="s">
        <v>80</v>
      </c>
      <c r="G772" s="38" t="s">
        <v>81</v>
      </c>
      <c r="H772" s="39" t="s">
        <v>211</v>
      </c>
      <c r="I772" s="39" t="s">
        <v>83</v>
      </c>
      <c r="J772" s="21" t="s">
        <v>144</v>
      </c>
      <c r="K772" s="21" t="s">
        <v>145</v>
      </c>
      <c r="L772" s="21" t="s">
        <v>270</v>
      </c>
      <c r="M772" s="21" t="s">
        <v>912</v>
      </c>
      <c r="N772" s="21" t="s">
        <v>102</v>
      </c>
      <c r="O772" s="20" t="s">
        <v>2706</v>
      </c>
      <c r="P772" s="45">
        <v>45904</v>
      </c>
      <c r="Q772" s="39" t="s">
        <v>2707</v>
      </c>
      <c r="R772" s="19">
        <v>2953.92</v>
      </c>
      <c r="S772" s="21">
        <v>0.1</v>
      </c>
      <c r="T772" s="21">
        <v>3249.3119999999999</v>
      </c>
      <c r="U772" s="44" t="s">
        <v>2708</v>
      </c>
      <c r="V772" s="22">
        <v>45911</v>
      </c>
      <c r="W772" s="54" t="s">
        <v>91</v>
      </c>
      <c r="X772" s="23"/>
      <c r="Y772" s="23" t="s">
        <v>92</v>
      </c>
      <c r="Z772" s="56" t="s">
        <v>1338</v>
      </c>
      <c r="AA772" s="24">
        <v>859879</v>
      </c>
      <c r="AB772" s="19"/>
      <c r="AC772" s="46" t="s">
        <v>94</v>
      </c>
      <c r="AD772" s="15" t="str">
        <f ca="1">IF(AND($D772&lt;&gt;"",COUNTIF(OFFSET(UFS!$E$2,MATCH($D772&amp;"",UFS!$A$2:$A$175,0)-1,0,COUNTIF(UFS!$A$2:$A$175,$D772&amp;""),1),M772)&gt;0),"Valide","Invalide")</f>
        <v>Valide</v>
      </c>
      <c r="AH772" s="15" t="str">
        <f t="shared" si="12"/>
        <v>En attente</v>
      </c>
    </row>
    <row r="773" spans="1:34" s="15" customFormat="1" ht="45" hidden="1" customHeight="1" x14ac:dyDescent="0.3">
      <c r="A773" s="42">
        <v>774</v>
      </c>
      <c r="B773" s="19" t="s">
        <v>0</v>
      </c>
      <c r="C773" s="19" t="s">
        <v>11</v>
      </c>
      <c r="D773" s="20" t="s">
        <v>587</v>
      </c>
      <c r="E773" s="20" t="s">
        <v>79</v>
      </c>
      <c r="F773" s="21" t="s">
        <v>80</v>
      </c>
      <c r="G773" s="38" t="s">
        <v>81</v>
      </c>
      <c r="H773" s="39"/>
      <c r="I773" s="39" t="s">
        <v>83</v>
      </c>
      <c r="J773" s="21" t="s">
        <v>144</v>
      </c>
      <c r="K773" s="21" t="s">
        <v>145</v>
      </c>
      <c r="L773" s="21" t="s">
        <v>203</v>
      </c>
      <c r="M773" s="21" t="s">
        <v>589</v>
      </c>
      <c r="N773" s="21" t="s">
        <v>589</v>
      </c>
      <c r="O773" s="20" t="s">
        <v>2709</v>
      </c>
      <c r="P773" s="45">
        <v>45813</v>
      </c>
      <c r="Q773" s="39" t="s">
        <v>2710</v>
      </c>
      <c r="R773" s="19">
        <v>2217.2800000000002</v>
      </c>
      <c r="S773" s="21">
        <v>0.2</v>
      </c>
      <c r="T773" s="21">
        <v>2660.7360000000003</v>
      </c>
      <c r="U773" s="60" t="s">
        <v>2711</v>
      </c>
      <c r="V773" s="22">
        <v>45911</v>
      </c>
      <c r="W773" s="54" t="s">
        <v>91</v>
      </c>
      <c r="X773" s="23"/>
      <c r="Y773" s="23" t="s">
        <v>376</v>
      </c>
      <c r="Z773" s="56" t="s">
        <v>2535</v>
      </c>
      <c r="AA773" s="24"/>
      <c r="AB773" s="19"/>
      <c r="AC773" s="19"/>
      <c r="AD773" s="15" t="str">
        <f ca="1">IF(AND($D773&lt;&gt;"",COUNTIF(OFFSET(UFS!$E$2,MATCH($D773&amp;"",UFS!$A$2:$A$175,0)-1,0,COUNTIF(UFS!$A$2:$A$175,$D773&amp;""),1),M773)&gt;0),"Valide","Invalide")</f>
        <v>Valide</v>
      </c>
      <c r="AH773" s="15" t="str">
        <f t="shared" si="12"/>
        <v>En attente</v>
      </c>
    </row>
    <row r="774" spans="1:34" s="15" customFormat="1" ht="45" customHeight="1" x14ac:dyDescent="0.3">
      <c r="A774" s="42">
        <v>775</v>
      </c>
      <c r="B774" s="19" t="s">
        <v>24</v>
      </c>
      <c r="C774" s="19" t="s">
        <v>28</v>
      </c>
      <c r="D774" s="20" t="s">
        <v>174</v>
      </c>
      <c r="E774" s="20" t="s">
        <v>96</v>
      </c>
      <c r="F774" s="21" t="s">
        <v>80</v>
      </c>
      <c r="G774" s="38" t="s">
        <v>182</v>
      </c>
      <c r="H774" s="39"/>
      <c r="I774" s="39" t="s">
        <v>2661</v>
      </c>
      <c r="J774" s="21" t="s">
        <v>124</v>
      </c>
      <c r="K774" s="21" t="s">
        <v>125</v>
      </c>
      <c r="L774" s="21" t="s">
        <v>177</v>
      </c>
      <c r="M774" s="21" t="s">
        <v>136</v>
      </c>
      <c r="N774" s="21" t="s">
        <v>102</v>
      </c>
      <c r="O774" s="20" t="s">
        <v>2712</v>
      </c>
      <c r="P774" s="45">
        <v>45910</v>
      </c>
      <c r="Q774" s="39" t="s">
        <v>2713</v>
      </c>
      <c r="R774" s="19">
        <v>7388.34</v>
      </c>
      <c r="S774" s="21">
        <v>0.1</v>
      </c>
      <c r="T774" s="21">
        <v>8127.174</v>
      </c>
      <c r="U774" s="60" t="s">
        <v>2714</v>
      </c>
      <c r="V774" s="22">
        <v>45911</v>
      </c>
      <c r="W774" s="54" t="s">
        <v>91</v>
      </c>
      <c r="X774" s="23"/>
      <c r="Y774" s="23" t="s">
        <v>92</v>
      </c>
      <c r="Z774" s="56" t="s">
        <v>1338</v>
      </c>
      <c r="AA774" s="24">
        <v>859882</v>
      </c>
      <c r="AB774" s="47">
        <v>45943</v>
      </c>
      <c r="AC774" s="49" t="s">
        <v>161</v>
      </c>
      <c r="AD774" s="15" t="str">
        <f ca="1">IF(AND($D774&lt;&gt;"",COUNTIF(OFFSET(UFS!$E$2,MATCH($D774&amp;"",UFS!$A$2:$A$175,0)-1,0,COUNTIF(UFS!$A$2:$A$175,$D774&amp;""),1),M774)&gt;0),"Valide","Invalide")</f>
        <v>Valide</v>
      </c>
      <c r="AH774" s="15" t="str">
        <f t="shared" si="12"/>
        <v>En attente</v>
      </c>
    </row>
    <row r="775" spans="1:34" s="15" customFormat="1" ht="45" hidden="1" customHeight="1" x14ac:dyDescent="0.3">
      <c r="A775" s="42">
        <v>776</v>
      </c>
      <c r="B775" s="19" t="s">
        <v>24</v>
      </c>
      <c r="C775" s="19" t="s">
        <v>30</v>
      </c>
      <c r="D775" s="20" t="s">
        <v>152</v>
      </c>
      <c r="E775" s="20" t="s">
        <v>79</v>
      </c>
      <c r="F775" s="21" t="s">
        <v>80</v>
      </c>
      <c r="G775" s="38" t="s">
        <v>81</v>
      </c>
      <c r="H775" s="39" t="s">
        <v>82</v>
      </c>
      <c r="I775" s="39"/>
      <c r="J775" s="21" t="s">
        <v>84</v>
      </c>
      <c r="K775" s="21" t="s">
        <v>113</v>
      </c>
      <c r="L775" s="21" t="s">
        <v>86</v>
      </c>
      <c r="M775" s="21" t="s">
        <v>115</v>
      </c>
      <c r="N775" s="21" t="s">
        <v>102</v>
      </c>
      <c r="O775" s="20" t="s">
        <v>2715</v>
      </c>
      <c r="P775" s="45">
        <v>45911</v>
      </c>
      <c r="Q775" s="39" t="s">
        <v>2716</v>
      </c>
      <c r="R775" s="19">
        <v>1992.65</v>
      </c>
      <c r="S775" s="21">
        <v>0.1</v>
      </c>
      <c r="T775" s="21">
        <v>2191.915</v>
      </c>
      <c r="U775" s="60" t="s">
        <v>2717</v>
      </c>
      <c r="V775" s="22">
        <v>45911</v>
      </c>
      <c r="W775" s="54" t="s">
        <v>91</v>
      </c>
      <c r="X775" s="23"/>
      <c r="Y775" s="23" t="s">
        <v>92</v>
      </c>
      <c r="Z775" s="56" t="s">
        <v>1338</v>
      </c>
      <c r="AA775" s="24">
        <v>859838</v>
      </c>
      <c r="AB775" s="47">
        <v>45915</v>
      </c>
      <c r="AC775" s="46" t="s">
        <v>94</v>
      </c>
      <c r="AD775" s="15" t="str">
        <f ca="1">IF(AND($D775&lt;&gt;"",COUNTIF(OFFSET(UFS!$E$2,MATCH($D775&amp;"",UFS!$A$2:$A$175,0)-1,0,COUNTIF(UFS!$A$2:$A$175,$D775&amp;""),1),M775)&gt;0),"Valide","Invalide")</f>
        <v>Valide</v>
      </c>
      <c r="AH775" s="15" t="str">
        <f t="shared" si="12"/>
        <v>En attente</v>
      </c>
    </row>
    <row r="776" spans="1:34" s="15" customFormat="1" ht="45" hidden="1" customHeight="1" x14ac:dyDescent="0.3">
      <c r="A776" s="42">
        <v>777</v>
      </c>
      <c r="B776" s="19" t="s">
        <v>24</v>
      </c>
      <c r="C776" s="19" t="s">
        <v>30</v>
      </c>
      <c r="D776" s="20" t="s">
        <v>628</v>
      </c>
      <c r="E776" s="20" t="s">
        <v>79</v>
      </c>
      <c r="F776" s="21" t="s">
        <v>80</v>
      </c>
      <c r="G776" s="38" t="s">
        <v>81</v>
      </c>
      <c r="H776" s="39" t="s">
        <v>82</v>
      </c>
      <c r="I776" s="39"/>
      <c r="J776" s="21" t="s">
        <v>124</v>
      </c>
      <c r="K776" s="21" t="s">
        <v>125</v>
      </c>
      <c r="L776" s="21" t="s">
        <v>629</v>
      </c>
      <c r="M776" s="21" t="s">
        <v>136</v>
      </c>
      <c r="N776" s="21" t="s">
        <v>102</v>
      </c>
      <c r="O776" s="20" t="s">
        <v>2718</v>
      </c>
      <c r="P776" s="45">
        <v>45911</v>
      </c>
      <c r="Q776" s="39" t="s">
        <v>2719</v>
      </c>
      <c r="R776" s="19">
        <v>1009.9</v>
      </c>
      <c r="S776" s="21">
        <v>0.1</v>
      </c>
      <c r="T776" s="21">
        <v>1110.8899999999999</v>
      </c>
      <c r="U776" s="60" t="s">
        <v>2720</v>
      </c>
      <c r="V776" s="22">
        <v>45911</v>
      </c>
      <c r="W776" s="54" t="s">
        <v>91</v>
      </c>
      <c r="X776" s="23"/>
      <c r="Y776" s="23" t="s">
        <v>92</v>
      </c>
      <c r="Z776" s="56" t="s">
        <v>1338</v>
      </c>
      <c r="AA776" s="24">
        <v>859837</v>
      </c>
      <c r="AB776" s="47">
        <v>45922</v>
      </c>
      <c r="AC776" s="46" t="s">
        <v>94</v>
      </c>
      <c r="AD776" s="15" t="str">
        <f ca="1">IF(AND($D776&lt;&gt;"",COUNTIF(OFFSET(UFS!$E$2,MATCH($D776&amp;"",UFS!$A$2:$A$175,0)-1,0,COUNTIF(UFS!$A$2:$A$175,$D776&amp;""),1),M776)&gt;0),"Valide","Invalide")</f>
        <v>Valide</v>
      </c>
      <c r="AH776" s="15" t="str">
        <f t="shared" si="12"/>
        <v>En attente</v>
      </c>
    </row>
    <row r="777" spans="1:34" s="15" customFormat="1" ht="45" hidden="1" customHeight="1" x14ac:dyDescent="0.3">
      <c r="A777" s="42">
        <v>778</v>
      </c>
      <c r="B777" s="19" t="s">
        <v>24</v>
      </c>
      <c r="C777" s="19" t="s">
        <v>35</v>
      </c>
      <c r="D777" s="20" t="s">
        <v>2721</v>
      </c>
      <c r="E777" s="20" t="s">
        <v>79</v>
      </c>
      <c r="F777" s="21" t="s">
        <v>80</v>
      </c>
      <c r="G777" s="38" t="s">
        <v>81</v>
      </c>
      <c r="H777" s="39" t="s">
        <v>426</v>
      </c>
      <c r="I777" s="39"/>
      <c r="J777" s="21" t="s">
        <v>883</v>
      </c>
      <c r="K777" s="21" t="s">
        <v>2722</v>
      </c>
      <c r="L777" s="21" t="s">
        <v>126</v>
      </c>
      <c r="M777" s="21" t="s">
        <v>2722</v>
      </c>
      <c r="N777" s="21" t="s">
        <v>151</v>
      </c>
      <c r="O777" s="20" t="s">
        <v>2723</v>
      </c>
      <c r="P777" s="45">
        <v>45911</v>
      </c>
      <c r="Q777" s="39" t="s">
        <v>2724</v>
      </c>
      <c r="R777" s="19">
        <v>1796.63</v>
      </c>
      <c r="S777" s="21">
        <v>0.2</v>
      </c>
      <c r="T777" s="21">
        <v>2155.9560000000001</v>
      </c>
      <c r="U777" s="44" t="s">
        <v>2725</v>
      </c>
      <c r="V777" s="22">
        <v>45911</v>
      </c>
      <c r="W777" s="54" t="s">
        <v>91</v>
      </c>
      <c r="X777" s="23"/>
      <c r="Y777" s="23" t="s">
        <v>92</v>
      </c>
      <c r="Z777" s="56" t="s">
        <v>1338</v>
      </c>
      <c r="AA777" s="24">
        <v>859756</v>
      </c>
      <c r="AB777" s="47">
        <v>45924</v>
      </c>
      <c r="AC777" s="46" t="s">
        <v>94</v>
      </c>
      <c r="AD777" s="15" t="str">
        <f ca="1">IF(AND($D777&lt;&gt;"",COUNTIF(OFFSET(UFS!$E$2,MATCH($D777&amp;"",UFS!$A$2:$A$175,0)-1,0,COUNTIF(UFS!$A$2:$A$175,$D777&amp;""),1),M777)&gt;0),"Valide","Invalide")</f>
        <v>Valide</v>
      </c>
      <c r="AH777" s="15" t="str">
        <f t="shared" si="12"/>
        <v>En attente</v>
      </c>
    </row>
    <row r="778" spans="1:34" s="15" customFormat="1" ht="45" hidden="1" customHeight="1" x14ac:dyDescent="0.3">
      <c r="A778" s="42">
        <v>779</v>
      </c>
      <c r="B778" s="19" t="s">
        <v>26</v>
      </c>
      <c r="C778" s="19" t="s">
        <v>35</v>
      </c>
      <c r="D778" s="20" t="s">
        <v>2726</v>
      </c>
      <c r="E778" s="20" t="s">
        <v>79</v>
      </c>
      <c r="F778" s="21" t="s">
        <v>80</v>
      </c>
      <c r="G778" s="38" t="s">
        <v>182</v>
      </c>
      <c r="H778" s="39" t="s">
        <v>215</v>
      </c>
      <c r="I778" s="39"/>
      <c r="J778" s="21" t="s">
        <v>183</v>
      </c>
      <c r="K778" s="21" t="s">
        <v>2727</v>
      </c>
      <c r="L778" s="21" t="s">
        <v>492</v>
      </c>
      <c r="M778" s="21" t="s">
        <v>2728</v>
      </c>
      <c r="N778" s="21" t="s">
        <v>271</v>
      </c>
      <c r="O778" s="20" t="s">
        <v>2729</v>
      </c>
      <c r="P778" s="45">
        <v>45911</v>
      </c>
      <c r="Q778" s="39" t="s">
        <v>2730</v>
      </c>
      <c r="R778" s="19">
        <v>1952.6</v>
      </c>
      <c r="S778" s="21">
        <v>0.2</v>
      </c>
      <c r="T778" s="21">
        <v>2343.12</v>
      </c>
      <c r="U778" s="60" t="s">
        <v>2731</v>
      </c>
      <c r="V778" s="22">
        <v>45911</v>
      </c>
      <c r="W778" s="54" t="s">
        <v>91</v>
      </c>
      <c r="X778" s="23"/>
      <c r="Y778" s="23" t="s">
        <v>347</v>
      </c>
      <c r="Z778" s="56" t="s">
        <v>2732</v>
      </c>
      <c r="AA778" s="24"/>
      <c r="AB778" s="19"/>
      <c r="AC778" s="19"/>
      <c r="AD778" s="15" t="str">
        <f ca="1">IF(AND($D778&lt;&gt;"",COUNTIF(OFFSET(UFS!$E$2,MATCH($D778&amp;"",UFS!$A$2:$A$175,0)-1,0,COUNTIF(UFS!$A$2:$A$175,$D778&amp;""),1),M778)&gt;0),"Valide","Invalide")</f>
        <v>Valide</v>
      </c>
      <c r="AH778" s="15" t="str">
        <f t="shared" si="12"/>
        <v>En attente</v>
      </c>
    </row>
    <row r="779" spans="1:34" s="15" customFormat="1" ht="45" hidden="1" customHeight="1" x14ac:dyDescent="0.3">
      <c r="A779" s="42">
        <v>780</v>
      </c>
      <c r="B779" s="19" t="s">
        <v>16</v>
      </c>
      <c r="C779" s="19" t="s">
        <v>15</v>
      </c>
      <c r="D779" s="20" t="s">
        <v>473</v>
      </c>
      <c r="E779" s="20" t="s">
        <v>79</v>
      </c>
      <c r="F779" s="21" t="s">
        <v>80</v>
      </c>
      <c r="G779" s="38" t="s">
        <v>81</v>
      </c>
      <c r="H779" s="39" t="s">
        <v>139</v>
      </c>
      <c r="I779" s="39" t="s">
        <v>83</v>
      </c>
      <c r="J779" s="21" t="s">
        <v>268</v>
      </c>
      <c r="K779" s="21" t="s">
        <v>269</v>
      </c>
      <c r="L779" s="21" t="s">
        <v>270</v>
      </c>
      <c r="M779" s="21" t="s">
        <v>269</v>
      </c>
      <c r="N779" s="21" t="s">
        <v>87</v>
      </c>
      <c r="O779" s="20" t="s">
        <v>2733</v>
      </c>
      <c r="P779" s="45">
        <v>45910</v>
      </c>
      <c r="Q779" s="39" t="s">
        <v>2734</v>
      </c>
      <c r="R779" s="19">
        <v>684.99</v>
      </c>
      <c r="S779" s="21">
        <v>0.2</v>
      </c>
      <c r="T779" s="21">
        <v>821.98800000000006</v>
      </c>
      <c r="U779" s="44" t="s">
        <v>2735</v>
      </c>
      <c r="V779" s="22">
        <v>45915</v>
      </c>
      <c r="W779" s="54" t="s">
        <v>91</v>
      </c>
      <c r="X779" s="23"/>
      <c r="Y779" s="23" t="s">
        <v>92</v>
      </c>
      <c r="Z779" s="56" t="s">
        <v>1338</v>
      </c>
      <c r="AA779" s="24">
        <v>859883</v>
      </c>
      <c r="AB779" s="19"/>
      <c r="AC779" s="46" t="s">
        <v>94</v>
      </c>
      <c r="AD779" s="15" t="str">
        <f ca="1">IF(AND($D779&lt;&gt;"",COUNTIF(OFFSET(UFS!$E$2,MATCH($D779&amp;"",UFS!$A$2:$A$175,0)-1,0,COUNTIF(UFS!$A$2:$A$175,$D779&amp;""),1),M779)&gt;0),"Valide","Invalide")</f>
        <v>Valide</v>
      </c>
      <c r="AH779" s="15" t="str">
        <f t="shared" si="12"/>
        <v>En attente</v>
      </c>
    </row>
    <row r="780" spans="1:34" s="15" customFormat="1" ht="45" hidden="1" customHeight="1" x14ac:dyDescent="0.3">
      <c r="A780" s="42">
        <v>781</v>
      </c>
      <c r="B780" s="19" t="s">
        <v>16</v>
      </c>
      <c r="C780" s="19" t="s">
        <v>25</v>
      </c>
      <c r="D780" s="20" t="s">
        <v>200</v>
      </c>
      <c r="E780" s="20" t="s">
        <v>79</v>
      </c>
      <c r="F780" s="21" t="s">
        <v>80</v>
      </c>
      <c r="G780" s="38" t="s">
        <v>81</v>
      </c>
      <c r="H780" s="39" t="s">
        <v>82</v>
      </c>
      <c r="I780" s="39" t="s">
        <v>83</v>
      </c>
      <c r="J780" s="21" t="s">
        <v>144</v>
      </c>
      <c r="K780" s="21" t="s">
        <v>145</v>
      </c>
      <c r="L780" s="21" t="s">
        <v>203</v>
      </c>
      <c r="M780" s="21" t="s">
        <v>109</v>
      </c>
      <c r="N780" s="21" t="s">
        <v>109</v>
      </c>
      <c r="O780" s="20"/>
      <c r="P780" s="19"/>
      <c r="Q780" s="39" t="s">
        <v>2736</v>
      </c>
      <c r="R780" s="19"/>
      <c r="S780" s="21">
        <v>0.2</v>
      </c>
      <c r="T780" s="21"/>
      <c r="U780" s="39"/>
      <c r="V780" s="21"/>
      <c r="W780" s="54"/>
      <c r="X780" s="23"/>
      <c r="Y780" s="23" t="s">
        <v>376</v>
      </c>
      <c r="Z780" s="56"/>
      <c r="AA780" s="24"/>
      <c r="AB780" s="19"/>
      <c r="AC780" s="19"/>
      <c r="AD780" s="15" t="e">
        <f ca="1">IF(AND($D780&lt;&gt;"",COUNTIF(OFFSET(UFS!$E$2,MATCH($D780&amp;"",UFS!$A$2:$A$175,0)-1,0,COUNTIF(UFS!$A$2:$A$175,$D780&amp;""),1),M780)&gt;0),"Valide","Invalide")</f>
        <v>#N/A</v>
      </c>
      <c r="AH780" s="15" t="str">
        <f t="shared" si="12"/>
        <v/>
      </c>
    </row>
    <row r="781" spans="1:34" s="15" customFormat="1" ht="45" hidden="1" customHeight="1" x14ac:dyDescent="0.3">
      <c r="A781" s="42">
        <v>782</v>
      </c>
      <c r="B781" s="19" t="s">
        <v>16</v>
      </c>
      <c r="C781" s="19" t="s">
        <v>30</v>
      </c>
      <c r="D781" s="20" t="s">
        <v>810</v>
      </c>
      <c r="E781" s="20" t="s">
        <v>96</v>
      </c>
      <c r="F781" s="21" t="s">
        <v>80</v>
      </c>
      <c r="G781" s="38"/>
      <c r="H781" s="39"/>
      <c r="I781" s="39"/>
      <c r="J781" s="21" t="s">
        <v>144</v>
      </c>
      <c r="K781" s="21" t="s">
        <v>145</v>
      </c>
      <c r="L781" s="21" t="s">
        <v>146</v>
      </c>
      <c r="M781" s="21" t="s">
        <v>812</v>
      </c>
      <c r="N781" s="21" t="s">
        <v>813</v>
      </c>
      <c r="O781" s="20"/>
      <c r="P781" s="19"/>
      <c r="Q781" s="39" t="s">
        <v>2737</v>
      </c>
      <c r="R781" s="19"/>
      <c r="S781" s="21">
        <v>0.1</v>
      </c>
      <c r="T781" s="21"/>
      <c r="U781" s="39"/>
      <c r="V781" s="21"/>
      <c r="W781" s="54"/>
      <c r="X781" s="23"/>
      <c r="Y781" s="23" t="s">
        <v>347</v>
      </c>
      <c r="Z781" s="56"/>
      <c r="AA781" s="24"/>
      <c r="AB781" s="19"/>
      <c r="AC781" s="19"/>
      <c r="AD781" s="15" t="str">
        <f ca="1">IF(AND($D781&lt;&gt;"",COUNTIF(OFFSET(UFS!$E$2,MATCH($D781&amp;"",UFS!$A$2:$A$175,0)-1,0,COUNTIF(UFS!$A$2:$A$175,$D781&amp;""),1),M781)&gt;0),"Valide","Invalide")</f>
        <v>Valide</v>
      </c>
      <c r="AH781" s="15" t="str">
        <f t="shared" si="12"/>
        <v/>
      </c>
    </row>
    <row r="782" spans="1:34" s="15" customFormat="1" ht="45" hidden="1" customHeight="1" x14ac:dyDescent="0.3">
      <c r="A782" s="42">
        <v>783</v>
      </c>
      <c r="B782" s="19" t="s">
        <v>16</v>
      </c>
      <c r="C782" s="19" t="s">
        <v>35</v>
      </c>
      <c r="D782" s="20" t="s">
        <v>200</v>
      </c>
      <c r="E782" s="20" t="s">
        <v>79</v>
      </c>
      <c r="F782" s="21" t="s">
        <v>80</v>
      </c>
      <c r="G782" s="38" t="s">
        <v>182</v>
      </c>
      <c r="H782" s="39" t="s">
        <v>215</v>
      </c>
      <c r="I782" s="39" t="s">
        <v>83</v>
      </c>
      <c r="J782" s="21" t="s">
        <v>144</v>
      </c>
      <c r="K782" s="21" t="s">
        <v>145</v>
      </c>
      <c r="L782" s="21" t="s">
        <v>203</v>
      </c>
      <c r="M782" s="21" t="s">
        <v>109</v>
      </c>
      <c r="N782" s="21" t="s">
        <v>109</v>
      </c>
      <c r="O782" s="20" t="s">
        <v>2738</v>
      </c>
      <c r="P782" s="45">
        <v>45975</v>
      </c>
      <c r="Q782" s="39" t="s">
        <v>2739</v>
      </c>
      <c r="R782" s="19">
        <v>2099.92</v>
      </c>
      <c r="S782" s="21">
        <v>0.2</v>
      </c>
      <c r="T782" s="21">
        <v>2519.904</v>
      </c>
      <c r="U782" s="44" t="s">
        <v>2740</v>
      </c>
      <c r="V782" s="22">
        <v>45975</v>
      </c>
      <c r="W782" s="54" t="s">
        <v>91</v>
      </c>
      <c r="X782" s="23"/>
      <c r="Y782" s="23" t="s">
        <v>92</v>
      </c>
      <c r="Z782" s="56" t="s">
        <v>1338</v>
      </c>
      <c r="AA782" s="24">
        <v>863651</v>
      </c>
      <c r="AB782" s="19"/>
      <c r="AC782" s="19"/>
      <c r="AD782" s="15" t="e">
        <f ca="1">IF(AND($D782&lt;&gt;"",COUNTIF(OFFSET(UFS!$E$2,MATCH($D782&amp;"",UFS!$A$2:$A$175,0)-1,0,COUNTIF(UFS!$A$2:$A$175,$D782&amp;""),1),M782)&gt;0),"Valide","Invalide")</f>
        <v>#N/A</v>
      </c>
      <c r="AH782" s="15" t="str">
        <f t="shared" si="12"/>
        <v>En attente</v>
      </c>
    </row>
    <row r="783" spans="1:34" s="15" customFormat="1" ht="45" hidden="1" customHeight="1" x14ac:dyDescent="0.3">
      <c r="A783" s="42">
        <v>784</v>
      </c>
      <c r="B783" s="19" t="s">
        <v>24</v>
      </c>
      <c r="C783" s="19" t="s">
        <v>15</v>
      </c>
      <c r="D783" s="20" t="s">
        <v>1726</v>
      </c>
      <c r="E783" s="20" t="s">
        <v>79</v>
      </c>
      <c r="F783" s="21" t="s">
        <v>80</v>
      </c>
      <c r="G783" s="38" t="s">
        <v>81</v>
      </c>
      <c r="H783" s="39" t="s">
        <v>139</v>
      </c>
      <c r="I783" s="39" t="s">
        <v>83</v>
      </c>
      <c r="J783" s="21" t="s">
        <v>124</v>
      </c>
      <c r="K783" s="21" t="s">
        <v>235</v>
      </c>
      <c r="L783" s="21" t="s">
        <v>246</v>
      </c>
      <c r="M783" s="21" t="s">
        <v>284</v>
      </c>
      <c r="N783" s="21" t="s">
        <v>1727</v>
      </c>
      <c r="O783" s="20" t="s">
        <v>2741</v>
      </c>
      <c r="P783" s="45">
        <v>45911</v>
      </c>
      <c r="Q783" s="39" t="s">
        <v>2742</v>
      </c>
      <c r="R783" s="19">
        <v>1093.0999999999999</v>
      </c>
      <c r="S783" s="21">
        <v>0.2</v>
      </c>
      <c r="T783" s="21">
        <v>1311.7199999999998</v>
      </c>
      <c r="U783" s="44" t="s">
        <v>2743</v>
      </c>
      <c r="V783" s="22">
        <v>45912</v>
      </c>
      <c r="W783" s="54" t="s">
        <v>91</v>
      </c>
      <c r="X783" s="23"/>
      <c r="Y783" s="23" t="s">
        <v>92</v>
      </c>
      <c r="Z783" s="56" t="s">
        <v>2744</v>
      </c>
      <c r="AA783" s="24">
        <v>859886</v>
      </c>
      <c r="AB783" s="47">
        <v>45929</v>
      </c>
      <c r="AC783" s="46" t="s">
        <v>94</v>
      </c>
      <c r="AD783" s="15" t="str">
        <f ca="1">IF(AND($D783&lt;&gt;"",COUNTIF(OFFSET(UFS!$E$2,MATCH($D783&amp;"",UFS!$A$2:$A$175,0)-1,0,COUNTIF(UFS!$A$2:$A$175,$D783&amp;""),1),M783)&gt;0),"Valide","Invalide")</f>
        <v>Valide</v>
      </c>
      <c r="AH783" s="15" t="str">
        <f t="shared" si="12"/>
        <v>En attente</v>
      </c>
    </row>
    <row r="784" spans="1:34" s="15" customFormat="1" ht="45" hidden="1" customHeight="1" x14ac:dyDescent="0.3">
      <c r="A784" s="42">
        <v>785</v>
      </c>
      <c r="B784" s="19" t="s">
        <v>4</v>
      </c>
      <c r="C784" s="19" t="s">
        <v>15</v>
      </c>
      <c r="D784" s="20" t="s">
        <v>360</v>
      </c>
      <c r="E784" s="20" t="s">
        <v>79</v>
      </c>
      <c r="F784" s="21" t="s">
        <v>80</v>
      </c>
      <c r="G784" s="38" t="s">
        <v>81</v>
      </c>
      <c r="H784" s="39" t="s">
        <v>139</v>
      </c>
      <c r="I784" s="39" t="s">
        <v>83</v>
      </c>
      <c r="J784" s="21" t="s">
        <v>361</v>
      </c>
      <c r="K784" s="21" t="s">
        <v>362</v>
      </c>
      <c r="L784" s="21" t="s">
        <v>114</v>
      </c>
      <c r="M784" s="21" t="s">
        <v>363</v>
      </c>
      <c r="N784" s="21" t="s">
        <v>151</v>
      </c>
      <c r="O784" s="20" t="s">
        <v>2745</v>
      </c>
      <c r="P784" s="45">
        <v>45912</v>
      </c>
      <c r="Q784" s="39" t="s">
        <v>2746</v>
      </c>
      <c r="R784" s="19">
        <v>859.58</v>
      </c>
      <c r="S784" s="21">
        <v>0.2</v>
      </c>
      <c r="T784" s="21">
        <v>1031.4960000000001</v>
      </c>
      <c r="U784" s="44" t="s">
        <v>675</v>
      </c>
      <c r="V784" s="22">
        <v>45915</v>
      </c>
      <c r="W784" s="54" t="s">
        <v>91</v>
      </c>
      <c r="X784" s="23"/>
      <c r="Y784" s="23" t="s">
        <v>92</v>
      </c>
      <c r="Z784" s="56" t="s">
        <v>1338</v>
      </c>
      <c r="AA784" s="24">
        <v>859887</v>
      </c>
      <c r="AB784" s="19" t="s">
        <v>2747</v>
      </c>
      <c r="AC784" s="46" t="s">
        <v>94</v>
      </c>
      <c r="AD784" s="15" t="str">
        <f ca="1">IF(AND($D784&lt;&gt;"",COUNTIF(OFFSET(UFS!$E$2,MATCH($D784&amp;"",UFS!$A$2:$A$175,0)-1,0,COUNTIF(UFS!$A$2:$A$175,$D784&amp;""),1),M784)&gt;0),"Valide","Invalide")</f>
        <v>Valide</v>
      </c>
      <c r="AH784" s="15" t="str">
        <f t="shared" si="12"/>
        <v>En attente</v>
      </c>
    </row>
    <row r="785" spans="1:34" s="15" customFormat="1" ht="45" hidden="1" customHeight="1" x14ac:dyDescent="0.3">
      <c r="A785" s="42">
        <v>786</v>
      </c>
      <c r="B785" s="19" t="s">
        <v>425</v>
      </c>
      <c r="C785" s="19" t="s">
        <v>896</v>
      </c>
      <c r="D785" s="20" t="s">
        <v>604</v>
      </c>
      <c r="E785" s="20" t="s">
        <v>79</v>
      </c>
      <c r="F785" s="21" t="s">
        <v>80</v>
      </c>
      <c r="G785" s="38" t="s">
        <v>163</v>
      </c>
      <c r="H785" s="39" t="s">
        <v>2748</v>
      </c>
      <c r="I785" s="39"/>
      <c r="J785" s="21" t="s">
        <v>144</v>
      </c>
      <c r="K785" s="21" t="s">
        <v>145</v>
      </c>
      <c r="L785" s="21" t="s">
        <v>146</v>
      </c>
      <c r="M785" s="21" t="s">
        <v>146</v>
      </c>
      <c r="N785" s="21" t="s">
        <v>605</v>
      </c>
      <c r="O785" s="20" t="s">
        <v>2749</v>
      </c>
      <c r="P785" s="45">
        <v>45914</v>
      </c>
      <c r="Q785" s="39" t="s">
        <v>2750</v>
      </c>
      <c r="R785" s="19">
        <v>12400</v>
      </c>
      <c r="S785" s="21">
        <v>0.2</v>
      </c>
      <c r="T785" s="21">
        <v>14880</v>
      </c>
      <c r="U785" s="60" t="s">
        <v>429</v>
      </c>
      <c r="V785" s="22">
        <v>45915</v>
      </c>
      <c r="W785" s="54" t="s">
        <v>91</v>
      </c>
      <c r="X785" s="23" t="s">
        <v>430</v>
      </c>
      <c r="Y785" s="23" t="s">
        <v>376</v>
      </c>
      <c r="Z785" s="56" t="s">
        <v>2751</v>
      </c>
      <c r="AA785" s="24"/>
      <c r="AB785" s="19"/>
      <c r="AC785" s="19"/>
      <c r="AD785" s="15" t="str">
        <f ca="1">IF(AND($D785&lt;&gt;"",COUNTIF(OFFSET(UFS!$E$2,MATCH($D785&amp;"",UFS!$A$2:$A$175,0)-1,0,COUNTIF(UFS!$A$2:$A$175,$D785&amp;""),1),M785)&gt;0),"Valide","Invalide")</f>
        <v>Valide</v>
      </c>
      <c r="AH785" s="15" t="str">
        <f t="shared" si="12"/>
        <v>En attente</v>
      </c>
    </row>
    <row r="786" spans="1:34" s="15" customFormat="1" ht="45" hidden="1" customHeight="1" x14ac:dyDescent="0.3">
      <c r="A786" s="42">
        <v>787</v>
      </c>
      <c r="B786" s="19" t="s">
        <v>16</v>
      </c>
      <c r="C786" s="19" t="s">
        <v>25</v>
      </c>
      <c r="D786" s="20" t="s">
        <v>2033</v>
      </c>
      <c r="E786" s="20" t="s">
        <v>79</v>
      </c>
      <c r="F786" s="21" t="s">
        <v>80</v>
      </c>
      <c r="G786" s="38" t="s">
        <v>81</v>
      </c>
      <c r="H786" s="39" t="s">
        <v>82</v>
      </c>
      <c r="I786" s="39" t="s">
        <v>83</v>
      </c>
      <c r="J786" s="21" t="s">
        <v>144</v>
      </c>
      <c r="K786" s="21" t="s">
        <v>145</v>
      </c>
      <c r="L786" s="21" t="s">
        <v>254</v>
      </c>
      <c r="M786" s="21" t="s">
        <v>255</v>
      </c>
      <c r="N786" s="21" t="s">
        <v>2035</v>
      </c>
      <c r="O786" s="20" t="s">
        <v>2752</v>
      </c>
      <c r="P786" s="45">
        <v>45910</v>
      </c>
      <c r="Q786" s="39" t="s">
        <v>2753</v>
      </c>
      <c r="R786" s="19">
        <v>14729.42</v>
      </c>
      <c r="S786" s="21">
        <v>0.2</v>
      </c>
      <c r="T786" s="21">
        <v>17675.304</v>
      </c>
      <c r="U786" s="44" t="s">
        <v>765</v>
      </c>
      <c r="V786" s="22">
        <v>45915</v>
      </c>
      <c r="W786" s="54" t="s">
        <v>91</v>
      </c>
      <c r="X786" s="23"/>
      <c r="Y786" s="23" t="s">
        <v>92</v>
      </c>
      <c r="Z786" s="56" t="s">
        <v>1338</v>
      </c>
      <c r="AA786" s="24">
        <v>861644</v>
      </c>
      <c r="AB786" s="19"/>
      <c r="AC786" s="46" t="s">
        <v>94</v>
      </c>
      <c r="AD786" s="15" t="str">
        <f ca="1">IF(AND($D786&lt;&gt;"",COUNTIF(OFFSET(UFS!$E$2,MATCH($D786&amp;"",UFS!$A$2:$A$175,0)-1,0,COUNTIF(UFS!$A$2:$A$175,$D786&amp;""),1),M786)&gt;0),"Valide","Invalide")</f>
        <v>Valide</v>
      </c>
      <c r="AH786" s="15" t="str">
        <f t="shared" si="12"/>
        <v>En attente</v>
      </c>
    </row>
    <row r="787" spans="1:34" s="15" customFormat="1" ht="45" hidden="1" customHeight="1" x14ac:dyDescent="0.3">
      <c r="A787" s="42">
        <v>788</v>
      </c>
      <c r="B787" s="19" t="s">
        <v>26</v>
      </c>
      <c r="C787" s="19" t="s">
        <v>35</v>
      </c>
      <c r="D787" s="20" t="s">
        <v>2754</v>
      </c>
      <c r="E787" s="20" t="s">
        <v>79</v>
      </c>
      <c r="F787" s="21" t="s">
        <v>2755</v>
      </c>
      <c r="G787" s="38" t="s">
        <v>182</v>
      </c>
      <c r="H787" s="39" t="s">
        <v>215</v>
      </c>
      <c r="I787" s="39"/>
      <c r="J787" s="21" t="s">
        <v>98</v>
      </c>
      <c r="K787" s="21" t="s">
        <v>859</v>
      </c>
      <c r="L787" s="21" t="s">
        <v>100</v>
      </c>
      <c r="M787" s="21" t="s">
        <v>860</v>
      </c>
      <c r="N787" s="21" t="s">
        <v>2071</v>
      </c>
      <c r="O787" s="20" t="s">
        <v>2756</v>
      </c>
      <c r="P787" s="45">
        <v>45915</v>
      </c>
      <c r="Q787" s="39" t="s">
        <v>2757</v>
      </c>
      <c r="R787" s="19">
        <v>2004.6</v>
      </c>
      <c r="S787" s="21">
        <v>0.2</v>
      </c>
      <c r="T787" s="21">
        <v>2405.52</v>
      </c>
      <c r="U787" s="44" t="s">
        <v>1898</v>
      </c>
      <c r="V787" s="22">
        <v>45915</v>
      </c>
      <c r="W787" s="54" t="s">
        <v>91</v>
      </c>
      <c r="X787" s="23"/>
      <c r="Y787" s="23" t="s">
        <v>92</v>
      </c>
      <c r="Z787" s="56" t="s">
        <v>1338</v>
      </c>
      <c r="AA787" s="24">
        <v>859897</v>
      </c>
      <c r="AB787" s="19"/>
      <c r="AC787" s="46" t="s">
        <v>94</v>
      </c>
      <c r="AD787" s="15" t="str">
        <f ca="1">IF(AND($D787&lt;&gt;"",COUNTIF(OFFSET(UFS!$E$2,MATCH($D787&amp;"",UFS!$A$2:$A$175,0)-1,0,COUNTIF(UFS!$A$2:$A$175,$D787&amp;""),1),M787)&gt;0),"Valide","Invalide")</f>
        <v>Valide</v>
      </c>
      <c r="AH787" s="15" t="str">
        <f t="shared" si="12"/>
        <v>En attente</v>
      </c>
    </row>
    <row r="788" spans="1:34" s="15" customFormat="1" ht="45" hidden="1" customHeight="1" x14ac:dyDescent="0.3">
      <c r="A788" s="42">
        <v>789</v>
      </c>
      <c r="B788" s="19" t="s">
        <v>26</v>
      </c>
      <c r="C788" s="19" t="s">
        <v>11</v>
      </c>
      <c r="D788" s="20" t="s">
        <v>582</v>
      </c>
      <c r="E788" s="20" t="s">
        <v>79</v>
      </c>
      <c r="F788" s="21" t="s">
        <v>80</v>
      </c>
      <c r="G788" s="38" t="s">
        <v>182</v>
      </c>
      <c r="H788" s="39" t="s">
        <v>82</v>
      </c>
      <c r="I788" s="39" t="s">
        <v>83</v>
      </c>
      <c r="J788" s="21" t="s">
        <v>144</v>
      </c>
      <c r="K788" s="21" t="s">
        <v>145</v>
      </c>
      <c r="L788" s="21" t="s">
        <v>328</v>
      </c>
      <c r="M788" s="21" t="s">
        <v>2528</v>
      </c>
      <c r="N788" s="21" t="s">
        <v>102</v>
      </c>
      <c r="O788" s="20" t="s">
        <v>2758</v>
      </c>
      <c r="P788" s="45">
        <v>45910</v>
      </c>
      <c r="Q788" s="39" t="s">
        <v>2759</v>
      </c>
      <c r="R788" s="19">
        <v>6295.58</v>
      </c>
      <c r="S788" s="21">
        <v>0.1</v>
      </c>
      <c r="T788" s="21">
        <v>6925.1379999999999</v>
      </c>
      <c r="U788" s="44" t="s">
        <v>2760</v>
      </c>
      <c r="V788" s="22">
        <v>45915</v>
      </c>
      <c r="W788" s="54" t="s">
        <v>91</v>
      </c>
      <c r="X788" s="23"/>
      <c r="Y788" s="23" t="s">
        <v>92</v>
      </c>
      <c r="Z788" s="113" t="s">
        <v>1338</v>
      </c>
      <c r="AA788" s="24">
        <v>859899</v>
      </c>
      <c r="AB788" s="147">
        <v>45976</v>
      </c>
      <c r="AC788" s="46" t="s">
        <v>94</v>
      </c>
      <c r="AD788" s="15" t="str">
        <f ca="1">IF(AND($D788&lt;&gt;"",COUNTIF(OFFSET(UFS!$E$2,MATCH($D788&amp;"",UFS!$A$2:$A$175,0)-1,0,COUNTIF(UFS!$A$2:$A$175,$D788&amp;""),1),M788)&gt;0),"Valide","Invalide")</f>
        <v>Valide</v>
      </c>
      <c r="AH788" s="15" t="str">
        <f t="shared" si="12"/>
        <v>En attente</v>
      </c>
    </row>
    <row r="789" spans="1:34" s="15" customFormat="1" ht="45" hidden="1" customHeight="1" x14ac:dyDescent="0.3">
      <c r="A789" s="42">
        <v>790</v>
      </c>
      <c r="B789" s="19" t="s">
        <v>26</v>
      </c>
      <c r="C789" s="19" t="s">
        <v>11</v>
      </c>
      <c r="D789" s="20" t="s">
        <v>2033</v>
      </c>
      <c r="E789" s="20" t="s">
        <v>96</v>
      </c>
      <c r="F789" s="21" t="s">
        <v>80</v>
      </c>
      <c r="G789" s="38" t="s">
        <v>320</v>
      </c>
      <c r="H789" s="39"/>
      <c r="I789" s="39"/>
      <c r="J789" s="21" t="s">
        <v>144</v>
      </c>
      <c r="K789" s="21" t="s">
        <v>145</v>
      </c>
      <c r="L789" s="21" t="s">
        <v>254</v>
      </c>
      <c r="M789" s="21" t="s">
        <v>255</v>
      </c>
      <c r="N789" s="21" t="s">
        <v>2035</v>
      </c>
      <c r="O789" s="20" t="s">
        <v>2761</v>
      </c>
      <c r="P789" s="45">
        <v>45915</v>
      </c>
      <c r="Q789" s="39" t="s">
        <v>2762</v>
      </c>
      <c r="R789" s="19">
        <v>574.55999999999995</v>
      </c>
      <c r="S789" s="21">
        <v>0.2</v>
      </c>
      <c r="T789" s="21">
        <v>689.47199999999998</v>
      </c>
      <c r="U789" s="60" t="s">
        <v>2038</v>
      </c>
      <c r="V789" s="22">
        <v>45915</v>
      </c>
      <c r="W789" s="54" t="s">
        <v>91</v>
      </c>
      <c r="X789" s="23"/>
      <c r="Y789" s="23" t="s">
        <v>92</v>
      </c>
      <c r="Z789" s="56" t="s">
        <v>1338</v>
      </c>
      <c r="AA789" s="24">
        <v>859900</v>
      </c>
      <c r="AB789" s="19"/>
      <c r="AC789" s="46" t="s">
        <v>94</v>
      </c>
      <c r="AD789" s="15" t="str">
        <f ca="1">IF(AND($D789&lt;&gt;"",COUNTIF(OFFSET(UFS!$E$2,MATCH($D789&amp;"",UFS!$A$2:$A$175,0)-1,0,COUNTIF(UFS!$A$2:$A$175,$D789&amp;""),1),M789)&gt;0),"Valide","Invalide")</f>
        <v>Valide</v>
      </c>
      <c r="AH789" s="15" t="str">
        <f>IF(T789&lt;&gt;"","En attente","")</f>
        <v>En attente</v>
      </c>
    </row>
    <row r="790" spans="1:34" s="15" customFormat="1" ht="45" hidden="1" customHeight="1" x14ac:dyDescent="0.3">
      <c r="A790" s="42">
        <v>791</v>
      </c>
      <c r="B790" s="19" t="s">
        <v>16</v>
      </c>
      <c r="C790" s="19" t="s">
        <v>28</v>
      </c>
      <c r="D790" s="20" t="s">
        <v>2763</v>
      </c>
      <c r="E790" s="20" t="s">
        <v>79</v>
      </c>
      <c r="F790" s="21" t="s">
        <v>80</v>
      </c>
      <c r="G790" s="38" t="s">
        <v>182</v>
      </c>
      <c r="H790" s="39" t="s">
        <v>82</v>
      </c>
      <c r="I790" s="39" t="s">
        <v>83</v>
      </c>
      <c r="J790" s="21" t="s">
        <v>144</v>
      </c>
      <c r="K790" s="21" t="s">
        <v>145</v>
      </c>
      <c r="L790" s="21" t="s">
        <v>636</v>
      </c>
      <c r="M790" s="21" t="s">
        <v>2764</v>
      </c>
      <c r="N790" s="21" t="s">
        <v>271</v>
      </c>
      <c r="O790" s="20" t="s">
        <v>2765</v>
      </c>
      <c r="P790" s="45">
        <v>45915</v>
      </c>
      <c r="Q790" s="39" t="s">
        <v>2766</v>
      </c>
      <c r="R790" s="19">
        <v>7546.28</v>
      </c>
      <c r="S790" s="21">
        <v>0.2</v>
      </c>
      <c r="T790" s="21">
        <v>9055.5360000000001</v>
      </c>
      <c r="U790" s="44" t="s">
        <v>2767</v>
      </c>
      <c r="V790" s="22">
        <v>45916</v>
      </c>
      <c r="W790" s="54" t="s">
        <v>91</v>
      </c>
      <c r="X790" s="23"/>
      <c r="Y790" s="23" t="s">
        <v>92</v>
      </c>
      <c r="Z790" s="56" t="s">
        <v>1338</v>
      </c>
      <c r="AA790" s="24">
        <v>859927</v>
      </c>
      <c r="AB790" s="19" t="s">
        <v>2440</v>
      </c>
      <c r="AC790" s="46" t="s">
        <v>94</v>
      </c>
      <c r="AD790" s="15" t="str">
        <f ca="1">IF(AND($D790&lt;&gt;"",COUNTIF(OFFSET(UFS!$E$2,MATCH($D790&amp;"",UFS!$A$2:$A$175,0)-1,0,COUNTIF(UFS!$A$2:$A$175,$D790&amp;""),1),M790)&gt;0),"Valide","Invalide")</f>
        <v>Valide</v>
      </c>
      <c r="AH790" s="15" t="str">
        <f t="shared" si="12"/>
        <v>En attente</v>
      </c>
    </row>
    <row r="791" spans="1:34" s="15" customFormat="1" ht="45" hidden="1" customHeight="1" x14ac:dyDescent="0.3">
      <c r="A791" s="42">
        <v>792</v>
      </c>
      <c r="B791" s="19" t="s">
        <v>26</v>
      </c>
      <c r="C791" s="19" t="s">
        <v>30</v>
      </c>
      <c r="D791" s="20" t="s">
        <v>181</v>
      </c>
      <c r="E791" s="20" t="s">
        <v>96</v>
      </c>
      <c r="F791" s="21" t="s">
        <v>80</v>
      </c>
      <c r="G791" s="38" t="s">
        <v>1869</v>
      </c>
      <c r="H791" s="39"/>
      <c r="I791" s="39" t="s">
        <v>1870</v>
      </c>
      <c r="J791" s="21" t="s">
        <v>183</v>
      </c>
      <c r="K791" s="21" t="s">
        <v>184</v>
      </c>
      <c r="L791" s="21" t="s">
        <v>185</v>
      </c>
      <c r="M791" s="21" t="s">
        <v>186</v>
      </c>
      <c r="N791" s="21" t="s">
        <v>102</v>
      </c>
      <c r="O791" s="20" t="s">
        <v>2768</v>
      </c>
      <c r="P791" s="45">
        <v>45827</v>
      </c>
      <c r="Q791" s="39" t="s">
        <v>2769</v>
      </c>
      <c r="R791" s="19">
        <v>18035.72</v>
      </c>
      <c r="S791" s="21">
        <v>0.1</v>
      </c>
      <c r="T791" s="21">
        <v>19839.292000000001</v>
      </c>
      <c r="U791" s="44" t="s">
        <v>2770</v>
      </c>
      <c r="V791" s="22">
        <v>45916</v>
      </c>
      <c r="W791" s="54" t="s">
        <v>91</v>
      </c>
      <c r="X791" s="23"/>
      <c r="Y791" s="23" t="s">
        <v>92</v>
      </c>
      <c r="Z791" s="56" t="s">
        <v>1338</v>
      </c>
      <c r="AA791" s="24">
        <v>859928</v>
      </c>
      <c r="AB791" s="45">
        <v>45964</v>
      </c>
      <c r="AC791" s="49" t="s">
        <v>161</v>
      </c>
      <c r="AD791" s="15" t="str">
        <f ca="1">IF(AND($D791&lt;&gt;"",COUNTIF(OFFSET(UFS!$E$2,MATCH($D791&amp;"",UFS!$A$2:$A$175,0)-1,0,COUNTIF(UFS!$A$2:$A$175,$D791&amp;""),1),M791)&gt;0),"Valide","Invalide")</f>
        <v>Valide</v>
      </c>
      <c r="AH791" s="15" t="str">
        <f t="shared" si="12"/>
        <v>En attente</v>
      </c>
    </row>
    <row r="792" spans="1:34" s="15" customFormat="1" ht="45" hidden="1" customHeight="1" x14ac:dyDescent="0.3">
      <c r="A792" s="42">
        <v>793</v>
      </c>
      <c r="B792" s="19" t="s">
        <v>26</v>
      </c>
      <c r="C792" s="19" t="s">
        <v>15</v>
      </c>
      <c r="D792" s="20" t="s">
        <v>181</v>
      </c>
      <c r="E792" s="20" t="s">
        <v>96</v>
      </c>
      <c r="F792" s="21" t="s">
        <v>80</v>
      </c>
      <c r="G792" s="38" t="s">
        <v>1869</v>
      </c>
      <c r="H792" s="39"/>
      <c r="I792" s="39" t="s">
        <v>1870</v>
      </c>
      <c r="J792" s="21" t="s">
        <v>183</v>
      </c>
      <c r="K792" s="21" t="s">
        <v>184</v>
      </c>
      <c r="L792" s="21" t="s">
        <v>185</v>
      </c>
      <c r="M792" s="21" t="s">
        <v>186</v>
      </c>
      <c r="N792" s="21" t="s">
        <v>102</v>
      </c>
      <c r="O792" s="20" t="s">
        <v>2771</v>
      </c>
      <c r="P792" s="45">
        <v>45902</v>
      </c>
      <c r="Q792" s="39" t="s">
        <v>2769</v>
      </c>
      <c r="R792" s="19">
        <v>8556.9599999999991</v>
      </c>
      <c r="S792" s="21">
        <v>0.1</v>
      </c>
      <c r="T792" s="21">
        <v>9412.655999999999</v>
      </c>
      <c r="U792" s="44" t="s">
        <v>2770</v>
      </c>
      <c r="V792" s="22">
        <v>45916</v>
      </c>
      <c r="W792" s="54" t="s">
        <v>91</v>
      </c>
      <c r="X792" s="23"/>
      <c r="Y792" s="23" t="s">
        <v>92</v>
      </c>
      <c r="Z792" s="56" t="s">
        <v>1338</v>
      </c>
      <c r="AA792" s="24">
        <v>859935</v>
      </c>
      <c r="AB792" s="45">
        <v>45964</v>
      </c>
      <c r="AC792" s="46" t="s">
        <v>94</v>
      </c>
      <c r="AD792" s="15" t="str">
        <f ca="1">IF(AND($D792&lt;&gt;"",COUNTIF(OFFSET(UFS!$E$2,MATCH($D792&amp;"",UFS!$A$2:$A$175,0)-1,0,COUNTIF(UFS!$A$2:$A$175,$D792&amp;""),1),M792)&gt;0),"Valide","Invalide")</f>
        <v>Valide</v>
      </c>
      <c r="AH792" s="15" t="str">
        <f t="shared" si="12"/>
        <v>En attente</v>
      </c>
    </row>
    <row r="793" spans="1:34" s="15" customFormat="1" ht="45" hidden="1" customHeight="1" x14ac:dyDescent="0.3">
      <c r="A793" s="42">
        <v>794</v>
      </c>
      <c r="B793" s="19" t="s">
        <v>26</v>
      </c>
      <c r="C793" s="19" t="s">
        <v>35</v>
      </c>
      <c r="D793" s="20" t="s">
        <v>181</v>
      </c>
      <c r="E793" s="20" t="s">
        <v>96</v>
      </c>
      <c r="F793" s="21" t="s">
        <v>80</v>
      </c>
      <c r="G793" s="38" t="s">
        <v>1869</v>
      </c>
      <c r="H793" s="39"/>
      <c r="I793" s="39" t="s">
        <v>1870</v>
      </c>
      <c r="J793" s="21" t="s">
        <v>183</v>
      </c>
      <c r="K793" s="21" t="s">
        <v>184</v>
      </c>
      <c r="L793" s="21" t="s">
        <v>185</v>
      </c>
      <c r="M793" s="21" t="s">
        <v>186</v>
      </c>
      <c r="N793" s="21" t="s">
        <v>102</v>
      </c>
      <c r="O793" s="20" t="s">
        <v>2772</v>
      </c>
      <c r="P793" s="45">
        <v>45911</v>
      </c>
      <c r="Q793" s="39" t="s">
        <v>2769</v>
      </c>
      <c r="R793" s="19">
        <v>1151.23</v>
      </c>
      <c r="S793" s="21">
        <v>0.1</v>
      </c>
      <c r="T793" s="21">
        <v>1266.3530000000001</v>
      </c>
      <c r="U793" s="44" t="s">
        <v>2770</v>
      </c>
      <c r="V793" s="22">
        <v>45916</v>
      </c>
      <c r="W793" s="54" t="s">
        <v>91</v>
      </c>
      <c r="X793" s="23"/>
      <c r="Y793" s="23" t="s">
        <v>92</v>
      </c>
      <c r="Z793" s="56" t="s">
        <v>1338</v>
      </c>
      <c r="AA793" s="24">
        <v>859936</v>
      </c>
      <c r="AB793" s="45">
        <v>45964</v>
      </c>
      <c r="AC793" s="46" t="s">
        <v>94</v>
      </c>
      <c r="AD793" s="15" t="str">
        <f ca="1">IF(AND($D793&lt;&gt;"",COUNTIF(OFFSET(UFS!$E$2,MATCH($D793&amp;"",UFS!$A$2:$A$175,0)-1,0,COUNTIF(UFS!$A$2:$A$175,$D793&amp;""),1),M793)&gt;0),"Valide","Invalide")</f>
        <v>Valide</v>
      </c>
      <c r="AH793" s="15" t="str">
        <f t="shared" si="12"/>
        <v>En attente</v>
      </c>
    </row>
    <row r="794" spans="1:34" s="15" customFormat="1" ht="45" hidden="1" customHeight="1" x14ac:dyDescent="0.3">
      <c r="A794" s="42">
        <v>795</v>
      </c>
      <c r="B794" s="19" t="s">
        <v>26</v>
      </c>
      <c r="C794" s="19" t="s">
        <v>11</v>
      </c>
      <c r="D794" s="20" t="s">
        <v>181</v>
      </c>
      <c r="E794" s="20" t="s">
        <v>96</v>
      </c>
      <c r="F794" s="21" t="s">
        <v>80</v>
      </c>
      <c r="G794" s="38" t="s">
        <v>1869</v>
      </c>
      <c r="H794" s="39"/>
      <c r="I794" s="39" t="s">
        <v>1870</v>
      </c>
      <c r="J794" s="21" t="s">
        <v>183</v>
      </c>
      <c r="K794" s="21" t="s">
        <v>184</v>
      </c>
      <c r="L794" s="21" t="s">
        <v>185</v>
      </c>
      <c r="M794" s="21" t="s">
        <v>186</v>
      </c>
      <c r="N794" s="21" t="s">
        <v>102</v>
      </c>
      <c r="O794" s="20" t="s">
        <v>2773</v>
      </c>
      <c r="P794" s="45">
        <v>45915</v>
      </c>
      <c r="Q794" s="39" t="s">
        <v>2769</v>
      </c>
      <c r="R794" s="19">
        <v>1657.86</v>
      </c>
      <c r="S794" s="21">
        <v>0.1</v>
      </c>
      <c r="T794" s="21">
        <v>1823.646</v>
      </c>
      <c r="U794" s="44" t="s">
        <v>2770</v>
      </c>
      <c r="V794" s="22">
        <v>45916</v>
      </c>
      <c r="W794" s="54" t="s">
        <v>91</v>
      </c>
      <c r="X794" s="23"/>
      <c r="Y794" s="23" t="s">
        <v>92</v>
      </c>
      <c r="Z794" s="56" t="s">
        <v>1338</v>
      </c>
      <c r="AA794" s="24">
        <v>859937</v>
      </c>
      <c r="AB794" s="45">
        <v>45964</v>
      </c>
      <c r="AC794" s="46" t="s">
        <v>94</v>
      </c>
      <c r="AD794" s="15" t="str">
        <f ca="1">IF(AND($D794&lt;&gt;"",COUNTIF(OFFSET(UFS!$E$2,MATCH($D794&amp;"",UFS!$A$2:$A$175,0)-1,0,COUNTIF(UFS!$A$2:$A$175,$D794&amp;""),1),M794)&gt;0),"Valide","Invalide")</f>
        <v>Valide</v>
      </c>
      <c r="AH794" s="15" t="str">
        <f t="shared" si="12"/>
        <v>En attente</v>
      </c>
    </row>
    <row r="795" spans="1:34" s="15" customFormat="1" ht="45" hidden="1" customHeight="1" x14ac:dyDescent="0.3">
      <c r="A795" s="42">
        <v>796</v>
      </c>
      <c r="B795" s="19" t="s">
        <v>709</v>
      </c>
      <c r="C795" s="19" t="s">
        <v>23</v>
      </c>
      <c r="D795" s="20" t="s">
        <v>181</v>
      </c>
      <c r="E795" s="20" t="s">
        <v>79</v>
      </c>
      <c r="F795" s="21" t="s">
        <v>80</v>
      </c>
      <c r="G795" s="38" t="s">
        <v>241</v>
      </c>
      <c r="H795" s="39" t="s">
        <v>643</v>
      </c>
      <c r="I795" s="39" t="s">
        <v>644</v>
      </c>
      <c r="J795" s="21" t="s">
        <v>183</v>
      </c>
      <c r="K795" s="21" t="s">
        <v>184</v>
      </c>
      <c r="L795" s="21" t="s">
        <v>109</v>
      </c>
      <c r="M795" s="21" t="s">
        <v>184</v>
      </c>
      <c r="N795" s="21" t="s">
        <v>109</v>
      </c>
      <c r="O795" s="20" t="s">
        <v>2774</v>
      </c>
      <c r="P795" s="45">
        <v>45915</v>
      </c>
      <c r="Q795" s="39" t="s">
        <v>2775</v>
      </c>
      <c r="R795" s="19">
        <v>126.6</v>
      </c>
      <c r="S795" s="21">
        <v>0.1</v>
      </c>
      <c r="T795" s="21">
        <v>139.26</v>
      </c>
      <c r="U795" s="60" t="s">
        <v>2776</v>
      </c>
      <c r="V795" s="21"/>
      <c r="W795" s="54" t="s">
        <v>91</v>
      </c>
      <c r="X795" s="23"/>
      <c r="Y795" s="23" t="s">
        <v>92</v>
      </c>
      <c r="Z795" s="56" t="s">
        <v>1338</v>
      </c>
      <c r="AA795" s="24">
        <v>859938</v>
      </c>
      <c r="AB795" s="19"/>
      <c r="AC795" s="19"/>
      <c r="AD795" s="15" t="str">
        <f ca="1">IF(AND($D795&lt;&gt;"",COUNTIF(OFFSET(UFS!$E$2,MATCH($D795&amp;"",UFS!$A$2:$A$175,0)-1,0,COUNTIF(UFS!$A$2:$A$175,$D795&amp;""),1),M795)&gt;0),"Valide","Invalide")</f>
        <v>Invalide</v>
      </c>
      <c r="AH795" s="15" t="str">
        <f t="shared" si="12"/>
        <v>En attente</v>
      </c>
    </row>
    <row r="796" spans="1:34" s="15" customFormat="1" ht="45" hidden="1" customHeight="1" x14ac:dyDescent="0.3">
      <c r="A796" s="42">
        <v>797</v>
      </c>
      <c r="B796" s="19" t="s">
        <v>26</v>
      </c>
      <c r="C796" s="19" t="s">
        <v>32</v>
      </c>
      <c r="D796" s="20" t="s">
        <v>743</v>
      </c>
      <c r="E796" s="20" t="s">
        <v>79</v>
      </c>
      <c r="F796" s="21" t="s">
        <v>80</v>
      </c>
      <c r="G796" s="38" t="s">
        <v>81</v>
      </c>
      <c r="H796" s="39" t="s">
        <v>211</v>
      </c>
      <c r="I796" s="39" t="s">
        <v>83</v>
      </c>
      <c r="J796" s="21" t="s">
        <v>407</v>
      </c>
      <c r="K796" s="21" t="s">
        <v>744</v>
      </c>
      <c r="L796" s="21" t="s">
        <v>100</v>
      </c>
      <c r="M796" s="21" t="s">
        <v>744</v>
      </c>
      <c r="N796" s="21" t="s">
        <v>151</v>
      </c>
      <c r="O796" s="20" t="s">
        <v>2777</v>
      </c>
      <c r="P796" s="45">
        <v>45846</v>
      </c>
      <c r="Q796" s="39" t="s">
        <v>2778</v>
      </c>
      <c r="R796" s="19">
        <v>3134.27</v>
      </c>
      <c r="S796" s="21">
        <v>0.2</v>
      </c>
      <c r="T796" s="21">
        <v>3761.1239999999998</v>
      </c>
      <c r="U796" s="44" t="s">
        <v>2779</v>
      </c>
      <c r="V796" s="22">
        <v>45916</v>
      </c>
      <c r="W796" s="54" t="s">
        <v>91</v>
      </c>
      <c r="X796" s="23"/>
      <c r="Y796" s="23" t="s">
        <v>92</v>
      </c>
      <c r="Z796" s="56" t="s">
        <v>1338</v>
      </c>
      <c r="AA796" s="24">
        <v>859939</v>
      </c>
      <c r="AB796" s="47">
        <v>45978</v>
      </c>
      <c r="AC796" s="19"/>
      <c r="AD796" s="15" t="str">
        <f ca="1">IF(AND($D796&lt;&gt;"",COUNTIF(OFFSET(UFS!$E$2,MATCH($D796&amp;"",UFS!$A$2:$A$175,0)-1,0,COUNTIF(UFS!$A$2:$A$175,$D796&amp;""),1),M796)&gt;0),"Valide","Invalide")</f>
        <v>Valide</v>
      </c>
      <c r="AH796" s="15" t="str">
        <f t="shared" si="12"/>
        <v>En attente</v>
      </c>
    </row>
    <row r="797" spans="1:34" s="15" customFormat="1" ht="45" hidden="1" customHeight="1" x14ac:dyDescent="0.3">
      <c r="A797" s="42">
        <v>798</v>
      </c>
      <c r="B797" s="19" t="s">
        <v>16</v>
      </c>
      <c r="C797" s="19" t="s">
        <v>11</v>
      </c>
      <c r="D797" s="20" t="s">
        <v>1513</v>
      </c>
      <c r="E797" s="20" t="s">
        <v>96</v>
      </c>
      <c r="F797" s="21" t="s">
        <v>80</v>
      </c>
      <c r="G797" s="38" t="s">
        <v>169</v>
      </c>
      <c r="H797" s="39"/>
      <c r="I797" s="39"/>
      <c r="J797" s="21" t="s">
        <v>144</v>
      </c>
      <c r="K797" s="21" t="s">
        <v>145</v>
      </c>
      <c r="L797" s="21" t="s">
        <v>499</v>
      </c>
      <c r="M797" s="21" t="s">
        <v>1514</v>
      </c>
      <c r="N797" s="21" t="s">
        <v>529</v>
      </c>
      <c r="O797" s="20" t="s">
        <v>2780</v>
      </c>
      <c r="P797" s="45">
        <v>45916</v>
      </c>
      <c r="Q797" s="39" t="s">
        <v>2781</v>
      </c>
      <c r="R797" s="19">
        <v>4577.25</v>
      </c>
      <c r="S797" s="21">
        <v>0.1</v>
      </c>
      <c r="T797" s="21">
        <v>5034.9750000000004</v>
      </c>
      <c r="U797" s="60" t="s">
        <v>2782</v>
      </c>
      <c r="V797" s="22">
        <v>45917</v>
      </c>
      <c r="W797" s="54" t="s">
        <v>91</v>
      </c>
      <c r="X797" s="23"/>
      <c r="Y797" s="23" t="s">
        <v>92</v>
      </c>
      <c r="Z797" s="56" t="s">
        <v>2783</v>
      </c>
      <c r="AA797" s="24">
        <v>859995</v>
      </c>
      <c r="AB797" s="47">
        <v>45950</v>
      </c>
      <c r="AC797" s="46" t="s">
        <v>94</v>
      </c>
      <c r="AD797" s="15" t="str">
        <f ca="1">IF(AND($D797&lt;&gt;"",COUNTIF(OFFSET(UFS!$E$2,MATCH($D797&amp;"",UFS!$A$2:$A$175,0)-1,0,COUNTIF(UFS!$A$2:$A$175,$D797&amp;""),1),M797)&gt;0),"Valide","Invalide")</f>
        <v>Valide</v>
      </c>
      <c r="AH797" s="15" t="str">
        <f t="shared" si="12"/>
        <v>En attente</v>
      </c>
    </row>
    <row r="798" spans="1:34" s="15" customFormat="1" ht="45" hidden="1" customHeight="1" x14ac:dyDescent="0.3">
      <c r="A798" s="42">
        <v>799</v>
      </c>
      <c r="B798" s="19" t="s">
        <v>24</v>
      </c>
      <c r="C798" s="19" t="s">
        <v>15</v>
      </c>
      <c r="D798" s="20" t="s">
        <v>432</v>
      </c>
      <c r="E798" s="20" t="s">
        <v>96</v>
      </c>
      <c r="F798" s="21" t="s">
        <v>433</v>
      </c>
      <c r="G798" s="38" t="s">
        <v>97</v>
      </c>
      <c r="H798" s="39"/>
      <c r="I798" s="39" t="s">
        <v>2784</v>
      </c>
      <c r="J798" s="21" t="s">
        <v>144</v>
      </c>
      <c r="K798" s="21" t="s">
        <v>145</v>
      </c>
      <c r="L798" s="21" t="s">
        <v>434</v>
      </c>
      <c r="M798" s="21" t="s">
        <v>435</v>
      </c>
      <c r="N798" s="21" t="s">
        <v>436</v>
      </c>
      <c r="O798" s="20" t="s">
        <v>2785</v>
      </c>
      <c r="P798" s="45">
        <v>45576</v>
      </c>
      <c r="Q798" s="39" t="s">
        <v>2786</v>
      </c>
      <c r="R798" s="19">
        <v>3119.72</v>
      </c>
      <c r="S798" s="21">
        <v>0.1</v>
      </c>
      <c r="T798" s="21">
        <v>3431.692</v>
      </c>
      <c r="U798" s="60" t="s">
        <v>2787</v>
      </c>
      <c r="V798" s="22">
        <v>45917</v>
      </c>
      <c r="W798" s="54" t="s">
        <v>91</v>
      </c>
      <c r="X798" s="23"/>
      <c r="Y798" s="23" t="s">
        <v>92</v>
      </c>
      <c r="Z798" s="82" t="s">
        <v>2788</v>
      </c>
      <c r="AA798" s="24">
        <v>860002</v>
      </c>
      <c r="AB798" s="19" t="s">
        <v>2789</v>
      </c>
      <c r="AC798" s="46" t="s">
        <v>94</v>
      </c>
      <c r="AD798" s="15" t="str">
        <f ca="1">IF(AND($D798&lt;&gt;"",COUNTIF(OFFSET(UFS!$E$2,MATCH($D798&amp;"",UFS!$A$2:$A$175,0)-1,0,COUNTIF(UFS!$A$2:$A$175,$D798&amp;""),1),M798)&gt;0),"Valide","Invalide")</f>
        <v>Valide</v>
      </c>
      <c r="AH798" s="15" t="str">
        <f t="shared" si="12"/>
        <v>En attente</v>
      </c>
    </row>
    <row r="799" spans="1:34" s="15" customFormat="1" ht="45" hidden="1" customHeight="1" x14ac:dyDescent="0.3">
      <c r="A799" s="42">
        <v>800</v>
      </c>
      <c r="B799" s="19" t="s">
        <v>4</v>
      </c>
      <c r="C799" s="19" t="s">
        <v>15</v>
      </c>
      <c r="D799" s="20" t="s">
        <v>1090</v>
      </c>
      <c r="E799" s="20" t="s">
        <v>79</v>
      </c>
      <c r="F799" s="21" t="s">
        <v>80</v>
      </c>
      <c r="G799" s="38" t="s">
        <v>81</v>
      </c>
      <c r="H799" s="39" t="s">
        <v>139</v>
      </c>
      <c r="I799" s="39" t="s">
        <v>83</v>
      </c>
      <c r="J799" s="21" t="s">
        <v>144</v>
      </c>
      <c r="K799" s="21" t="s">
        <v>145</v>
      </c>
      <c r="L799" s="21" t="s">
        <v>636</v>
      </c>
      <c r="M799" s="21" t="s">
        <v>1091</v>
      </c>
      <c r="N799" s="21" t="s">
        <v>102</v>
      </c>
      <c r="O799" s="20" t="s">
        <v>2790</v>
      </c>
      <c r="P799" s="45">
        <v>45917</v>
      </c>
      <c r="Q799" s="39" t="s">
        <v>2791</v>
      </c>
      <c r="R799" s="19">
        <v>834.56</v>
      </c>
      <c r="S799" s="21">
        <v>0.1</v>
      </c>
      <c r="T799" s="21">
        <v>918.01599999999996</v>
      </c>
      <c r="U799" s="60" t="s">
        <v>675</v>
      </c>
      <c r="V799" s="22">
        <v>45917</v>
      </c>
      <c r="W799" s="54" t="s">
        <v>91</v>
      </c>
      <c r="X799" s="23"/>
      <c r="Y799" s="23" t="s">
        <v>92</v>
      </c>
      <c r="Z799" s="76" t="s">
        <v>2792</v>
      </c>
      <c r="AA799" s="24">
        <v>860044</v>
      </c>
      <c r="AB799" s="19" t="s">
        <v>2793</v>
      </c>
      <c r="AC799" s="19"/>
      <c r="AD799" s="15" t="str">
        <f ca="1">IF(AND($D799&lt;&gt;"",COUNTIF(OFFSET(UFS!$E$2,MATCH($D799&amp;"",UFS!$A$2:$A$175,0)-1,0,COUNTIF(UFS!$A$2:$A$175,$D799&amp;""),1),M799)&gt;0),"Valide","Invalide")</f>
        <v>Valide</v>
      </c>
      <c r="AH799" s="15" t="str">
        <f t="shared" si="12"/>
        <v>En attente</v>
      </c>
    </row>
    <row r="800" spans="1:34" s="15" customFormat="1" ht="45" hidden="1" customHeight="1" x14ac:dyDescent="0.3">
      <c r="A800" s="42">
        <v>801</v>
      </c>
      <c r="B800" s="19" t="s">
        <v>20</v>
      </c>
      <c r="C800" s="19" t="s">
        <v>7</v>
      </c>
      <c r="D800" s="20" t="s">
        <v>200</v>
      </c>
      <c r="E800" s="20" t="s">
        <v>79</v>
      </c>
      <c r="F800" s="21" t="s">
        <v>80</v>
      </c>
      <c r="G800" s="38" t="s">
        <v>241</v>
      </c>
      <c r="H800" s="39" t="s">
        <v>261</v>
      </c>
      <c r="I800" s="39"/>
      <c r="J800" s="21" t="s">
        <v>144</v>
      </c>
      <c r="K800" s="21" t="s">
        <v>145</v>
      </c>
      <c r="L800" s="21" t="s">
        <v>203</v>
      </c>
      <c r="M800" s="21" t="s">
        <v>109</v>
      </c>
      <c r="N800" s="21" t="s">
        <v>109</v>
      </c>
      <c r="O800" s="20" t="s">
        <v>2794</v>
      </c>
      <c r="P800" s="45">
        <v>45908</v>
      </c>
      <c r="Q800" s="39" t="s">
        <v>2795</v>
      </c>
      <c r="R800" s="19">
        <v>4143.5</v>
      </c>
      <c r="S800" s="21">
        <v>0.2</v>
      </c>
      <c r="T800" s="21">
        <v>4972.2</v>
      </c>
      <c r="U800" s="44" t="s">
        <v>265</v>
      </c>
      <c r="V800" s="22">
        <v>45917</v>
      </c>
      <c r="W800" s="54" t="s">
        <v>91</v>
      </c>
      <c r="X800" s="23"/>
      <c r="Y800" s="23" t="s">
        <v>92</v>
      </c>
      <c r="Z800" s="56" t="s">
        <v>928</v>
      </c>
      <c r="AA800" s="24">
        <v>860220</v>
      </c>
      <c r="AB800" s="19"/>
      <c r="AC800" s="46" t="s">
        <v>94</v>
      </c>
      <c r="AD800" s="15" t="e">
        <f ca="1">IF(AND($D800&lt;&gt;"",COUNTIF(OFFSET(UFS!$E$2,MATCH($D800&amp;"",UFS!$A$2:$A$175,0)-1,0,COUNTIF(UFS!$A$2:$A$175,$D800&amp;""),1),M800)&gt;0),"Valide","Invalide")</f>
        <v>#N/A</v>
      </c>
      <c r="AH800" s="15" t="str">
        <f t="shared" si="12"/>
        <v>En attente</v>
      </c>
    </row>
    <row r="801" spans="1:34" s="15" customFormat="1" ht="45" hidden="1" customHeight="1" x14ac:dyDescent="0.3">
      <c r="A801" s="42">
        <v>802</v>
      </c>
      <c r="B801" s="19" t="s">
        <v>24</v>
      </c>
      <c r="C801" s="19" t="s">
        <v>15</v>
      </c>
      <c r="D801" s="20" t="s">
        <v>699</v>
      </c>
      <c r="E801" s="20" t="s">
        <v>79</v>
      </c>
      <c r="F801" s="21" t="s">
        <v>80</v>
      </c>
      <c r="G801" s="38" t="s">
        <v>182</v>
      </c>
      <c r="H801" s="39" t="s">
        <v>577</v>
      </c>
      <c r="I801" s="39" t="s">
        <v>83</v>
      </c>
      <c r="J801" s="21" t="s">
        <v>700</v>
      </c>
      <c r="K801" s="21" t="s">
        <v>701</v>
      </c>
      <c r="L801" s="21" t="s">
        <v>114</v>
      </c>
      <c r="M801" s="21" t="s">
        <v>702</v>
      </c>
      <c r="N801" s="21" t="s">
        <v>151</v>
      </c>
      <c r="O801" s="20" t="s">
        <v>2796</v>
      </c>
      <c r="P801" s="45">
        <v>45699</v>
      </c>
      <c r="Q801" s="39" t="s">
        <v>2797</v>
      </c>
      <c r="R801" s="19">
        <v>1724.71</v>
      </c>
      <c r="S801" s="21">
        <v>0.2</v>
      </c>
      <c r="T801" s="21">
        <v>2069.652</v>
      </c>
      <c r="U801" s="44" t="s">
        <v>2798</v>
      </c>
      <c r="V801" s="22">
        <v>45918</v>
      </c>
      <c r="W801" s="54" t="s">
        <v>91</v>
      </c>
      <c r="X801" s="23"/>
      <c r="Y801" s="23" t="s">
        <v>92</v>
      </c>
      <c r="Z801" s="56" t="s">
        <v>928</v>
      </c>
      <c r="AA801" s="24">
        <v>860011</v>
      </c>
      <c r="AB801" s="19" t="s">
        <v>2799</v>
      </c>
      <c r="AC801" s="46" t="s">
        <v>94</v>
      </c>
      <c r="AD801" s="15" t="str">
        <f ca="1">IF(AND($D801&lt;&gt;"",COUNTIF(OFFSET(UFS!$E$2,MATCH($D801&amp;"",UFS!$A$2:$A$175,0)-1,0,COUNTIF(UFS!$A$2:$A$175,$D801&amp;""),1),M801)&gt;0),"Valide","Invalide")</f>
        <v>Valide</v>
      </c>
      <c r="AH801" s="15" t="str">
        <f t="shared" si="12"/>
        <v>En attente</v>
      </c>
    </row>
    <row r="802" spans="1:34" s="15" customFormat="1" ht="45" hidden="1" customHeight="1" x14ac:dyDescent="0.3">
      <c r="A802" s="42">
        <v>803</v>
      </c>
      <c r="B802" s="19" t="s">
        <v>16</v>
      </c>
      <c r="C802" s="19" t="s">
        <v>2800</v>
      </c>
      <c r="D802" s="20" t="s">
        <v>2801</v>
      </c>
      <c r="E802" s="20" t="s">
        <v>79</v>
      </c>
      <c r="F802" s="21" t="s">
        <v>80</v>
      </c>
      <c r="G802" s="38" t="s">
        <v>81</v>
      </c>
      <c r="H802" s="39"/>
      <c r="I802" s="39"/>
      <c r="J802" s="21" t="s">
        <v>634</v>
      </c>
      <c r="K802" s="21" t="s">
        <v>635</v>
      </c>
      <c r="L802" s="21" t="s">
        <v>636</v>
      </c>
      <c r="M802" s="21" t="s">
        <v>637</v>
      </c>
      <c r="N802" s="21" t="s">
        <v>87</v>
      </c>
      <c r="O802" s="20" t="s">
        <v>2802</v>
      </c>
      <c r="P802" s="45">
        <v>45917</v>
      </c>
      <c r="Q802" s="39" t="s">
        <v>2803</v>
      </c>
      <c r="R802" s="19">
        <v>1711</v>
      </c>
      <c r="S802" s="21">
        <v>0.2</v>
      </c>
      <c r="T802" s="21">
        <v>2053.1999999999998</v>
      </c>
      <c r="U802" s="60" t="s">
        <v>2804</v>
      </c>
      <c r="V802" s="22">
        <v>45918</v>
      </c>
      <c r="W802" s="54" t="s">
        <v>91</v>
      </c>
      <c r="X802" s="23"/>
      <c r="Y802" s="23" t="s">
        <v>92</v>
      </c>
      <c r="Z802" s="56" t="s">
        <v>1338</v>
      </c>
      <c r="AA802" s="24">
        <v>860015</v>
      </c>
      <c r="AB802" s="19"/>
      <c r="AC802" s="46" t="s">
        <v>94</v>
      </c>
      <c r="AD802" s="15" t="str">
        <f ca="1">IF(AND($D802&lt;&gt;"",COUNTIF(OFFSET(UFS!$E$2,MATCH($D802&amp;"",UFS!$A$2:$A$175,0)-1,0,COUNTIF(UFS!$A$2:$A$175,$D802&amp;""),1),M802)&gt;0),"Valide","Invalide")</f>
        <v>Valide</v>
      </c>
      <c r="AH802" s="15" t="str">
        <f t="shared" si="12"/>
        <v>En attente</v>
      </c>
    </row>
    <row r="803" spans="1:34" s="15" customFormat="1" ht="45" hidden="1" customHeight="1" x14ac:dyDescent="0.3">
      <c r="A803" s="42">
        <v>804</v>
      </c>
      <c r="B803" s="19" t="s">
        <v>709</v>
      </c>
      <c r="C803" s="19" t="s">
        <v>23</v>
      </c>
      <c r="D803" s="20" t="s">
        <v>598</v>
      </c>
      <c r="E803" s="20" t="s">
        <v>79</v>
      </c>
      <c r="F803" s="21" t="s">
        <v>80</v>
      </c>
      <c r="G803" s="38" t="s">
        <v>241</v>
      </c>
      <c r="H803" s="39" t="s">
        <v>643</v>
      </c>
      <c r="I803" s="39" t="s">
        <v>644</v>
      </c>
      <c r="J803" s="21" t="s">
        <v>183</v>
      </c>
      <c r="K803" s="21" t="s">
        <v>184</v>
      </c>
      <c r="L803" s="21" t="s">
        <v>492</v>
      </c>
      <c r="M803" s="21" t="s">
        <v>186</v>
      </c>
      <c r="N803" s="21" t="s">
        <v>102</v>
      </c>
      <c r="O803" s="20" t="s">
        <v>2805</v>
      </c>
      <c r="P803" s="45">
        <v>45912</v>
      </c>
      <c r="Q803" s="39" t="s">
        <v>2806</v>
      </c>
      <c r="R803" s="19">
        <v>480.95</v>
      </c>
      <c r="S803" s="21">
        <v>0.1</v>
      </c>
      <c r="T803" s="21">
        <v>529.04999999999995</v>
      </c>
      <c r="U803" s="60" t="s">
        <v>2807</v>
      </c>
      <c r="V803" s="21"/>
      <c r="W803" s="54" t="s">
        <v>91</v>
      </c>
      <c r="X803" s="23"/>
      <c r="Y803" s="23" t="s">
        <v>92</v>
      </c>
      <c r="Z803" s="56" t="s">
        <v>928</v>
      </c>
      <c r="AA803" s="24">
        <v>860033</v>
      </c>
      <c r="AB803" s="19"/>
      <c r="AC803" s="19"/>
      <c r="AD803" s="15" t="str">
        <f ca="1">IF(AND($D803&lt;&gt;"",COUNTIF(OFFSET(UFS!$E$2,MATCH($D803&amp;"",UFS!$A$2:$A$175,0)-1,0,COUNTIF(UFS!$A$2:$A$175,$D803&amp;""),1),M803)&gt;0),"Valide","Invalide")</f>
        <v>Valide</v>
      </c>
      <c r="AH803" s="15" t="str">
        <f t="shared" si="12"/>
        <v>En attente</v>
      </c>
    </row>
    <row r="804" spans="1:34" s="15" customFormat="1" ht="45" hidden="1" customHeight="1" x14ac:dyDescent="0.3">
      <c r="A804" s="42">
        <v>805</v>
      </c>
      <c r="B804" s="19" t="s">
        <v>709</v>
      </c>
      <c r="C804" s="19" t="s">
        <v>23</v>
      </c>
      <c r="D804" s="20" t="s">
        <v>432</v>
      </c>
      <c r="E804" s="20" t="s">
        <v>79</v>
      </c>
      <c r="F804" s="21" t="s">
        <v>80</v>
      </c>
      <c r="G804" s="38" t="s">
        <v>241</v>
      </c>
      <c r="H804" s="39" t="s">
        <v>643</v>
      </c>
      <c r="I804" s="39" t="s">
        <v>644</v>
      </c>
      <c r="J804" s="21" t="s">
        <v>2808</v>
      </c>
      <c r="K804" s="21" t="s">
        <v>1298</v>
      </c>
      <c r="L804" s="21" t="s">
        <v>434</v>
      </c>
      <c r="M804" s="21" t="s">
        <v>434</v>
      </c>
      <c r="N804" s="21" t="s">
        <v>434</v>
      </c>
      <c r="O804" s="20" t="s">
        <v>2809</v>
      </c>
      <c r="P804" s="45">
        <v>45916</v>
      </c>
      <c r="Q804" s="39" t="s">
        <v>2810</v>
      </c>
      <c r="R804" s="19">
        <v>1453.6</v>
      </c>
      <c r="S804" s="21">
        <v>0.1</v>
      </c>
      <c r="T804" s="21">
        <v>1598.96</v>
      </c>
      <c r="U804" s="60" t="s">
        <v>2811</v>
      </c>
      <c r="V804" s="21"/>
      <c r="W804" s="54" t="s">
        <v>91</v>
      </c>
      <c r="X804" s="23"/>
      <c r="Y804" s="23" t="s">
        <v>92</v>
      </c>
      <c r="Z804" s="56" t="s">
        <v>928</v>
      </c>
      <c r="AA804" s="24">
        <v>860037</v>
      </c>
      <c r="AB804" s="19"/>
      <c r="AC804" s="19"/>
      <c r="AD804" s="15" t="str">
        <f ca="1">IF(AND($D804&lt;&gt;"",COUNTIF(OFFSET(UFS!$E$2,MATCH($D804&amp;"",UFS!$A$2:$A$175,0)-1,0,COUNTIF(UFS!$A$2:$A$175,$D804&amp;""),1),M804)&gt;0),"Valide","Invalide")</f>
        <v>Invalide</v>
      </c>
      <c r="AH804" s="15" t="str">
        <f t="shared" si="12"/>
        <v>En attente</v>
      </c>
    </row>
    <row r="805" spans="1:34" s="15" customFormat="1" ht="45" hidden="1" customHeight="1" x14ac:dyDescent="0.3">
      <c r="A805" s="42">
        <v>806</v>
      </c>
      <c r="B805" s="19" t="s">
        <v>10</v>
      </c>
      <c r="C805" s="19" t="s">
        <v>3</v>
      </c>
      <c r="D805" s="20" t="s">
        <v>200</v>
      </c>
      <c r="E805" s="20" t="s">
        <v>79</v>
      </c>
      <c r="F805" s="21" t="s">
        <v>80</v>
      </c>
      <c r="G805" s="38" t="s">
        <v>163</v>
      </c>
      <c r="H805" s="39"/>
      <c r="I805" s="39"/>
      <c r="J805" s="21" t="s">
        <v>144</v>
      </c>
      <c r="K805" s="21" t="s">
        <v>145</v>
      </c>
      <c r="L805" s="21" t="s">
        <v>203</v>
      </c>
      <c r="M805" s="21" t="s">
        <v>109</v>
      </c>
      <c r="N805" s="21" t="s">
        <v>109</v>
      </c>
      <c r="O805" s="20" t="s">
        <v>2812</v>
      </c>
      <c r="P805" s="45">
        <v>45918</v>
      </c>
      <c r="Q805" s="39" t="s">
        <v>2813</v>
      </c>
      <c r="R805" s="19">
        <v>865</v>
      </c>
      <c r="S805" s="21">
        <v>0.2</v>
      </c>
      <c r="T805" s="21">
        <v>1038</v>
      </c>
      <c r="U805" s="44" t="s">
        <v>2814</v>
      </c>
      <c r="V805" s="22">
        <v>45918</v>
      </c>
      <c r="W805" s="54" t="s">
        <v>91</v>
      </c>
      <c r="X805" s="23"/>
      <c r="Y805" s="23" t="s">
        <v>92</v>
      </c>
      <c r="Z805" s="56" t="s">
        <v>928</v>
      </c>
      <c r="AA805" s="24">
        <v>860042</v>
      </c>
      <c r="AB805" s="19"/>
      <c r="AC805" s="19"/>
      <c r="AD805" s="15" t="e">
        <f ca="1">IF(AND($D805&lt;&gt;"",COUNTIF(OFFSET(UFS!$E$2,MATCH($D805&amp;"",UFS!$A$2:$A$175,0)-1,0,COUNTIF(UFS!$A$2:$A$175,$D805&amp;""),1),M805)&gt;0),"Valide","Invalide")</f>
        <v>#N/A</v>
      </c>
      <c r="AH805" s="15" t="str">
        <f t="shared" si="12"/>
        <v>En attente</v>
      </c>
    </row>
    <row r="806" spans="1:34" s="15" customFormat="1" ht="45" hidden="1" customHeight="1" x14ac:dyDescent="0.3">
      <c r="A806" s="42">
        <v>807</v>
      </c>
      <c r="B806" s="19" t="s">
        <v>709</v>
      </c>
      <c r="C806" s="19" t="s">
        <v>1875</v>
      </c>
      <c r="D806" s="20" t="s">
        <v>604</v>
      </c>
      <c r="E806" s="20" t="s">
        <v>79</v>
      </c>
      <c r="F806" s="21" t="s">
        <v>80</v>
      </c>
      <c r="G806" s="38" t="s">
        <v>241</v>
      </c>
      <c r="H806" s="39" t="s">
        <v>643</v>
      </c>
      <c r="I806" s="39" t="s">
        <v>644</v>
      </c>
      <c r="J806" s="21" t="s">
        <v>144</v>
      </c>
      <c r="K806" s="21" t="s">
        <v>145</v>
      </c>
      <c r="L806" s="21" t="s">
        <v>203</v>
      </c>
      <c r="M806" s="21" t="s">
        <v>109</v>
      </c>
      <c r="N806" s="21" t="s">
        <v>109</v>
      </c>
      <c r="O806" s="20" t="s">
        <v>2815</v>
      </c>
      <c r="P806" s="45">
        <v>45916</v>
      </c>
      <c r="Q806" s="39" t="s">
        <v>2816</v>
      </c>
      <c r="R806" s="19">
        <v>6702.75</v>
      </c>
      <c r="S806" s="21">
        <v>0.2</v>
      </c>
      <c r="T806" s="21">
        <v>8043.3</v>
      </c>
      <c r="U806" s="60" t="s">
        <v>2817</v>
      </c>
      <c r="V806" s="21"/>
      <c r="W806" s="54" t="s">
        <v>91</v>
      </c>
      <c r="X806" s="23"/>
      <c r="Y806" s="23" t="s">
        <v>92</v>
      </c>
      <c r="Z806" s="56" t="s">
        <v>2818</v>
      </c>
      <c r="AA806" s="24">
        <v>860832</v>
      </c>
      <c r="AB806" s="19"/>
      <c r="AC806" s="19"/>
      <c r="AD806" s="15" t="str">
        <f ca="1">IF(AND($D806&lt;&gt;"",COUNTIF(OFFSET(UFS!$E$2,MATCH($D806&amp;"",UFS!$A$2:$A$175,0)-1,0,COUNTIF(UFS!$A$2:$A$175,$D806&amp;""),1),M806)&gt;0),"Valide","Invalide")</f>
        <v>Invalide</v>
      </c>
      <c r="AH806" s="15" t="str">
        <f t="shared" si="12"/>
        <v>En attente</v>
      </c>
    </row>
    <row r="807" spans="1:34" s="15" customFormat="1" ht="45" hidden="1" customHeight="1" x14ac:dyDescent="0.3">
      <c r="A807" s="42">
        <v>808</v>
      </c>
      <c r="B807" s="19" t="s">
        <v>24</v>
      </c>
      <c r="C807" s="19" t="s">
        <v>35</v>
      </c>
      <c r="D807" s="20" t="s">
        <v>2819</v>
      </c>
      <c r="E807" s="20" t="s">
        <v>79</v>
      </c>
      <c r="F807" s="21" t="s">
        <v>80</v>
      </c>
      <c r="G807" s="38" t="s">
        <v>81</v>
      </c>
      <c r="H807" s="39" t="s">
        <v>426</v>
      </c>
      <c r="I807" s="39" t="s">
        <v>83</v>
      </c>
      <c r="J807" s="21" t="s">
        <v>124</v>
      </c>
      <c r="K807" s="21" t="s">
        <v>125</v>
      </c>
      <c r="L807" s="21" t="s">
        <v>246</v>
      </c>
      <c r="M807" s="21" t="s">
        <v>131</v>
      </c>
      <c r="N807" s="21" t="s">
        <v>2820</v>
      </c>
      <c r="O807" s="20" t="s">
        <v>2821</v>
      </c>
      <c r="P807" s="45">
        <v>45919</v>
      </c>
      <c r="Q807" s="39" t="s">
        <v>2822</v>
      </c>
      <c r="R807" s="19">
        <v>957.97</v>
      </c>
      <c r="S807" s="21">
        <v>0.2</v>
      </c>
      <c r="T807" s="21">
        <v>1149.5640000000001</v>
      </c>
      <c r="U807" s="44" t="s">
        <v>2823</v>
      </c>
      <c r="V807" s="22">
        <v>45919</v>
      </c>
      <c r="W807" s="54" t="s">
        <v>91</v>
      </c>
      <c r="X807" s="23"/>
      <c r="Y807" s="23" t="s">
        <v>92</v>
      </c>
      <c r="Z807" s="56" t="s">
        <v>1338</v>
      </c>
      <c r="AA807" s="24">
        <v>860118</v>
      </c>
      <c r="AB807" s="47">
        <v>45950</v>
      </c>
      <c r="AC807" s="46" t="s">
        <v>94</v>
      </c>
      <c r="AD807" s="15" t="str">
        <f ca="1">IF(AND($D807&lt;&gt;"",COUNTIF(OFFSET(UFS!$E$2,MATCH($D807&amp;"",UFS!$A$2:$A$175,0)-1,0,COUNTIF(UFS!$A$2:$A$175,$D807&amp;""),1),M807)&gt;0),"Valide","Invalide")</f>
        <v>Valide</v>
      </c>
      <c r="AH807" s="15" t="str">
        <f t="shared" si="12"/>
        <v>En attente</v>
      </c>
    </row>
    <row r="808" spans="1:34" s="15" customFormat="1" ht="45" customHeight="1" x14ac:dyDescent="0.3">
      <c r="A808" s="42">
        <v>809</v>
      </c>
      <c r="B808" s="19" t="s">
        <v>24</v>
      </c>
      <c r="C808" s="19" t="s">
        <v>25</v>
      </c>
      <c r="D808" s="20" t="s">
        <v>130</v>
      </c>
      <c r="E808" s="20" t="s">
        <v>96</v>
      </c>
      <c r="F808" s="21" t="s">
        <v>80</v>
      </c>
      <c r="G808" s="38" t="s">
        <v>288</v>
      </c>
      <c r="H808" s="39"/>
      <c r="I808" s="39" t="s">
        <v>2824</v>
      </c>
      <c r="J808" s="21" t="s">
        <v>124</v>
      </c>
      <c r="K808" s="21" t="s">
        <v>125</v>
      </c>
      <c r="L808" s="21" t="s">
        <v>126</v>
      </c>
      <c r="M808" s="21" t="s">
        <v>131</v>
      </c>
      <c r="N808" s="21" t="s">
        <v>102</v>
      </c>
      <c r="O808" s="20" t="s">
        <v>2825</v>
      </c>
      <c r="P808" s="45">
        <v>45911</v>
      </c>
      <c r="Q808" s="39" t="s">
        <v>2826</v>
      </c>
      <c r="R808" s="19">
        <v>15113.23</v>
      </c>
      <c r="S808" s="21">
        <v>0.1</v>
      </c>
      <c r="T808" s="21">
        <v>16624.553</v>
      </c>
      <c r="U808" s="60" t="s">
        <v>2827</v>
      </c>
      <c r="V808" s="22">
        <v>45922</v>
      </c>
      <c r="W808" s="54" t="s">
        <v>91</v>
      </c>
      <c r="X808" s="23"/>
      <c r="Y808" s="23" t="s">
        <v>92</v>
      </c>
      <c r="Z808" s="76" t="s">
        <v>1338</v>
      </c>
      <c r="AA808" s="24">
        <v>860184</v>
      </c>
      <c r="AB808" s="47">
        <v>45994</v>
      </c>
      <c r="AC808" s="49" t="s">
        <v>161</v>
      </c>
      <c r="AD808" s="15" t="str">
        <f ca="1">IF(AND($D808&lt;&gt;"",COUNTIF(OFFSET(UFS!$E$2,MATCH($D808&amp;"",UFS!$A$2:$A$175,0)-1,0,COUNTIF(UFS!$A$2:$A$175,$D808&amp;""),1),M808)&gt;0),"Valide","Invalide")</f>
        <v>Valide</v>
      </c>
      <c r="AH808" s="15" t="str">
        <f t="shared" si="12"/>
        <v>En attente</v>
      </c>
    </row>
    <row r="809" spans="1:34" s="15" customFormat="1" ht="45" hidden="1" customHeight="1" x14ac:dyDescent="0.3">
      <c r="A809" s="42">
        <v>810</v>
      </c>
      <c r="B809" s="19" t="s">
        <v>24</v>
      </c>
      <c r="C809" s="19" t="s">
        <v>28</v>
      </c>
      <c r="D809" s="20" t="s">
        <v>628</v>
      </c>
      <c r="E809" s="20" t="s">
        <v>79</v>
      </c>
      <c r="F809" s="21" t="s">
        <v>80</v>
      </c>
      <c r="G809" s="38" t="s">
        <v>81</v>
      </c>
      <c r="H809" s="39" t="s">
        <v>82</v>
      </c>
      <c r="I809" s="39" t="s">
        <v>83</v>
      </c>
      <c r="J809" s="21" t="s">
        <v>124</v>
      </c>
      <c r="K809" s="21" t="s">
        <v>125</v>
      </c>
      <c r="L809" s="21" t="s">
        <v>629</v>
      </c>
      <c r="M809" s="21" t="s">
        <v>136</v>
      </c>
      <c r="N809" s="21" t="s">
        <v>102</v>
      </c>
      <c r="O809" s="20" t="s">
        <v>2828</v>
      </c>
      <c r="P809" s="45">
        <v>45915</v>
      </c>
      <c r="Q809" s="39" t="s">
        <v>2829</v>
      </c>
      <c r="R809" s="19">
        <v>3101.23</v>
      </c>
      <c r="S809" s="21">
        <v>0.1</v>
      </c>
      <c r="T809" s="21">
        <v>3411.3530000000001</v>
      </c>
      <c r="U809" s="44" t="s">
        <v>2830</v>
      </c>
      <c r="V809" s="22">
        <v>45922</v>
      </c>
      <c r="W809" s="54" t="s">
        <v>91</v>
      </c>
      <c r="X809" s="23"/>
      <c r="Y809" s="23" t="s">
        <v>92</v>
      </c>
      <c r="Z809" s="56" t="s">
        <v>1338</v>
      </c>
      <c r="AA809" s="24">
        <v>860120</v>
      </c>
      <c r="AB809" s="47">
        <v>45945</v>
      </c>
      <c r="AC809" s="46" t="s">
        <v>94</v>
      </c>
      <c r="AD809" s="15" t="str">
        <f ca="1">IF(AND($D809&lt;&gt;"",COUNTIF(OFFSET(UFS!$E$2,MATCH($D809&amp;"",UFS!$A$2:$A$175,0)-1,0,COUNTIF(UFS!$A$2:$A$175,$D809&amp;""),1),M809)&gt;0),"Valide","Invalide")</f>
        <v>Valide</v>
      </c>
      <c r="AH809" s="15" t="str">
        <f t="shared" si="12"/>
        <v>En attente</v>
      </c>
    </row>
    <row r="810" spans="1:34" s="15" customFormat="1" ht="45" hidden="1" customHeight="1" x14ac:dyDescent="0.3">
      <c r="A810" s="42">
        <v>811</v>
      </c>
      <c r="B810" s="19" t="s">
        <v>20</v>
      </c>
      <c r="C810" s="19" t="s">
        <v>1</v>
      </c>
      <c r="D810" s="20" t="s">
        <v>2831</v>
      </c>
      <c r="E810" s="20" t="s">
        <v>79</v>
      </c>
      <c r="F810" s="21" t="s">
        <v>80</v>
      </c>
      <c r="G810" s="38" t="s">
        <v>182</v>
      </c>
      <c r="H810" s="39" t="s">
        <v>82</v>
      </c>
      <c r="I810" s="39" t="s">
        <v>83</v>
      </c>
      <c r="J810" s="21" t="s">
        <v>183</v>
      </c>
      <c r="K810" s="21" t="s">
        <v>2456</v>
      </c>
      <c r="L810" s="21" t="s">
        <v>342</v>
      </c>
      <c r="M810" s="21" t="s">
        <v>2456</v>
      </c>
      <c r="N810" s="21" t="s">
        <v>151</v>
      </c>
      <c r="O810" s="20" t="s">
        <v>2832</v>
      </c>
      <c r="P810" s="45">
        <v>45915</v>
      </c>
      <c r="Q810" s="39" t="s">
        <v>2833</v>
      </c>
      <c r="R810" s="19">
        <v>531.94000000000005</v>
      </c>
      <c r="S810" s="21">
        <v>0.2</v>
      </c>
      <c r="T810" s="21">
        <v>638.32800000000009</v>
      </c>
      <c r="U810" s="60" t="s">
        <v>2834</v>
      </c>
      <c r="V810" s="22">
        <v>45922</v>
      </c>
      <c r="W810" s="54" t="s">
        <v>91</v>
      </c>
      <c r="X810" s="23"/>
      <c r="Y810" s="23" t="s">
        <v>92</v>
      </c>
      <c r="Z810" s="56" t="s">
        <v>1338</v>
      </c>
      <c r="AA810" s="24">
        <v>860145</v>
      </c>
      <c r="AB810" s="19"/>
      <c r="AC810" s="46" t="s">
        <v>94</v>
      </c>
      <c r="AD810" s="15" t="str">
        <f ca="1">IF(AND($D810&lt;&gt;"",COUNTIF(OFFSET(UFS!$E$2,MATCH($D810&amp;"",UFS!$A$2:$A$175,0)-1,0,COUNTIF(UFS!$A$2:$A$175,$D810&amp;""),1),M810)&gt;0),"Valide","Invalide")</f>
        <v>Valide</v>
      </c>
      <c r="AH810" s="15" t="str">
        <f t="shared" si="12"/>
        <v>En attente</v>
      </c>
    </row>
    <row r="811" spans="1:34" s="15" customFormat="1" ht="45" hidden="1" customHeight="1" x14ac:dyDescent="0.3">
      <c r="A811" s="42">
        <v>812</v>
      </c>
      <c r="B811" s="19" t="s">
        <v>26</v>
      </c>
      <c r="C811" s="19" t="s">
        <v>28</v>
      </c>
      <c r="D811" s="20" t="s">
        <v>2033</v>
      </c>
      <c r="E811" s="20" t="s">
        <v>96</v>
      </c>
      <c r="F811" s="21" t="s">
        <v>80</v>
      </c>
      <c r="G811" s="38" t="s">
        <v>294</v>
      </c>
      <c r="H811" s="39"/>
      <c r="I811" s="39" t="s">
        <v>2835</v>
      </c>
      <c r="J811" s="21" t="s">
        <v>144</v>
      </c>
      <c r="K811" s="21" t="s">
        <v>145</v>
      </c>
      <c r="L811" s="21" t="s">
        <v>254</v>
      </c>
      <c r="M811" s="21" t="s">
        <v>255</v>
      </c>
      <c r="N811" s="21" t="s">
        <v>2035</v>
      </c>
      <c r="O811" s="20" t="s">
        <v>2836</v>
      </c>
      <c r="P811" s="45">
        <v>45919</v>
      </c>
      <c r="Q811" s="39" t="s">
        <v>2837</v>
      </c>
      <c r="R811" s="19">
        <v>3395.2</v>
      </c>
      <c r="S811" s="21">
        <v>0.2</v>
      </c>
      <c r="T811" s="21">
        <v>4074.24</v>
      </c>
      <c r="U811" s="114" t="s">
        <v>2838</v>
      </c>
      <c r="V811" s="22">
        <v>45922</v>
      </c>
      <c r="W811" s="54" t="s">
        <v>91</v>
      </c>
      <c r="X811" s="23"/>
      <c r="Y811" s="23" t="s">
        <v>92</v>
      </c>
      <c r="Z811" s="76" t="s">
        <v>1338</v>
      </c>
      <c r="AA811" s="24">
        <v>860780</v>
      </c>
      <c r="AB811" s="19"/>
      <c r="AC811" s="46" t="s">
        <v>94</v>
      </c>
      <c r="AD811" s="15" t="str">
        <f ca="1">IF(AND($D811&lt;&gt;"",COUNTIF(OFFSET(UFS!$E$2,MATCH($D811&amp;"",UFS!$A$2:$A$175,0)-1,0,COUNTIF(UFS!$A$2:$A$175,$D811&amp;""),1),M811)&gt;0),"Valide","Invalide")</f>
        <v>Valide</v>
      </c>
      <c r="AH811" s="15" t="str">
        <f t="shared" si="12"/>
        <v>En attente</v>
      </c>
    </row>
    <row r="812" spans="1:34" s="15" customFormat="1" ht="45" hidden="1" customHeight="1" x14ac:dyDescent="0.3">
      <c r="A812" s="42">
        <v>813</v>
      </c>
      <c r="B812" s="19" t="s">
        <v>709</v>
      </c>
      <c r="C812" s="19" t="s">
        <v>23</v>
      </c>
      <c r="D812" s="20" t="s">
        <v>598</v>
      </c>
      <c r="E812" s="20" t="s">
        <v>79</v>
      </c>
      <c r="F812" s="21" t="s">
        <v>80</v>
      </c>
      <c r="G812" s="38" t="s">
        <v>241</v>
      </c>
      <c r="H812" s="39" t="s">
        <v>643</v>
      </c>
      <c r="I812" s="39" t="s">
        <v>644</v>
      </c>
      <c r="J812" s="21" t="s">
        <v>183</v>
      </c>
      <c r="K812" s="21" t="s">
        <v>184</v>
      </c>
      <c r="L812" s="21" t="s">
        <v>492</v>
      </c>
      <c r="M812" s="21" t="s">
        <v>186</v>
      </c>
      <c r="N812" s="21" t="s">
        <v>102</v>
      </c>
      <c r="O812" s="20" t="s">
        <v>2839</v>
      </c>
      <c r="P812" s="45">
        <v>45923</v>
      </c>
      <c r="Q812" s="39" t="s">
        <v>2840</v>
      </c>
      <c r="R812" s="19">
        <v>253.2</v>
      </c>
      <c r="S812" s="21">
        <v>0.1</v>
      </c>
      <c r="T812" s="21">
        <v>278.52</v>
      </c>
      <c r="U812" s="60" t="s">
        <v>2841</v>
      </c>
      <c r="V812" s="21"/>
      <c r="W812" s="54" t="s">
        <v>91</v>
      </c>
      <c r="X812" s="23"/>
      <c r="Y812" s="23" t="s">
        <v>92</v>
      </c>
      <c r="Z812" s="56" t="s">
        <v>928</v>
      </c>
      <c r="AA812" s="24">
        <v>860146</v>
      </c>
      <c r="AB812" s="19"/>
      <c r="AC812" s="19"/>
      <c r="AD812" s="15" t="str">
        <f ca="1">IF(AND($D812&lt;&gt;"",COUNTIF(OFFSET(UFS!$E$2,MATCH($D812&amp;"",UFS!$A$2:$A$175,0)-1,0,COUNTIF(UFS!$A$2:$A$175,$D812&amp;""),1),M812)&gt;0),"Valide","Invalide")</f>
        <v>Valide</v>
      </c>
      <c r="AH812" s="15" t="str">
        <f t="shared" si="12"/>
        <v>En attente</v>
      </c>
    </row>
    <row r="813" spans="1:34" s="15" customFormat="1" ht="45" hidden="1" customHeight="1" x14ac:dyDescent="0.3">
      <c r="A813" s="42">
        <v>814</v>
      </c>
      <c r="B813" s="19" t="s">
        <v>709</v>
      </c>
      <c r="C813" s="19" t="s">
        <v>23</v>
      </c>
      <c r="D813" s="20" t="s">
        <v>134</v>
      </c>
      <c r="E813" s="20" t="s">
        <v>79</v>
      </c>
      <c r="F813" s="21" t="s">
        <v>80</v>
      </c>
      <c r="G813" s="38" t="s">
        <v>241</v>
      </c>
      <c r="H813" s="39" t="s">
        <v>643</v>
      </c>
      <c r="I813" s="39" t="s">
        <v>644</v>
      </c>
      <c r="J813" s="21" t="s">
        <v>124</v>
      </c>
      <c r="K813" s="21" t="s">
        <v>125</v>
      </c>
      <c r="L813" s="21" t="s">
        <v>177</v>
      </c>
      <c r="M813" s="21" t="s">
        <v>136</v>
      </c>
      <c r="N813" s="21" t="s">
        <v>102</v>
      </c>
      <c r="O813" s="20" t="s">
        <v>2842</v>
      </c>
      <c r="P813" s="45">
        <v>45918</v>
      </c>
      <c r="Q813" s="39" t="s">
        <v>2843</v>
      </c>
      <c r="R813" s="19">
        <v>514.74</v>
      </c>
      <c r="S813" s="21">
        <v>0.1</v>
      </c>
      <c r="T813" s="21">
        <v>566.21</v>
      </c>
      <c r="U813" s="60" t="s">
        <v>2844</v>
      </c>
      <c r="V813" s="21"/>
      <c r="W813" s="54" t="s">
        <v>91</v>
      </c>
      <c r="X813" s="23"/>
      <c r="Y813" s="23" t="s">
        <v>92</v>
      </c>
      <c r="Z813" s="56" t="s">
        <v>928</v>
      </c>
      <c r="AA813" s="24">
        <v>860152</v>
      </c>
      <c r="AB813" s="19"/>
      <c r="AC813" s="19"/>
      <c r="AD813" s="15" t="str">
        <f ca="1">IF(AND($D813&lt;&gt;"",COUNTIF(OFFSET(UFS!$E$2,MATCH($D813&amp;"",UFS!$A$2:$A$175,0)-1,0,COUNTIF(UFS!$A$2:$A$175,$D813&amp;""),1),M813)&gt;0),"Valide","Invalide")</f>
        <v>Valide</v>
      </c>
      <c r="AH813" s="15" t="str">
        <f t="shared" si="12"/>
        <v>En attente</v>
      </c>
    </row>
    <row r="814" spans="1:34" s="15" customFormat="1" ht="45" hidden="1" customHeight="1" x14ac:dyDescent="0.3">
      <c r="A814" s="42">
        <v>815</v>
      </c>
      <c r="B814" s="19" t="s">
        <v>26</v>
      </c>
      <c r="C814" s="19" t="s">
        <v>32</v>
      </c>
      <c r="D814" s="20" t="s">
        <v>325</v>
      </c>
      <c r="E814" s="20" t="s">
        <v>96</v>
      </c>
      <c r="F814" s="21" t="s">
        <v>80</v>
      </c>
      <c r="G814" s="38" t="s">
        <v>320</v>
      </c>
      <c r="H814" s="39"/>
      <c r="I814" s="39" t="s">
        <v>326</v>
      </c>
      <c r="J814" s="21" t="s">
        <v>98</v>
      </c>
      <c r="K814" s="21" t="s">
        <v>327</v>
      </c>
      <c r="L814" s="21" t="s">
        <v>328</v>
      </c>
      <c r="M814" s="21" t="s">
        <v>2528</v>
      </c>
      <c r="N814" s="21" t="s">
        <v>330</v>
      </c>
      <c r="O814" s="20" t="s">
        <v>2845</v>
      </c>
      <c r="P814" s="45">
        <v>45923</v>
      </c>
      <c r="Q814" s="39" t="s">
        <v>2846</v>
      </c>
      <c r="R814" s="19">
        <v>3179.6</v>
      </c>
      <c r="S814" s="21">
        <v>0.2</v>
      </c>
      <c r="T814" s="21">
        <v>3815.52</v>
      </c>
      <c r="U814" s="44" t="s">
        <v>333</v>
      </c>
      <c r="V814" s="22">
        <v>45923</v>
      </c>
      <c r="W814" s="54" t="s">
        <v>91</v>
      </c>
      <c r="X814" s="23"/>
      <c r="Y814" s="23" t="s">
        <v>92</v>
      </c>
      <c r="Z814" s="146" t="s">
        <v>2847</v>
      </c>
      <c r="AA814" s="24">
        <v>860783</v>
      </c>
      <c r="AB814" s="19"/>
      <c r="AC814" s="46" t="s">
        <v>94</v>
      </c>
      <c r="AD814" s="15" t="str">
        <f ca="1">IF(AND($D814&lt;&gt;"",COUNTIF(OFFSET(UFS!$E$2,MATCH($D814&amp;"",UFS!$A$2:$A$175,0)-1,0,COUNTIF(UFS!$A$2:$A$175,$D814&amp;""),1),M814)&gt;0),"Valide","Invalide")</f>
        <v>Invalide</v>
      </c>
      <c r="AH814" s="15" t="str">
        <f t="shared" si="12"/>
        <v>En attente</v>
      </c>
    </row>
    <row r="815" spans="1:34" s="15" customFormat="1" ht="45" hidden="1" customHeight="1" x14ac:dyDescent="0.3">
      <c r="A815" s="42">
        <v>816</v>
      </c>
      <c r="B815" s="19" t="s">
        <v>425</v>
      </c>
      <c r="C815" s="19" t="s">
        <v>35</v>
      </c>
      <c r="D815" s="20" t="s">
        <v>604</v>
      </c>
      <c r="E815" s="20" t="s">
        <v>79</v>
      </c>
      <c r="F815" s="21" t="s">
        <v>80</v>
      </c>
      <c r="G815" s="38" t="s">
        <v>182</v>
      </c>
      <c r="H815" s="39" t="s">
        <v>426</v>
      </c>
      <c r="I815" s="39" t="s">
        <v>83</v>
      </c>
      <c r="J815" s="21" t="s">
        <v>144</v>
      </c>
      <c r="K815" s="21" t="s">
        <v>145</v>
      </c>
      <c r="L815" s="21" t="s">
        <v>146</v>
      </c>
      <c r="M815" s="21" t="s">
        <v>146</v>
      </c>
      <c r="N815" s="21" t="s">
        <v>605</v>
      </c>
      <c r="O815" s="20" t="s">
        <v>2848</v>
      </c>
      <c r="P815" s="45">
        <v>45915</v>
      </c>
      <c r="Q815" s="39" t="s">
        <v>2849</v>
      </c>
      <c r="R815" s="19">
        <v>1091.5899999999999</v>
      </c>
      <c r="S815" s="21">
        <v>0.2</v>
      </c>
      <c r="T815" s="21">
        <v>1309.9079999999999</v>
      </c>
      <c r="U815" s="60" t="s">
        <v>429</v>
      </c>
      <c r="V815" s="22">
        <v>45924</v>
      </c>
      <c r="W815" s="54" t="s">
        <v>91</v>
      </c>
      <c r="X815" s="23"/>
      <c r="Y815" s="23" t="s">
        <v>92</v>
      </c>
      <c r="Z815" s="56"/>
      <c r="AA815" s="24">
        <v>860185</v>
      </c>
      <c r="AB815" s="19"/>
      <c r="AC815" s="19"/>
      <c r="AD815" s="15" t="str">
        <f ca="1">IF(AND($D815&lt;&gt;"",COUNTIF(OFFSET(UFS!$E$2,MATCH($D815&amp;"",UFS!$A$2:$A$175,0)-1,0,COUNTIF(UFS!$A$2:$A$175,$D815&amp;""),1),M815)&gt;0),"Valide","Invalide")</f>
        <v>Valide</v>
      </c>
      <c r="AH815" s="15" t="str">
        <f t="shared" si="12"/>
        <v>En attente</v>
      </c>
    </row>
    <row r="816" spans="1:34" s="15" customFormat="1" ht="45" hidden="1" customHeight="1" x14ac:dyDescent="0.3">
      <c r="A816" s="42">
        <v>817</v>
      </c>
      <c r="B816" s="19" t="s">
        <v>14</v>
      </c>
      <c r="C816" s="115" t="s">
        <v>2850</v>
      </c>
      <c r="D816" s="20" t="s">
        <v>200</v>
      </c>
      <c r="E816" s="20" t="s">
        <v>96</v>
      </c>
      <c r="F816" s="21" t="s">
        <v>80</v>
      </c>
      <c r="G816" s="38" t="s">
        <v>681</v>
      </c>
      <c r="H816" s="39"/>
      <c r="I816" s="39" t="s">
        <v>2851</v>
      </c>
      <c r="J816" s="21" t="s">
        <v>144</v>
      </c>
      <c r="K816" s="21" t="s">
        <v>145</v>
      </c>
      <c r="L816" s="21" t="s">
        <v>203</v>
      </c>
      <c r="M816" s="21" t="s">
        <v>109</v>
      </c>
      <c r="N816" s="21" t="s">
        <v>109</v>
      </c>
      <c r="O816" s="20" t="s">
        <v>2852</v>
      </c>
      <c r="P816" s="45">
        <v>45923</v>
      </c>
      <c r="Q816" s="116" t="s">
        <v>2853</v>
      </c>
      <c r="R816" s="19">
        <v>9800</v>
      </c>
      <c r="S816" s="21">
        <v>0.2</v>
      </c>
      <c r="T816" s="21">
        <v>11760</v>
      </c>
      <c r="U816" s="44" t="s">
        <v>2854</v>
      </c>
      <c r="V816" s="22">
        <v>45924</v>
      </c>
      <c r="W816" s="54" t="s">
        <v>91</v>
      </c>
      <c r="X816" s="23"/>
      <c r="Y816" s="23" t="s">
        <v>92</v>
      </c>
      <c r="Z816" s="56" t="s">
        <v>928</v>
      </c>
      <c r="AA816" s="24">
        <v>860182</v>
      </c>
      <c r="AB816" s="45">
        <v>45926</v>
      </c>
      <c r="AC816" s="19"/>
      <c r="AD816" s="15" t="e">
        <f ca="1">IF(AND($D816&lt;&gt;"",COUNTIF(OFFSET(UFS!$E$2,MATCH($D816&amp;"",UFS!$A$2:$A$175,0)-1,0,COUNTIF(UFS!$A$2:$A$175,$D816&amp;""),1),M816)&gt;0),"Valide","Invalide")</f>
        <v>#N/A</v>
      </c>
      <c r="AH816" s="15" t="str">
        <f t="shared" si="12"/>
        <v>En attente</v>
      </c>
    </row>
    <row r="817" spans="1:34" s="15" customFormat="1" ht="45" hidden="1" customHeight="1" x14ac:dyDescent="0.3">
      <c r="A817" s="42">
        <v>818</v>
      </c>
      <c r="B817" s="19" t="s">
        <v>16</v>
      </c>
      <c r="C817" s="19" t="s">
        <v>30</v>
      </c>
      <c r="D817" s="20" t="s">
        <v>1513</v>
      </c>
      <c r="E817" s="20" t="s">
        <v>96</v>
      </c>
      <c r="F817" s="21" t="s">
        <v>80</v>
      </c>
      <c r="G817" s="38" t="s">
        <v>169</v>
      </c>
      <c r="H817" s="39"/>
      <c r="I817" s="39" t="s">
        <v>191</v>
      </c>
      <c r="J817" s="21" t="s">
        <v>144</v>
      </c>
      <c r="K817" s="21" t="s">
        <v>145</v>
      </c>
      <c r="L817" s="21" t="s">
        <v>499</v>
      </c>
      <c r="M817" s="21" t="s">
        <v>1514</v>
      </c>
      <c r="N817" s="21" t="s">
        <v>529</v>
      </c>
      <c r="O817" s="20"/>
      <c r="P817" s="19"/>
      <c r="Q817" s="39" t="s">
        <v>2855</v>
      </c>
      <c r="R817" s="19"/>
      <c r="S817" s="21">
        <v>0.1</v>
      </c>
      <c r="T817" s="21"/>
      <c r="U817" s="60"/>
      <c r="V817" s="21"/>
      <c r="W817" s="54"/>
      <c r="X817" s="23"/>
      <c r="Y817" s="23" t="s">
        <v>376</v>
      </c>
      <c r="Z817" s="56"/>
      <c r="AA817" s="24"/>
      <c r="AB817" s="19"/>
      <c r="AC817" s="19"/>
      <c r="AD817" s="15" t="str">
        <f ca="1">IF(AND($D817&lt;&gt;"",COUNTIF(OFFSET(UFS!$E$2,MATCH($D817&amp;"",UFS!$A$2:$A$175,0)-1,0,COUNTIF(UFS!$A$2:$A$175,$D817&amp;""),1),M817)&gt;0),"Valide","Invalide")</f>
        <v>Valide</v>
      </c>
      <c r="AH817" s="15" t="str">
        <f t="shared" si="12"/>
        <v/>
      </c>
    </row>
    <row r="818" spans="1:34" s="15" customFormat="1" ht="45" hidden="1" customHeight="1" x14ac:dyDescent="0.3">
      <c r="A818" s="42">
        <v>819</v>
      </c>
      <c r="B818" s="19" t="s">
        <v>709</v>
      </c>
      <c r="C818" s="19" t="s">
        <v>23</v>
      </c>
      <c r="D818" s="20" t="s">
        <v>181</v>
      </c>
      <c r="E818" s="20" t="s">
        <v>79</v>
      </c>
      <c r="F818" s="21" t="s">
        <v>80</v>
      </c>
      <c r="G818" s="38" t="s">
        <v>241</v>
      </c>
      <c r="H818" s="39" t="s">
        <v>643</v>
      </c>
      <c r="I818" s="39" t="s">
        <v>644</v>
      </c>
      <c r="J818" s="21" t="s">
        <v>183</v>
      </c>
      <c r="K818" s="21" t="s">
        <v>184</v>
      </c>
      <c r="L818" s="21" t="s">
        <v>185</v>
      </c>
      <c r="M818" s="21" t="s">
        <v>186</v>
      </c>
      <c r="N818" s="21" t="s">
        <v>102</v>
      </c>
      <c r="O818" s="20" t="s">
        <v>2856</v>
      </c>
      <c r="P818" s="45">
        <v>45919</v>
      </c>
      <c r="Q818" s="39" t="s">
        <v>2857</v>
      </c>
      <c r="R818" s="19">
        <v>827.44</v>
      </c>
      <c r="S818" s="21">
        <v>0.1</v>
      </c>
      <c r="T818" s="21">
        <v>910.18</v>
      </c>
      <c r="U818" s="60" t="s">
        <v>2858</v>
      </c>
      <c r="V818" s="21"/>
      <c r="W818" s="54" t="s">
        <v>91</v>
      </c>
      <c r="X818" s="23"/>
      <c r="Y818" s="23" t="s">
        <v>92</v>
      </c>
      <c r="Z818" s="56"/>
      <c r="AA818" s="24">
        <v>860186</v>
      </c>
      <c r="AB818" s="19"/>
      <c r="AC818" s="19"/>
      <c r="AD818" s="15" t="str">
        <f ca="1">IF(AND($D818&lt;&gt;"",COUNTIF(OFFSET(UFS!$E$2,MATCH($D818&amp;"",UFS!$A$2:$A$175,0)-1,0,COUNTIF(UFS!$A$2:$A$175,$D818&amp;""),1),M818)&gt;0),"Valide","Invalide")</f>
        <v>Valide</v>
      </c>
      <c r="AH818" s="15" t="str">
        <f t="shared" si="12"/>
        <v>En attente</v>
      </c>
    </row>
    <row r="819" spans="1:34" s="15" customFormat="1" ht="45" hidden="1" customHeight="1" x14ac:dyDescent="0.3">
      <c r="A819" s="42">
        <v>820</v>
      </c>
      <c r="B819" s="19" t="s">
        <v>20</v>
      </c>
      <c r="C819" s="19" t="s">
        <v>37</v>
      </c>
      <c r="D819" s="20" t="s">
        <v>200</v>
      </c>
      <c r="E819" s="20" t="s">
        <v>79</v>
      </c>
      <c r="F819" s="21" t="s">
        <v>80</v>
      </c>
      <c r="G819" s="38" t="s">
        <v>241</v>
      </c>
      <c r="H819" s="39" t="s">
        <v>367</v>
      </c>
      <c r="I819" s="39" t="s">
        <v>368</v>
      </c>
      <c r="J819" s="21" t="s">
        <v>144</v>
      </c>
      <c r="K819" s="21" t="s">
        <v>145</v>
      </c>
      <c r="L819" s="21" t="s">
        <v>203</v>
      </c>
      <c r="M819" s="21" t="s">
        <v>109</v>
      </c>
      <c r="N819" s="21" t="s">
        <v>109</v>
      </c>
      <c r="O819" s="20" t="s">
        <v>2859</v>
      </c>
      <c r="P819" s="45">
        <v>45882</v>
      </c>
      <c r="Q819" s="39" t="s">
        <v>2860</v>
      </c>
      <c r="R819" s="19">
        <v>2309.92</v>
      </c>
      <c r="S819" s="21">
        <v>0.2</v>
      </c>
      <c r="T819" s="21">
        <v>2771.904</v>
      </c>
      <c r="U819" s="60" t="s">
        <v>2861</v>
      </c>
      <c r="V819" s="22">
        <v>45924</v>
      </c>
      <c r="W819" s="54" t="s">
        <v>91</v>
      </c>
      <c r="X819" s="23"/>
      <c r="Y819" s="23" t="s">
        <v>92</v>
      </c>
      <c r="Z819" s="56" t="s">
        <v>928</v>
      </c>
      <c r="AA819" s="24">
        <v>860189</v>
      </c>
      <c r="AB819" s="19"/>
      <c r="AC819" s="46" t="s">
        <v>94</v>
      </c>
      <c r="AD819" s="15" t="e">
        <f ca="1">IF(AND($D819&lt;&gt;"",COUNTIF(OFFSET(UFS!$E$2,MATCH($D819&amp;"",UFS!$A$2:$A$175,0)-1,0,COUNTIF(UFS!$A$2:$A$175,$D819&amp;""),1),M819)&gt;0),"Valide","Invalide")</f>
        <v>#N/A</v>
      </c>
      <c r="AH819" s="15" t="str">
        <f t="shared" si="12"/>
        <v>En attente</v>
      </c>
    </row>
    <row r="820" spans="1:34" s="15" customFormat="1" ht="45" hidden="1" customHeight="1" x14ac:dyDescent="0.3">
      <c r="A820" s="42">
        <v>821</v>
      </c>
      <c r="B820" s="19" t="s">
        <v>20</v>
      </c>
      <c r="C820" s="19" t="s">
        <v>37</v>
      </c>
      <c r="D820" s="20" t="s">
        <v>123</v>
      </c>
      <c r="E820" s="20" t="s">
        <v>79</v>
      </c>
      <c r="F820" s="21" t="s">
        <v>80</v>
      </c>
      <c r="G820" s="38" t="s">
        <v>241</v>
      </c>
      <c r="H820" s="39" t="s">
        <v>367</v>
      </c>
      <c r="I820" s="39" t="s">
        <v>368</v>
      </c>
      <c r="J820" s="21" t="s">
        <v>124</v>
      </c>
      <c r="K820" s="21" t="s">
        <v>125</v>
      </c>
      <c r="L820" s="21" t="s">
        <v>126</v>
      </c>
      <c r="M820" s="21" t="s">
        <v>109</v>
      </c>
      <c r="N820" s="21" t="s">
        <v>109</v>
      </c>
      <c r="O820" s="20" t="s">
        <v>2862</v>
      </c>
      <c r="P820" s="45">
        <v>45881</v>
      </c>
      <c r="Q820" s="39" t="s">
        <v>2863</v>
      </c>
      <c r="R820" s="19">
        <v>226.84</v>
      </c>
      <c r="S820" s="21">
        <v>0.1</v>
      </c>
      <c r="T820" s="21">
        <v>249.524</v>
      </c>
      <c r="U820" s="60" t="s">
        <v>371</v>
      </c>
      <c r="V820" s="22">
        <v>45924</v>
      </c>
      <c r="W820" s="54" t="s">
        <v>91</v>
      </c>
      <c r="X820" s="23"/>
      <c r="Y820" s="23" t="s">
        <v>92</v>
      </c>
      <c r="Z820" s="56" t="s">
        <v>928</v>
      </c>
      <c r="AA820" s="24">
        <v>860191</v>
      </c>
      <c r="AB820" s="19"/>
      <c r="AC820" s="46" t="s">
        <v>94</v>
      </c>
      <c r="AD820" s="15" t="str">
        <f ca="1">IF(AND($D820&lt;&gt;"",COUNTIF(OFFSET(UFS!$E$2,MATCH($D820&amp;"",UFS!$A$2:$A$175,0)-1,0,COUNTIF(UFS!$A$2:$A$175,$D820&amp;""),1),M820)&gt;0),"Valide","Invalide")</f>
        <v>Valide</v>
      </c>
      <c r="AH820" s="15" t="str">
        <f t="shared" si="12"/>
        <v>En attente</v>
      </c>
    </row>
    <row r="821" spans="1:34" s="15" customFormat="1" ht="45" hidden="1" customHeight="1" x14ac:dyDescent="0.3">
      <c r="A821" s="42">
        <v>822</v>
      </c>
      <c r="B821" s="19" t="s">
        <v>20</v>
      </c>
      <c r="C821" s="19" t="s">
        <v>37</v>
      </c>
      <c r="D821" s="20" t="s">
        <v>233</v>
      </c>
      <c r="E821" s="20" t="s">
        <v>79</v>
      </c>
      <c r="F821" s="21" t="s">
        <v>80</v>
      </c>
      <c r="G821" s="38" t="s">
        <v>241</v>
      </c>
      <c r="H821" s="39" t="s">
        <v>367</v>
      </c>
      <c r="I821" s="39" t="s">
        <v>368</v>
      </c>
      <c r="J821" s="21" t="s">
        <v>124</v>
      </c>
      <c r="K821" s="21" t="s">
        <v>235</v>
      </c>
      <c r="L821" s="21" t="s">
        <v>177</v>
      </c>
      <c r="M821" s="21" t="s">
        <v>109</v>
      </c>
      <c r="N821" s="21" t="s">
        <v>109</v>
      </c>
      <c r="O821" s="20" t="s">
        <v>2864</v>
      </c>
      <c r="P821" s="45">
        <v>45881</v>
      </c>
      <c r="Q821" s="39" t="s">
        <v>2865</v>
      </c>
      <c r="R821" s="19">
        <v>273.68</v>
      </c>
      <c r="S821" s="21">
        <v>0.1</v>
      </c>
      <c r="T821" s="21">
        <v>301.048</v>
      </c>
      <c r="U821" s="60" t="s">
        <v>2866</v>
      </c>
      <c r="V821" s="22">
        <v>45924</v>
      </c>
      <c r="W821" s="54" t="s">
        <v>91</v>
      </c>
      <c r="X821" s="23"/>
      <c r="Y821" s="23" t="s">
        <v>92</v>
      </c>
      <c r="Z821" s="56" t="s">
        <v>928</v>
      </c>
      <c r="AA821" s="24">
        <v>860194</v>
      </c>
      <c r="AB821" s="19"/>
      <c r="AC821" s="46" t="s">
        <v>94</v>
      </c>
      <c r="AD821" s="15" t="str">
        <f ca="1">IF(AND($D821&lt;&gt;"",COUNTIF(OFFSET(UFS!$E$2,MATCH($D821&amp;"",UFS!$A$2:$A$175,0)-1,0,COUNTIF(UFS!$A$2:$A$175,$D821&amp;""),1),M821)&gt;0),"Valide","Invalide")</f>
        <v>Valide</v>
      </c>
      <c r="AH821" s="15" t="str">
        <f t="shared" si="12"/>
        <v>En attente</v>
      </c>
    </row>
    <row r="822" spans="1:34" s="15" customFormat="1" ht="45" hidden="1" customHeight="1" x14ac:dyDescent="0.3">
      <c r="A822" s="42">
        <v>823</v>
      </c>
      <c r="B822" s="19" t="s">
        <v>20</v>
      </c>
      <c r="C822" s="19" t="s">
        <v>37</v>
      </c>
      <c r="D822" s="20" t="s">
        <v>1246</v>
      </c>
      <c r="E822" s="20" t="s">
        <v>79</v>
      </c>
      <c r="F822" s="21" t="s">
        <v>80</v>
      </c>
      <c r="G822" s="38" t="s">
        <v>241</v>
      </c>
      <c r="H822" s="39" t="s">
        <v>367</v>
      </c>
      <c r="I822" s="39" t="s">
        <v>368</v>
      </c>
      <c r="J822" s="21" t="s">
        <v>144</v>
      </c>
      <c r="K822" s="21" t="s">
        <v>145</v>
      </c>
      <c r="L822" s="21" t="s">
        <v>203</v>
      </c>
      <c r="M822" s="21" t="s">
        <v>1247</v>
      </c>
      <c r="N822" s="21" t="s">
        <v>1247</v>
      </c>
      <c r="O822" s="20" t="s">
        <v>2867</v>
      </c>
      <c r="P822" s="45">
        <v>45901</v>
      </c>
      <c r="Q822" s="39" t="s">
        <v>2868</v>
      </c>
      <c r="R822" s="19">
        <v>135</v>
      </c>
      <c r="S822" s="21">
        <v>0.2</v>
      </c>
      <c r="T822" s="21">
        <v>162</v>
      </c>
      <c r="U822" s="60" t="s">
        <v>2869</v>
      </c>
      <c r="V822" s="22">
        <v>45924</v>
      </c>
      <c r="W822" s="54" t="s">
        <v>91</v>
      </c>
      <c r="X822" s="23"/>
      <c r="Y822" s="23" t="s">
        <v>92</v>
      </c>
      <c r="Z822" s="56" t="s">
        <v>928</v>
      </c>
      <c r="AA822" s="24">
        <v>860195</v>
      </c>
      <c r="AB822" s="19"/>
      <c r="AC822" s="46" t="s">
        <v>94</v>
      </c>
      <c r="AD822" s="15" t="str">
        <f ca="1">IF(AND($D822&lt;&gt;"",COUNTIF(OFFSET(UFS!$E$2,MATCH($D822&amp;"",UFS!$A$2:$A$175,0)-1,0,COUNTIF(UFS!$A$2:$A$175,$D822&amp;""),1),M822)&gt;0),"Valide","Invalide")</f>
        <v>Valide</v>
      </c>
      <c r="AH822" s="15" t="str">
        <f t="shared" si="12"/>
        <v>En attente</v>
      </c>
    </row>
    <row r="823" spans="1:34" s="15" customFormat="1" ht="45" hidden="1" customHeight="1" x14ac:dyDescent="0.3">
      <c r="A823" s="42">
        <v>824</v>
      </c>
      <c r="B823" s="19" t="s">
        <v>425</v>
      </c>
      <c r="C823" s="19" t="s">
        <v>35</v>
      </c>
      <c r="D823" s="20" t="s">
        <v>1669</v>
      </c>
      <c r="E823" s="20" t="s">
        <v>79</v>
      </c>
      <c r="F823" s="21" t="s">
        <v>80</v>
      </c>
      <c r="G823" s="38" t="s">
        <v>182</v>
      </c>
      <c r="H823" s="39" t="s">
        <v>426</v>
      </c>
      <c r="I823" s="39" t="s">
        <v>83</v>
      </c>
      <c r="J823" s="21" t="s">
        <v>144</v>
      </c>
      <c r="K823" s="21" t="s">
        <v>145</v>
      </c>
      <c r="L823" s="21" t="s">
        <v>146</v>
      </c>
      <c r="M823" s="21" t="s">
        <v>1671</v>
      </c>
      <c r="N823" s="21" t="s">
        <v>813</v>
      </c>
      <c r="O823" s="20" t="s">
        <v>2870</v>
      </c>
      <c r="P823" s="45">
        <v>45909</v>
      </c>
      <c r="Q823" s="39" t="s">
        <v>2871</v>
      </c>
      <c r="R823" s="19">
        <v>2337.9499999999998</v>
      </c>
      <c r="S823" s="21">
        <v>0.1</v>
      </c>
      <c r="T823" s="21">
        <v>2571.7449999999999</v>
      </c>
      <c r="U823" s="60" t="s">
        <v>429</v>
      </c>
      <c r="V823" s="22">
        <v>45924</v>
      </c>
      <c r="W823" s="54" t="s">
        <v>91</v>
      </c>
      <c r="X823" s="23"/>
      <c r="Y823" s="23" t="s">
        <v>92</v>
      </c>
      <c r="Z823" s="56" t="s">
        <v>2872</v>
      </c>
      <c r="AA823" s="24">
        <v>860350</v>
      </c>
      <c r="AB823" s="19"/>
      <c r="AC823" s="19"/>
      <c r="AD823" s="15" t="str">
        <f ca="1">IF(AND($D823&lt;&gt;"",COUNTIF(OFFSET(UFS!$E$2,MATCH($D823&amp;"",UFS!$A$2:$A$175,0)-1,0,COUNTIF(UFS!$A$2:$A$175,$D823&amp;""),1),M823)&gt;0),"Valide","Invalide")</f>
        <v>Valide</v>
      </c>
      <c r="AH823" s="15" t="str">
        <f t="shared" si="12"/>
        <v>En attente</v>
      </c>
    </row>
    <row r="824" spans="1:34" s="15" customFormat="1" ht="45" hidden="1" customHeight="1" x14ac:dyDescent="0.3">
      <c r="A824" s="42">
        <v>825</v>
      </c>
      <c r="B824" s="19" t="s">
        <v>14</v>
      </c>
      <c r="C824" s="19" t="s">
        <v>3</v>
      </c>
      <c r="D824" s="20" t="s">
        <v>200</v>
      </c>
      <c r="E824" s="20" t="s">
        <v>96</v>
      </c>
      <c r="F824" s="21" t="s">
        <v>80</v>
      </c>
      <c r="G824" s="38" t="s">
        <v>681</v>
      </c>
      <c r="H824" s="39"/>
      <c r="I824" s="39" t="s">
        <v>2851</v>
      </c>
      <c r="J824" s="21" t="s">
        <v>144</v>
      </c>
      <c r="K824" s="21" t="s">
        <v>145</v>
      </c>
      <c r="L824" s="21" t="s">
        <v>203</v>
      </c>
      <c r="M824" s="21" t="s">
        <v>109</v>
      </c>
      <c r="N824" s="21" t="s">
        <v>109</v>
      </c>
      <c r="O824" s="38" t="s">
        <v>2873</v>
      </c>
      <c r="P824" s="45">
        <v>45832</v>
      </c>
      <c r="Q824" s="39" t="s">
        <v>2874</v>
      </c>
      <c r="R824" s="19">
        <v>285</v>
      </c>
      <c r="S824" s="21">
        <v>0.2</v>
      </c>
      <c r="T824" s="21">
        <v>342</v>
      </c>
      <c r="U824" s="44" t="s">
        <v>2875</v>
      </c>
      <c r="V824" s="22">
        <v>45924</v>
      </c>
      <c r="W824" s="54" t="s">
        <v>91</v>
      </c>
      <c r="X824" s="23"/>
      <c r="Y824" s="23" t="s">
        <v>92</v>
      </c>
      <c r="Z824" s="56" t="s">
        <v>928</v>
      </c>
      <c r="AA824" s="24">
        <v>860183</v>
      </c>
      <c r="AB824" s="19"/>
      <c r="AC824" s="19"/>
      <c r="AD824" s="15" t="e">
        <f ca="1">IF(AND($D824&lt;&gt;"",COUNTIF(OFFSET(UFS!$E$2,MATCH($D824&amp;"",UFS!$A$2:$A$175,0)-1,0,COUNTIF(UFS!$A$2:$A$175,$D824&amp;""),1),M824)&gt;0),"Valide","Invalide")</f>
        <v>#N/A</v>
      </c>
      <c r="AH824" s="15" t="str">
        <f t="shared" si="12"/>
        <v>En attente</v>
      </c>
    </row>
    <row r="825" spans="1:34" s="15" customFormat="1" ht="45" hidden="1" customHeight="1" x14ac:dyDescent="0.3">
      <c r="A825" s="42">
        <v>826</v>
      </c>
      <c r="B825" s="19" t="s">
        <v>16</v>
      </c>
      <c r="C825" s="19" t="s">
        <v>34</v>
      </c>
      <c r="D825" s="20" t="s">
        <v>200</v>
      </c>
      <c r="E825" s="20" t="s">
        <v>96</v>
      </c>
      <c r="F825" s="21" t="s">
        <v>80</v>
      </c>
      <c r="G825" s="38" t="s">
        <v>507</v>
      </c>
      <c r="H825" s="39"/>
      <c r="I825" s="39"/>
      <c r="J825" s="21" t="s">
        <v>144</v>
      </c>
      <c r="K825" s="21" t="s">
        <v>145</v>
      </c>
      <c r="L825" s="21" t="s">
        <v>203</v>
      </c>
      <c r="M825" s="21" t="s">
        <v>109</v>
      </c>
      <c r="N825" s="21" t="s">
        <v>109</v>
      </c>
      <c r="O825" s="20" t="s">
        <v>2876</v>
      </c>
      <c r="P825" s="45">
        <v>45925</v>
      </c>
      <c r="Q825" s="39" t="s">
        <v>2877</v>
      </c>
      <c r="R825" s="19">
        <v>4619.28</v>
      </c>
      <c r="S825" s="21">
        <v>0.2</v>
      </c>
      <c r="T825" s="21">
        <v>5543.1359999999995</v>
      </c>
      <c r="U825" s="44" t="s">
        <v>2878</v>
      </c>
      <c r="V825" s="22">
        <v>45925</v>
      </c>
      <c r="W825" s="54" t="s">
        <v>91</v>
      </c>
      <c r="X825" s="23"/>
      <c r="Y825" s="23" t="s">
        <v>92</v>
      </c>
      <c r="Z825" s="56" t="s">
        <v>928</v>
      </c>
      <c r="AA825" s="24">
        <v>860387</v>
      </c>
      <c r="AB825" s="19"/>
      <c r="AC825" s="46" t="s">
        <v>94</v>
      </c>
      <c r="AD825" s="15" t="e">
        <f ca="1">IF(AND($D825&lt;&gt;"",COUNTIF(OFFSET(UFS!$E$2,MATCH($D825&amp;"",UFS!$A$2:$A$175,0)-1,0,COUNTIF(UFS!$A$2:$A$175,$D825&amp;""),1),M825)&gt;0),"Valide","Invalide")</f>
        <v>#N/A</v>
      </c>
      <c r="AH825" s="15" t="str">
        <f t="shared" si="12"/>
        <v>En attente</v>
      </c>
    </row>
    <row r="826" spans="1:34" s="15" customFormat="1" ht="45" hidden="1" customHeight="1" x14ac:dyDescent="0.3">
      <c r="A826" s="42">
        <v>827</v>
      </c>
      <c r="B826" s="19" t="s">
        <v>24</v>
      </c>
      <c r="C826" s="19" t="s">
        <v>19</v>
      </c>
      <c r="D826" s="20" t="s">
        <v>233</v>
      </c>
      <c r="E826" s="20" t="s">
        <v>79</v>
      </c>
      <c r="F826" s="21" t="s">
        <v>80</v>
      </c>
      <c r="G826" s="38" t="s">
        <v>81</v>
      </c>
      <c r="H826" s="39" t="s">
        <v>211</v>
      </c>
      <c r="I826" s="39"/>
      <c r="J826" s="21" t="s">
        <v>124</v>
      </c>
      <c r="K826" s="21" t="s">
        <v>235</v>
      </c>
      <c r="L826" s="21" t="s">
        <v>177</v>
      </c>
      <c r="M826" s="21" t="s">
        <v>109</v>
      </c>
      <c r="N826" s="21" t="s">
        <v>109</v>
      </c>
      <c r="O826" s="20" t="s">
        <v>2879</v>
      </c>
      <c r="P826" s="45">
        <v>45924</v>
      </c>
      <c r="Q826" s="39" t="s">
        <v>2880</v>
      </c>
      <c r="R826" s="19">
        <v>3376.77</v>
      </c>
      <c r="S826" s="21">
        <v>0.1</v>
      </c>
      <c r="T826" s="21">
        <v>3714.4470000000001</v>
      </c>
      <c r="U826" s="44" t="s">
        <v>2881</v>
      </c>
      <c r="V826" s="22">
        <v>45924</v>
      </c>
      <c r="W826" s="54" t="s">
        <v>91</v>
      </c>
      <c r="X826" s="23"/>
      <c r="Y826" s="23" t="s">
        <v>92</v>
      </c>
      <c r="Z826" s="56"/>
      <c r="AA826" s="24">
        <v>860470</v>
      </c>
      <c r="AB826" s="47">
        <v>45939</v>
      </c>
      <c r="AC826" s="46" t="s">
        <v>94</v>
      </c>
      <c r="AD826" s="15" t="str">
        <f ca="1">IF(AND($D826&lt;&gt;"",COUNTIF(OFFSET(UFS!$E$2,MATCH($D826&amp;"",UFS!$A$2:$A$175,0)-1,0,COUNTIF(UFS!$A$2:$A$175,$D826&amp;""),1),M826)&gt;0),"Valide","Invalide")</f>
        <v>Valide</v>
      </c>
      <c r="AH826" s="15" t="str">
        <f t="shared" si="12"/>
        <v>En attente</v>
      </c>
    </row>
    <row r="827" spans="1:34" s="15" customFormat="1" ht="45" hidden="1" customHeight="1" x14ac:dyDescent="0.3">
      <c r="A827" s="42">
        <v>828</v>
      </c>
      <c r="B827" s="19" t="s">
        <v>16</v>
      </c>
      <c r="C827" s="19" t="s">
        <v>5</v>
      </c>
      <c r="D827" s="20" t="s">
        <v>548</v>
      </c>
      <c r="E827" s="20" t="s">
        <v>79</v>
      </c>
      <c r="F827" s="21" t="s">
        <v>80</v>
      </c>
      <c r="G827" s="38" t="s">
        <v>81</v>
      </c>
      <c r="H827" s="39" t="s">
        <v>82</v>
      </c>
      <c r="I827" s="39" t="s">
        <v>83</v>
      </c>
      <c r="J827" s="21" t="s">
        <v>144</v>
      </c>
      <c r="K827" s="21" t="s">
        <v>145</v>
      </c>
      <c r="L827" s="21" t="s">
        <v>549</v>
      </c>
      <c r="M827" s="21" t="s">
        <v>549</v>
      </c>
      <c r="N827" s="21" t="s">
        <v>550</v>
      </c>
      <c r="O827" s="20" t="s">
        <v>2882</v>
      </c>
      <c r="P827" s="45">
        <v>45925</v>
      </c>
      <c r="Q827" s="39" t="s">
        <v>2883</v>
      </c>
      <c r="R827" s="19">
        <v>10845.12</v>
      </c>
      <c r="S827" s="21">
        <v>0.2</v>
      </c>
      <c r="T827" s="21">
        <v>13014.144</v>
      </c>
      <c r="U827" s="44" t="s">
        <v>2884</v>
      </c>
      <c r="V827" s="22">
        <v>45925</v>
      </c>
      <c r="W827" s="54" t="s">
        <v>91</v>
      </c>
      <c r="X827" s="23"/>
      <c r="Y827" s="23" t="s">
        <v>92</v>
      </c>
      <c r="Z827" s="56" t="s">
        <v>928</v>
      </c>
      <c r="AA827" s="24">
        <v>860425</v>
      </c>
      <c r="AB827" s="19"/>
      <c r="AC827" s="46" t="s">
        <v>94</v>
      </c>
      <c r="AD827" s="15" t="str">
        <f ca="1">IF(AND($D827&lt;&gt;"",COUNTIF(OFFSET(UFS!$E$2,MATCH($D827&amp;"",UFS!$A$2:$A$175,0)-1,0,COUNTIF(UFS!$A$2:$A$175,$D827&amp;""),1),M827)&gt;0),"Valide","Invalide")</f>
        <v>Valide</v>
      </c>
      <c r="AH827" s="15" t="str">
        <f t="shared" si="12"/>
        <v>En attente</v>
      </c>
    </row>
    <row r="828" spans="1:34" s="15" customFormat="1" ht="45" hidden="1" customHeight="1" x14ac:dyDescent="0.3">
      <c r="A828" s="42">
        <v>829</v>
      </c>
      <c r="B828" s="19" t="s">
        <v>16</v>
      </c>
      <c r="C828" s="19" t="s">
        <v>34</v>
      </c>
      <c r="D828" s="20" t="s">
        <v>200</v>
      </c>
      <c r="E828" s="20" t="s">
        <v>79</v>
      </c>
      <c r="F828" s="21" t="s">
        <v>80</v>
      </c>
      <c r="G828" s="38" t="s">
        <v>81</v>
      </c>
      <c r="H828" s="39" t="s">
        <v>267</v>
      </c>
      <c r="I828" s="39" t="s">
        <v>83</v>
      </c>
      <c r="J828" s="21" t="s">
        <v>144</v>
      </c>
      <c r="K828" s="21" t="s">
        <v>145</v>
      </c>
      <c r="L828" s="21" t="s">
        <v>203</v>
      </c>
      <c r="M828" s="21" t="s">
        <v>109</v>
      </c>
      <c r="N828" s="21" t="s">
        <v>109</v>
      </c>
      <c r="O828" s="20" t="s">
        <v>2885</v>
      </c>
      <c r="P828" s="45">
        <v>45925</v>
      </c>
      <c r="Q828" s="39" t="s">
        <v>2886</v>
      </c>
      <c r="R828" s="19">
        <v>14394.83</v>
      </c>
      <c r="S828" s="21">
        <v>0.2</v>
      </c>
      <c r="T828" s="21">
        <v>17273.795999999998</v>
      </c>
      <c r="U828" s="44" t="s">
        <v>2887</v>
      </c>
      <c r="V828" s="22">
        <v>45925</v>
      </c>
      <c r="W828" s="54" t="s">
        <v>91</v>
      </c>
      <c r="X828" s="23"/>
      <c r="Y828" s="23" t="s">
        <v>92</v>
      </c>
      <c r="Z828" s="56" t="s">
        <v>2888</v>
      </c>
      <c r="AA828" s="24">
        <v>860428</v>
      </c>
      <c r="AB828" s="19"/>
      <c r="AC828" s="46" t="s">
        <v>94</v>
      </c>
      <c r="AD828" s="15" t="e">
        <f ca="1">IF(AND($D828&lt;&gt;"",COUNTIF(OFFSET(UFS!$E$2,MATCH($D828&amp;"",UFS!$A$2:$A$175,0)-1,0,COUNTIF(UFS!$A$2:$A$175,$D828&amp;""),1),M828)&gt;0),"Valide","Invalide")</f>
        <v>#N/A</v>
      </c>
      <c r="AH828" s="15" t="str">
        <f t="shared" si="12"/>
        <v>En attente</v>
      </c>
    </row>
    <row r="829" spans="1:34" s="15" customFormat="1" ht="45" hidden="1" customHeight="1" x14ac:dyDescent="0.3">
      <c r="A829" s="42">
        <v>830</v>
      </c>
      <c r="B829" s="19" t="s">
        <v>26</v>
      </c>
      <c r="C829" s="19" t="s">
        <v>5</v>
      </c>
      <c r="D829" s="20" t="s">
        <v>2033</v>
      </c>
      <c r="E829" s="20" t="s">
        <v>96</v>
      </c>
      <c r="F829" s="21" t="s">
        <v>80</v>
      </c>
      <c r="G829" s="38" t="s">
        <v>288</v>
      </c>
      <c r="H829" s="39"/>
      <c r="I829" s="39" t="s">
        <v>2889</v>
      </c>
      <c r="J829" s="21" t="s">
        <v>144</v>
      </c>
      <c r="K829" s="21" t="s">
        <v>145</v>
      </c>
      <c r="L829" s="21" t="s">
        <v>254</v>
      </c>
      <c r="M829" s="21" t="s">
        <v>255</v>
      </c>
      <c r="N829" s="21" t="s">
        <v>2035</v>
      </c>
      <c r="O829" s="20" t="s">
        <v>2890</v>
      </c>
      <c r="P829" s="45">
        <v>45847</v>
      </c>
      <c r="Q829" s="39" t="s">
        <v>2891</v>
      </c>
      <c r="R829" s="19">
        <v>1396.72</v>
      </c>
      <c r="S829" s="21">
        <v>0.2</v>
      </c>
      <c r="T829" s="21">
        <v>1676.0640000000001</v>
      </c>
      <c r="U829" s="44" t="s">
        <v>2892</v>
      </c>
      <c r="V829" s="22">
        <v>45925</v>
      </c>
      <c r="W829" s="54" t="s">
        <v>91</v>
      </c>
      <c r="X829" s="23"/>
      <c r="Y829" s="23" t="s">
        <v>92</v>
      </c>
      <c r="Z829" s="56"/>
      <c r="AA829" s="24">
        <v>860514</v>
      </c>
      <c r="AB829" s="19"/>
      <c r="AC829" s="46" t="s">
        <v>94</v>
      </c>
      <c r="AD829" s="15" t="str">
        <f ca="1">IF(AND($D829&lt;&gt;"",COUNTIF(OFFSET(UFS!$E$2,MATCH($D829&amp;"",UFS!$A$2:$A$175,0)-1,0,COUNTIF(UFS!$A$2:$A$175,$D829&amp;""),1),M829)&gt;0),"Valide","Invalide")</f>
        <v>Valide</v>
      </c>
      <c r="AH829" s="15" t="str">
        <f t="shared" si="12"/>
        <v>En attente</v>
      </c>
    </row>
    <row r="830" spans="1:34" s="15" customFormat="1" ht="45" hidden="1" customHeight="1" x14ac:dyDescent="0.3">
      <c r="A830" s="42">
        <v>831</v>
      </c>
      <c r="B830" s="19" t="s">
        <v>26</v>
      </c>
      <c r="C830" s="19" t="s">
        <v>35</v>
      </c>
      <c r="D830" s="20" t="s">
        <v>490</v>
      </c>
      <c r="E830" s="20" t="s">
        <v>79</v>
      </c>
      <c r="F830" s="21" t="s">
        <v>80</v>
      </c>
      <c r="G830" s="38" t="s">
        <v>182</v>
      </c>
      <c r="H830" s="39" t="s">
        <v>215</v>
      </c>
      <c r="I830" s="39" t="s">
        <v>83</v>
      </c>
      <c r="J830" s="21" t="s">
        <v>183</v>
      </c>
      <c r="K830" s="21" t="s">
        <v>491</v>
      </c>
      <c r="L830" s="21" t="s">
        <v>492</v>
      </c>
      <c r="M830" s="21" t="s">
        <v>491</v>
      </c>
      <c r="N830" s="21" t="s">
        <v>87</v>
      </c>
      <c r="O830" s="20" t="s">
        <v>2893</v>
      </c>
      <c r="P830" s="45">
        <v>45916</v>
      </c>
      <c r="Q830" s="39" t="s">
        <v>2894</v>
      </c>
      <c r="R830" s="19">
        <v>1637.54</v>
      </c>
      <c r="S830" s="21">
        <v>0.2</v>
      </c>
      <c r="T830" s="21">
        <v>1965.048</v>
      </c>
      <c r="U830" s="44" t="s">
        <v>2895</v>
      </c>
      <c r="V830" s="22">
        <v>45925</v>
      </c>
      <c r="W830" s="54" t="s">
        <v>91</v>
      </c>
      <c r="X830" s="23"/>
      <c r="Y830" s="23" t="s">
        <v>92</v>
      </c>
      <c r="Z830" s="56"/>
      <c r="AA830" s="24">
        <v>860444</v>
      </c>
      <c r="AB830" s="19"/>
      <c r="AC830" s="19"/>
      <c r="AD830" s="15" t="str">
        <f ca="1">IF(AND($D830&lt;&gt;"",COUNTIF(OFFSET(UFS!$E$2,MATCH($D830&amp;"",UFS!$A$2:$A$175,0)-1,0,COUNTIF(UFS!$A$2:$A$175,$D830&amp;""),1),M830)&gt;0),"Valide","Invalide")</f>
        <v>Valide</v>
      </c>
      <c r="AH830" s="15" t="str">
        <f t="shared" si="12"/>
        <v>En attente</v>
      </c>
    </row>
    <row r="831" spans="1:34" s="15" customFormat="1" ht="45" hidden="1" customHeight="1" x14ac:dyDescent="0.3">
      <c r="A831" s="42">
        <v>832</v>
      </c>
      <c r="B831" s="19" t="s">
        <v>709</v>
      </c>
      <c r="C831" s="19" t="s">
        <v>23</v>
      </c>
      <c r="D831" s="20" t="s">
        <v>134</v>
      </c>
      <c r="E831" s="20" t="s">
        <v>79</v>
      </c>
      <c r="F831" s="21"/>
      <c r="G831" s="38" t="s">
        <v>241</v>
      </c>
      <c r="H831" s="39" t="s">
        <v>643</v>
      </c>
      <c r="I831" s="39" t="s">
        <v>644</v>
      </c>
      <c r="J831" s="21" t="s">
        <v>124</v>
      </c>
      <c r="K831" s="21" t="s">
        <v>125</v>
      </c>
      <c r="L831" s="21" t="s">
        <v>177</v>
      </c>
      <c r="M831" s="21" t="s">
        <v>136</v>
      </c>
      <c r="N831" s="21" t="s">
        <v>102</v>
      </c>
      <c r="O831" s="20" t="s">
        <v>2896</v>
      </c>
      <c r="P831" s="45">
        <v>45925</v>
      </c>
      <c r="Q831" s="39" t="s">
        <v>2897</v>
      </c>
      <c r="R831" s="19">
        <v>506.4</v>
      </c>
      <c r="S831" s="21">
        <v>0.1</v>
      </c>
      <c r="T831" s="21">
        <v>557.04</v>
      </c>
      <c r="U831" s="60" t="s">
        <v>2898</v>
      </c>
      <c r="V831" s="22">
        <v>45926</v>
      </c>
      <c r="W831" s="54" t="s">
        <v>91</v>
      </c>
      <c r="X831" s="23"/>
      <c r="Y831" s="23" t="s">
        <v>92</v>
      </c>
      <c r="Z831" s="56" t="s">
        <v>1338</v>
      </c>
      <c r="AA831" s="24">
        <v>860479</v>
      </c>
      <c r="AB831" s="19"/>
      <c r="AC831" s="19"/>
      <c r="AD831" s="15" t="str">
        <f ca="1">IF(AND($D831&lt;&gt;"",COUNTIF(OFFSET(UFS!$E$2,MATCH($D831&amp;"",UFS!$A$2:$A$175,0)-1,0,COUNTIF(UFS!$A$2:$A$175,$D831&amp;""),1),M831)&gt;0),"Valide","Invalide")</f>
        <v>Valide</v>
      </c>
      <c r="AH831" s="15" t="str">
        <f t="shared" si="12"/>
        <v>En attente</v>
      </c>
    </row>
    <row r="832" spans="1:34" s="15" customFormat="1" ht="45" hidden="1" customHeight="1" x14ac:dyDescent="0.3">
      <c r="A832" s="42">
        <v>833</v>
      </c>
      <c r="B832" s="19" t="s">
        <v>24</v>
      </c>
      <c r="C832" s="19" t="s">
        <v>11</v>
      </c>
      <c r="D832" s="20" t="s">
        <v>260</v>
      </c>
      <c r="E832" s="20" t="s">
        <v>79</v>
      </c>
      <c r="F832" s="21" t="s">
        <v>80</v>
      </c>
      <c r="G832" s="38" t="s">
        <v>81</v>
      </c>
      <c r="H832" s="39" t="s">
        <v>82</v>
      </c>
      <c r="I832" s="39" t="s">
        <v>83</v>
      </c>
      <c r="J832" s="21" t="s">
        <v>84</v>
      </c>
      <c r="K832" s="21" t="s">
        <v>113</v>
      </c>
      <c r="L832" s="21" t="s">
        <v>86</v>
      </c>
      <c r="M832" s="21" t="s">
        <v>109</v>
      </c>
      <c r="N832" s="21" t="s">
        <v>109</v>
      </c>
      <c r="O832" s="20" t="s">
        <v>2899</v>
      </c>
      <c r="P832" s="45">
        <v>45925</v>
      </c>
      <c r="Q832" s="39" t="s">
        <v>2900</v>
      </c>
      <c r="R832" s="19">
        <v>99.63</v>
      </c>
      <c r="S832" s="21">
        <v>0.1</v>
      </c>
      <c r="T832" s="21">
        <v>109.59299999999999</v>
      </c>
      <c r="U832" s="44" t="s">
        <v>2901</v>
      </c>
      <c r="V832" s="22">
        <v>45926</v>
      </c>
      <c r="W832" s="54" t="s">
        <v>91</v>
      </c>
      <c r="X832" s="23"/>
      <c r="Y832" s="23" t="s">
        <v>92</v>
      </c>
      <c r="Z832" s="56" t="s">
        <v>928</v>
      </c>
      <c r="AA832" s="24">
        <v>860485</v>
      </c>
      <c r="AB832" s="19"/>
      <c r="AC832" s="46" t="s">
        <v>94</v>
      </c>
      <c r="AD832" s="15" t="str">
        <f ca="1">IF(AND($D832&lt;&gt;"",COUNTIF(OFFSET(UFS!$E$2,MATCH($D832&amp;"",UFS!$A$2:$A$175,0)-1,0,COUNTIF(UFS!$A$2:$A$175,$D832&amp;""),1),M832)&gt;0),"Valide","Invalide")</f>
        <v>Valide</v>
      </c>
      <c r="AH832" s="15" t="str">
        <f t="shared" si="12"/>
        <v>En attente</v>
      </c>
    </row>
    <row r="833" spans="1:34" s="15" customFormat="1" ht="45" hidden="1" customHeight="1" x14ac:dyDescent="0.3">
      <c r="A833" s="42">
        <v>834</v>
      </c>
      <c r="B833" s="19" t="s">
        <v>24</v>
      </c>
      <c r="C833" s="19" t="s">
        <v>11</v>
      </c>
      <c r="D833" s="20" t="s">
        <v>152</v>
      </c>
      <c r="E833" s="20" t="s">
        <v>79</v>
      </c>
      <c r="F833" s="21" t="s">
        <v>80</v>
      </c>
      <c r="G833" s="38" t="s">
        <v>81</v>
      </c>
      <c r="H833" s="39" t="s">
        <v>82</v>
      </c>
      <c r="I833" s="39" t="s">
        <v>83</v>
      </c>
      <c r="J833" s="21" t="s">
        <v>84</v>
      </c>
      <c r="K833" s="21" t="s">
        <v>113</v>
      </c>
      <c r="L833" s="21" t="s">
        <v>86</v>
      </c>
      <c r="M833" s="21" t="s">
        <v>115</v>
      </c>
      <c r="N833" s="21" t="s">
        <v>102</v>
      </c>
      <c r="O833" s="20" t="s">
        <v>2902</v>
      </c>
      <c r="P833" s="45">
        <v>45925</v>
      </c>
      <c r="Q833" s="39" t="s">
        <v>2903</v>
      </c>
      <c r="R833" s="19">
        <v>1427.66</v>
      </c>
      <c r="S833" s="21">
        <v>0.1</v>
      </c>
      <c r="T833" s="21">
        <v>1570.4260000000002</v>
      </c>
      <c r="U833" s="44" t="s">
        <v>2904</v>
      </c>
      <c r="V833" s="22">
        <v>45926</v>
      </c>
      <c r="W833" s="54" t="s">
        <v>91</v>
      </c>
      <c r="X833" s="23"/>
      <c r="Y833" s="23" t="s">
        <v>92</v>
      </c>
      <c r="Z833" s="56" t="s">
        <v>928</v>
      </c>
      <c r="AA833" s="24">
        <v>860488</v>
      </c>
      <c r="AB833" s="47">
        <v>45950</v>
      </c>
      <c r="AC833" s="46" t="s">
        <v>94</v>
      </c>
      <c r="AD833" s="15" t="str">
        <f ca="1">IF(AND($D833&lt;&gt;"",COUNTIF(OFFSET(UFS!$E$2,MATCH($D833&amp;"",UFS!$A$2:$A$175,0)-1,0,COUNTIF(UFS!$A$2:$A$175,$D833&amp;""),1),M833)&gt;0),"Valide","Invalide")</f>
        <v>Valide</v>
      </c>
      <c r="AH833" s="15" t="str">
        <f t="shared" si="12"/>
        <v>En attente</v>
      </c>
    </row>
    <row r="834" spans="1:34" s="15" customFormat="1" ht="45" hidden="1" customHeight="1" x14ac:dyDescent="0.3">
      <c r="A834" s="42">
        <v>835</v>
      </c>
      <c r="B834" s="19" t="s">
        <v>2</v>
      </c>
      <c r="C834" s="19" t="s">
        <v>30</v>
      </c>
      <c r="D834" s="20" t="s">
        <v>222</v>
      </c>
      <c r="E834" s="20" t="s">
        <v>96</v>
      </c>
      <c r="F834" s="21" t="s">
        <v>223</v>
      </c>
      <c r="G834" s="38"/>
      <c r="H834" s="39"/>
      <c r="I834" s="39"/>
      <c r="J834" s="21" t="s">
        <v>144</v>
      </c>
      <c r="K834" s="21" t="s">
        <v>145</v>
      </c>
      <c r="L834" s="21" t="s">
        <v>225</v>
      </c>
      <c r="M834" s="21" t="s">
        <v>226</v>
      </c>
      <c r="N834" s="21" t="s">
        <v>227</v>
      </c>
      <c r="O834" s="20" t="s">
        <v>2905</v>
      </c>
      <c r="P834" s="45">
        <v>45917</v>
      </c>
      <c r="Q834" s="39" t="s">
        <v>2906</v>
      </c>
      <c r="R834" s="19">
        <v>27000</v>
      </c>
      <c r="S834" s="21">
        <v>0.2</v>
      </c>
      <c r="T834" s="21">
        <v>32400</v>
      </c>
      <c r="U834" s="60" t="s">
        <v>2907</v>
      </c>
      <c r="V834" s="22">
        <v>45927</v>
      </c>
      <c r="W834" s="54" t="s">
        <v>91</v>
      </c>
      <c r="X834" s="23"/>
      <c r="Y834" s="23" t="s">
        <v>92</v>
      </c>
      <c r="Z834" s="56" t="s">
        <v>2908</v>
      </c>
      <c r="AA834" s="24">
        <v>860787</v>
      </c>
      <c r="AB834" s="19"/>
      <c r="AC834" s="19"/>
      <c r="AD834" s="15" t="str">
        <f ca="1">IF(AND($D834&lt;&gt;"",COUNTIF(OFFSET(UFS!$E$2,MATCH($D834&amp;"",UFS!$A$2:$A$175,0)-1,0,COUNTIF(UFS!$A$2:$A$175,$D834&amp;""),1),M834)&gt;0),"Valide","Invalide")</f>
        <v>Valide</v>
      </c>
      <c r="AH834" s="15" t="str">
        <f t="shared" si="12"/>
        <v>En attente</v>
      </c>
    </row>
    <row r="835" spans="1:34" s="15" customFormat="1" ht="45" hidden="1" customHeight="1" x14ac:dyDescent="0.3">
      <c r="A835" s="42">
        <v>836</v>
      </c>
      <c r="B835" s="19" t="s">
        <v>709</v>
      </c>
      <c r="C835" s="19" t="s">
        <v>23</v>
      </c>
      <c r="D835" s="20" t="s">
        <v>134</v>
      </c>
      <c r="E835" s="20" t="s">
        <v>79</v>
      </c>
      <c r="F835" s="21" t="s">
        <v>80</v>
      </c>
      <c r="G835" s="38" t="s">
        <v>241</v>
      </c>
      <c r="H835" s="39" t="s">
        <v>643</v>
      </c>
      <c r="I835" s="39" t="s">
        <v>644</v>
      </c>
      <c r="J835" s="21" t="s">
        <v>124</v>
      </c>
      <c r="K835" s="21" t="s">
        <v>125</v>
      </c>
      <c r="L835" s="21" t="s">
        <v>177</v>
      </c>
      <c r="M835" s="21" t="s">
        <v>136</v>
      </c>
      <c r="N835" s="21" t="s">
        <v>102</v>
      </c>
      <c r="O835" s="20" t="s">
        <v>2909</v>
      </c>
      <c r="P835" s="45">
        <v>45926</v>
      </c>
      <c r="Q835" s="39" t="s">
        <v>2910</v>
      </c>
      <c r="R835" s="19">
        <v>5879.8</v>
      </c>
      <c r="S835" s="21">
        <v>0.1</v>
      </c>
      <c r="T835" s="21">
        <v>6467.78</v>
      </c>
      <c r="U835" s="60" t="s">
        <v>2911</v>
      </c>
      <c r="V835" s="22">
        <v>45929</v>
      </c>
      <c r="W835" s="54" t="s">
        <v>91</v>
      </c>
      <c r="X835" s="23"/>
      <c r="Y835" s="23" t="s">
        <v>92</v>
      </c>
      <c r="Z835" s="56" t="s">
        <v>2912</v>
      </c>
      <c r="AA835" s="24">
        <v>860489</v>
      </c>
      <c r="AB835" s="19"/>
      <c r="AC835" s="19"/>
      <c r="AD835" s="15" t="str">
        <f ca="1">IF(AND($D835&lt;&gt;"",COUNTIF(OFFSET(UFS!$E$2,MATCH($D835&amp;"",UFS!$A$2:$A$175,0)-1,0,COUNTIF(UFS!$A$2:$A$175,$D835&amp;""),1),M835)&gt;0),"Valide","Invalide")</f>
        <v>Valide</v>
      </c>
      <c r="AH835" s="15" t="str">
        <f t="shared" ref="AH835:AH898" si="13">IF(T835&lt;&gt;"","En attente","")</f>
        <v>En attente</v>
      </c>
    </row>
    <row r="836" spans="1:34" s="15" customFormat="1" ht="45" hidden="1" customHeight="1" x14ac:dyDescent="0.3">
      <c r="A836" s="42">
        <v>837</v>
      </c>
      <c r="B836" s="19" t="s">
        <v>24</v>
      </c>
      <c r="C836" s="19" t="s">
        <v>1</v>
      </c>
      <c r="D836" s="20" t="s">
        <v>233</v>
      </c>
      <c r="E836" s="20" t="s">
        <v>79</v>
      </c>
      <c r="F836" s="21" t="s">
        <v>80</v>
      </c>
      <c r="G836" s="38" t="s">
        <v>81</v>
      </c>
      <c r="H836" s="39" t="s">
        <v>82</v>
      </c>
      <c r="I836" s="39" t="s">
        <v>83</v>
      </c>
      <c r="J836" s="21" t="s">
        <v>124</v>
      </c>
      <c r="K836" s="21" t="s">
        <v>235</v>
      </c>
      <c r="L836" s="21" t="s">
        <v>177</v>
      </c>
      <c r="M836" s="21" t="s">
        <v>109</v>
      </c>
      <c r="N836" s="21" t="s">
        <v>109</v>
      </c>
      <c r="O836" s="20" t="s">
        <v>2913</v>
      </c>
      <c r="P836" s="45">
        <v>45929</v>
      </c>
      <c r="Q836" s="39" t="s">
        <v>2914</v>
      </c>
      <c r="R836" s="19">
        <v>439.57</v>
      </c>
      <c r="S836" s="21">
        <v>0.1</v>
      </c>
      <c r="T836" s="21">
        <v>483.52699999999999</v>
      </c>
      <c r="U836" s="44" t="s">
        <v>2915</v>
      </c>
      <c r="V836" s="22">
        <v>45929</v>
      </c>
      <c r="W836" s="54" t="s">
        <v>91</v>
      </c>
      <c r="X836" s="23"/>
      <c r="Y836" s="23" t="s">
        <v>92</v>
      </c>
      <c r="Z836" s="56" t="s">
        <v>928</v>
      </c>
      <c r="AA836" s="24">
        <v>860491</v>
      </c>
      <c r="AB836" s="47">
        <v>45936</v>
      </c>
      <c r="AC836" s="46" t="s">
        <v>94</v>
      </c>
      <c r="AD836" s="15" t="str">
        <f ca="1">IF(AND($D836&lt;&gt;"",COUNTIF(OFFSET(UFS!$E$2,MATCH($D836&amp;"",UFS!$A$2:$A$175,0)-1,0,COUNTIF(UFS!$A$2:$A$175,$D836&amp;""),1),M836)&gt;0),"Valide","Invalide")</f>
        <v>Valide</v>
      </c>
      <c r="AH836" s="15" t="str">
        <f t="shared" si="13"/>
        <v>En attente</v>
      </c>
    </row>
    <row r="837" spans="1:34" s="15" customFormat="1" ht="45" hidden="1" customHeight="1" x14ac:dyDescent="0.3">
      <c r="A837" s="42">
        <v>838</v>
      </c>
      <c r="B837" s="19" t="s">
        <v>709</v>
      </c>
      <c r="C837" s="19" t="s">
        <v>23</v>
      </c>
      <c r="D837" s="20" t="s">
        <v>134</v>
      </c>
      <c r="E837" s="20" t="s">
        <v>79</v>
      </c>
      <c r="F837" s="21" t="s">
        <v>80</v>
      </c>
      <c r="G837" s="38" t="s">
        <v>241</v>
      </c>
      <c r="H837" s="39" t="s">
        <v>643</v>
      </c>
      <c r="I837" s="39" t="s">
        <v>644</v>
      </c>
      <c r="J837" s="21" t="s">
        <v>124</v>
      </c>
      <c r="K837" s="21" t="s">
        <v>125</v>
      </c>
      <c r="L837" s="21" t="s">
        <v>711</v>
      </c>
      <c r="M837" s="21" t="s">
        <v>711</v>
      </c>
      <c r="N837" s="21" t="s">
        <v>102</v>
      </c>
      <c r="O837" s="20" t="s">
        <v>2916</v>
      </c>
      <c r="P837" s="45">
        <v>45910</v>
      </c>
      <c r="Q837" s="39" t="s">
        <v>2917</v>
      </c>
      <c r="R837" s="19" t="s">
        <v>2918</v>
      </c>
      <c r="S837" s="21">
        <v>0.1</v>
      </c>
      <c r="T837" s="21">
        <v>139.26</v>
      </c>
      <c r="U837" s="60" t="s">
        <v>2919</v>
      </c>
      <c r="V837" s="22">
        <v>45929</v>
      </c>
      <c r="W837" s="54" t="s">
        <v>91</v>
      </c>
      <c r="X837" s="23"/>
      <c r="Y837" s="23" t="s">
        <v>92</v>
      </c>
      <c r="Z837" s="56"/>
      <c r="AA837" s="24">
        <v>860496</v>
      </c>
      <c r="AB837" s="19"/>
      <c r="AC837" s="19"/>
      <c r="AD837" s="15" t="str">
        <f ca="1">IF(AND($D837&lt;&gt;"",COUNTIF(OFFSET(UFS!$E$2,MATCH($D837&amp;"",UFS!$A$2:$A$175,0)-1,0,COUNTIF(UFS!$A$2:$A$175,$D837&amp;""),1),M837)&gt;0),"Valide","Invalide")</f>
        <v>Invalide</v>
      </c>
      <c r="AH837" s="15" t="str">
        <f t="shared" si="13"/>
        <v>En attente</v>
      </c>
    </row>
    <row r="838" spans="1:34" s="15" customFormat="1" ht="45" hidden="1" customHeight="1" x14ac:dyDescent="0.3">
      <c r="A838" s="42">
        <v>839</v>
      </c>
      <c r="B838" s="19" t="s">
        <v>2</v>
      </c>
      <c r="C838" s="19" t="s">
        <v>2920</v>
      </c>
      <c r="D838" s="20" t="s">
        <v>200</v>
      </c>
      <c r="E838" s="20" t="s">
        <v>79</v>
      </c>
      <c r="F838" s="21" t="s">
        <v>80</v>
      </c>
      <c r="G838" s="38" t="s">
        <v>1169</v>
      </c>
      <c r="H838" s="39"/>
      <c r="I838" s="39"/>
      <c r="J838" s="21" t="s">
        <v>144</v>
      </c>
      <c r="K838" s="21" t="s">
        <v>145</v>
      </c>
      <c r="L838" s="21" t="s">
        <v>203</v>
      </c>
      <c r="M838" s="21" t="s">
        <v>109</v>
      </c>
      <c r="N838" s="21" t="s">
        <v>109</v>
      </c>
      <c r="O838" s="20" t="s">
        <v>2921</v>
      </c>
      <c r="P838" s="45">
        <v>45930</v>
      </c>
      <c r="Q838" s="39" t="s">
        <v>2922</v>
      </c>
      <c r="R838" s="19">
        <v>409.05</v>
      </c>
      <c r="S838" s="21">
        <v>0.2</v>
      </c>
      <c r="T838" s="21">
        <v>490.86</v>
      </c>
      <c r="U838" s="44" t="s">
        <v>2923</v>
      </c>
      <c r="V838" s="22">
        <v>45930</v>
      </c>
      <c r="W838" s="54" t="s">
        <v>91</v>
      </c>
      <c r="X838" s="23"/>
      <c r="Y838" s="23" t="s">
        <v>92</v>
      </c>
      <c r="Z838" s="56" t="s">
        <v>928</v>
      </c>
      <c r="AA838" s="24">
        <v>860362</v>
      </c>
      <c r="AB838" s="19"/>
      <c r="AC838" s="19"/>
      <c r="AD838" s="15" t="e">
        <f ca="1">IF(AND($D838&lt;&gt;"",COUNTIF(OFFSET(UFS!$E$2,MATCH($D838&amp;"",UFS!$A$2:$A$175,0)-1,0,COUNTIF(UFS!$A$2:$A$175,$D838&amp;""),1),M838)&gt;0),"Valide","Invalide")</f>
        <v>#N/A</v>
      </c>
      <c r="AH838" s="15" t="str">
        <f t="shared" si="13"/>
        <v>En attente</v>
      </c>
    </row>
    <row r="839" spans="1:34" s="15" customFormat="1" ht="45" hidden="1" customHeight="1" x14ac:dyDescent="0.3">
      <c r="A839" s="42">
        <v>840</v>
      </c>
      <c r="B839" s="19" t="s">
        <v>24</v>
      </c>
      <c r="C839" s="19" t="s">
        <v>15</v>
      </c>
      <c r="D839" s="20" t="s">
        <v>2924</v>
      </c>
      <c r="E839" s="20" t="s">
        <v>79</v>
      </c>
      <c r="F839" s="21" t="s">
        <v>80</v>
      </c>
      <c r="G839" s="38" t="s">
        <v>81</v>
      </c>
      <c r="H839" s="39" t="s">
        <v>139</v>
      </c>
      <c r="I839" s="39" t="s">
        <v>83</v>
      </c>
      <c r="J839" s="21" t="s">
        <v>124</v>
      </c>
      <c r="K839" s="21" t="s">
        <v>2925</v>
      </c>
      <c r="L839" s="21" t="s">
        <v>1660</v>
      </c>
      <c r="M839" s="21" t="s">
        <v>2926</v>
      </c>
      <c r="N839" s="21" t="s">
        <v>2926</v>
      </c>
      <c r="O839" s="20" t="s">
        <v>2927</v>
      </c>
      <c r="P839" s="45">
        <v>45926</v>
      </c>
      <c r="Q839" s="39"/>
      <c r="R839" s="19">
        <v>264</v>
      </c>
      <c r="S839" s="21">
        <v>0.2</v>
      </c>
      <c r="T839" s="21">
        <v>316.8</v>
      </c>
      <c r="U839" s="44" t="s">
        <v>2928</v>
      </c>
      <c r="V839" s="22">
        <v>45931</v>
      </c>
      <c r="W839" s="54" t="s">
        <v>91</v>
      </c>
      <c r="X839" s="23"/>
      <c r="Y839" s="23" t="s">
        <v>92</v>
      </c>
      <c r="Z839" s="56"/>
      <c r="AA839" s="24">
        <v>860502</v>
      </c>
      <c r="AB839" s="47">
        <v>45929</v>
      </c>
      <c r="AC839" s="46" t="s">
        <v>94</v>
      </c>
      <c r="AD839" s="15" t="str">
        <f ca="1">IF(AND($D839&lt;&gt;"",COUNTIF(OFFSET(UFS!$E$2,MATCH($D839&amp;"",UFS!$A$2:$A$175,0)-1,0,COUNTIF(UFS!$A$2:$A$175,$D839&amp;""),1),M839)&gt;0),"Valide","Invalide")</f>
        <v>Valide</v>
      </c>
      <c r="AH839" s="15" t="str">
        <f t="shared" si="13"/>
        <v>En attente</v>
      </c>
    </row>
    <row r="840" spans="1:34" s="15" customFormat="1" ht="45" hidden="1" customHeight="1" x14ac:dyDescent="0.3">
      <c r="A840" s="42">
        <v>841</v>
      </c>
      <c r="B840" s="19" t="s">
        <v>2</v>
      </c>
      <c r="C840" s="19" t="s">
        <v>2406</v>
      </c>
      <c r="D840" s="20" t="s">
        <v>222</v>
      </c>
      <c r="E840" s="20" t="s">
        <v>96</v>
      </c>
      <c r="F840" s="21" t="s">
        <v>223</v>
      </c>
      <c r="G840" s="38"/>
      <c r="H840" s="39"/>
      <c r="I840" s="39" t="s">
        <v>2929</v>
      </c>
      <c r="J840" s="21" t="s">
        <v>144</v>
      </c>
      <c r="K840" s="21" t="s">
        <v>145</v>
      </c>
      <c r="L840" s="21" t="s">
        <v>225</v>
      </c>
      <c r="M840" s="21" t="s">
        <v>226</v>
      </c>
      <c r="N840" s="21" t="s">
        <v>227</v>
      </c>
      <c r="O840" s="20" t="s">
        <v>2930</v>
      </c>
      <c r="P840" s="45">
        <v>45931</v>
      </c>
      <c r="Q840" s="39" t="s">
        <v>2931</v>
      </c>
      <c r="R840" s="19">
        <v>34803.120000000003</v>
      </c>
      <c r="S840" s="21">
        <v>0.2</v>
      </c>
      <c r="T840" s="21">
        <v>41763.744000000006</v>
      </c>
      <c r="U840" s="44" t="s">
        <v>2907</v>
      </c>
      <c r="V840" s="22">
        <v>45932</v>
      </c>
      <c r="W840" s="54" t="s">
        <v>91</v>
      </c>
      <c r="X840" s="23"/>
      <c r="Y840" s="23" t="s">
        <v>92</v>
      </c>
      <c r="Z840" s="76" t="s">
        <v>1338</v>
      </c>
      <c r="AA840" s="24">
        <v>861840</v>
      </c>
      <c r="AB840" s="19"/>
      <c r="AC840" s="19"/>
      <c r="AD840" s="15" t="str">
        <f ca="1">IF(AND($D840&lt;&gt;"",COUNTIF(OFFSET(UFS!$E$2,MATCH($D840&amp;"",UFS!$A$2:$A$175,0)-1,0,COUNTIF(UFS!$A$2:$A$175,$D840&amp;""),1),M840)&gt;0),"Valide","Invalide")</f>
        <v>Valide</v>
      </c>
      <c r="AH840" s="15" t="str">
        <f t="shared" si="13"/>
        <v>En attente</v>
      </c>
    </row>
    <row r="841" spans="1:34" s="15" customFormat="1" ht="45" hidden="1" customHeight="1" x14ac:dyDescent="0.3">
      <c r="A841" s="42">
        <v>842</v>
      </c>
      <c r="B841" s="19" t="s">
        <v>2</v>
      </c>
      <c r="C841" s="19" t="s">
        <v>2932</v>
      </c>
      <c r="D841" s="20" t="s">
        <v>222</v>
      </c>
      <c r="E841" s="20" t="s">
        <v>96</v>
      </c>
      <c r="F841" s="21" t="s">
        <v>223</v>
      </c>
      <c r="G841" s="38"/>
      <c r="H841" s="39"/>
      <c r="I841" s="39" t="s">
        <v>2929</v>
      </c>
      <c r="J841" s="21" t="s">
        <v>144</v>
      </c>
      <c r="K841" s="21" t="s">
        <v>145</v>
      </c>
      <c r="L841" s="21" t="s">
        <v>225</v>
      </c>
      <c r="M841" s="21" t="s">
        <v>226</v>
      </c>
      <c r="N841" s="21" t="s">
        <v>227</v>
      </c>
      <c r="O841" s="20" t="s">
        <v>2933</v>
      </c>
      <c r="P841" s="45">
        <v>45930</v>
      </c>
      <c r="Q841" s="39" t="s">
        <v>2931</v>
      </c>
      <c r="R841" s="19">
        <v>5926.39</v>
      </c>
      <c r="S841" s="21">
        <v>0.2</v>
      </c>
      <c r="T841" s="21">
        <v>7111.6680000000006</v>
      </c>
      <c r="U841" s="44" t="s">
        <v>2907</v>
      </c>
      <c r="V841" s="22">
        <v>45932</v>
      </c>
      <c r="W841" s="54" t="s">
        <v>91</v>
      </c>
      <c r="X841" s="23"/>
      <c r="Y841" s="23" t="s">
        <v>92</v>
      </c>
      <c r="Z841" s="76" t="s">
        <v>1338</v>
      </c>
      <c r="AA841" s="24">
        <v>861723</v>
      </c>
      <c r="AB841" s="19"/>
      <c r="AC841" s="19"/>
      <c r="AD841" s="15" t="str">
        <f ca="1">IF(AND($D841&lt;&gt;"",COUNTIF(OFFSET(UFS!$E$2,MATCH($D841&amp;"",UFS!$A$2:$A$175,0)-1,0,COUNTIF(UFS!$A$2:$A$175,$D841&amp;""),1),M841)&gt;0),"Valide","Invalide")</f>
        <v>Valide</v>
      </c>
      <c r="AH841" s="15" t="str">
        <f t="shared" si="13"/>
        <v>En attente</v>
      </c>
    </row>
    <row r="842" spans="1:34" s="15" customFormat="1" ht="78" customHeight="1" x14ac:dyDescent="0.3">
      <c r="A842" s="42">
        <v>843</v>
      </c>
      <c r="B842" s="19" t="s">
        <v>24</v>
      </c>
      <c r="C842" s="19" t="s">
        <v>1922</v>
      </c>
      <c r="D842" s="20" t="s">
        <v>123</v>
      </c>
      <c r="E842" s="20" t="s">
        <v>79</v>
      </c>
      <c r="F842" s="21" t="s">
        <v>80</v>
      </c>
      <c r="G842" s="38" t="s">
        <v>163</v>
      </c>
      <c r="H842" s="39"/>
      <c r="I842" s="39"/>
      <c r="J842" s="21" t="s">
        <v>124</v>
      </c>
      <c r="K842" s="21" t="s">
        <v>125</v>
      </c>
      <c r="L842" s="21" t="s">
        <v>126</v>
      </c>
      <c r="M842" s="21" t="s">
        <v>109</v>
      </c>
      <c r="N842" s="21" t="s">
        <v>109</v>
      </c>
      <c r="O842" s="20" t="s">
        <v>2934</v>
      </c>
      <c r="P842" s="45">
        <v>45910</v>
      </c>
      <c r="Q842" s="39" t="s">
        <v>2935</v>
      </c>
      <c r="R842" s="19">
        <v>2726.6</v>
      </c>
      <c r="S842" s="21">
        <v>0.1</v>
      </c>
      <c r="T842" s="21">
        <v>2999.2599999999998</v>
      </c>
      <c r="U842" s="44" t="s">
        <v>2936</v>
      </c>
      <c r="V842" s="22">
        <v>45932</v>
      </c>
      <c r="W842" s="54" t="s">
        <v>91</v>
      </c>
      <c r="X842" s="23"/>
      <c r="Y842" s="23" t="s">
        <v>92</v>
      </c>
      <c r="Z842" s="56" t="s">
        <v>928</v>
      </c>
      <c r="AA842" s="24">
        <v>860459</v>
      </c>
      <c r="AB842" s="47">
        <v>45940</v>
      </c>
      <c r="AC842" s="49" t="s">
        <v>161</v>
      </c>
      <c r="AD842" s="15" t="str">
        <f ca="1">IF(AND($D842&lt;&gt;"",COUNTIF(OFFSET(UFS!$E$2,MATCH($D842&amp;"",UFS!$A$2:$A$175,0)-1,0,COUNTIF(UFS!$A$2:$A$175,$D842&amp;""),1),M842)&gt;0),"Valide","Invalide")</f>
        <v>Valide</v>
      </c>
      <c r="AH842" s="15" t="str">
        <f t="shared" si="13"/>
        <v>En attente</v>
      </c>
    </row>
    <row r="843" spans="1:34" s="15" customFormat="1" ht="45" hidden="1" customHeight="1" x14ac:dyDescent="0.3">
      <c r="A843" s="42">
        <v>844</v>
      </c>
      <c r="B843" s="19" t="s">
        <v>2</v>
      </c>
      <c r="C843" s="19" t="s">
        <v>11</v>
      </c>
      <c r="D843" s="20" t="s">
        <v>222</v>
      </c>
      <c r="E843" s="20" t="s">
        <v>96</v>
      </c>
      <c r="F843" s="21" t="s">
        <v>223</v>
      </c>
      <c r="G843" s="38" t="s">
        <v>169</v>
      </c>
      <c r="H843" s="39"/>
      <c r="I843" s="39" t="s">
        <v>2929</v>
      </c>
      <c r="J843" s="21" t="s">
        <v>144</v>
      </c>
      <c r="K843" s="21" t="s">
        <v>145</v>
      </c>
      <c r="L843" s="21" t="s">
        <v>225</v>
      </c>
      <c r="M843" s="21" t="s">
        <v>226</v>
      </c>
      <c r="N843" s="21" t="s">
        <v>227</v>
      </c>
      <c r="O843" s="20" t="s">
        <v>2937</v>
      </c>
      <c r="P843" s="45">
        <v>45932</v>
      </c>
      <c r="Q843" s="39" t="s">
        <v>2938</v>
      </c>
      <c r="R843" s="19">
        <v>2446.65</v>
      </c>
      <c r="S843" s="21">
        <v>0.2</v>
      </c>
      <c r="T843" s="21">
        <v>2935.98</v>
      </c>
      <c r="U843" s="60" t="s">
        <v>2907</v>
      </c>
      <c r="V843" s="22">
        <v>45933</v>
      </c>
      <c r="W843" s="54" t="s">
        <v>91</v>
      </c>
      <c r="X843" s="23"/>
      <c r="Y843" s="23" t="s">
        <v>92</v>
      </c>
      <c r="Z843" s="56" t="s">
        <v>928</v>
      </c>
      <c r="AA843" s="24">
        <v>861203</v>
      </c>
      <c r="AB843" s="19"/>
      <c r="AC843" s="19"/>
      <c r="AD843" s="15" t="str">
        <f ca="1">IF(AND($D843&lt;&gt;"",COUNTIF(OFFSET(UFS!$E$2,MATCH($D843&amp;"",UFS!$A$2:$A$175,0)-1,0,COUNTIF(UFS!$A$2:$A$175,$D843&amp;""),1),M843)&gt;0),"Valide","Invalide")</f>
        <v>Valide</v>
      </c>
      <c r="AH843" s="15" t="str">
        <f t="shared" si="13"/>
        <v>En attente</v>
      </c>
    </row>
    <row r="844" spans="1:34" s="15" customFormat="1" ht="45" hidden="1" customHeight="1" x14ac:dyDescent="0.3">
      <c r="A844" s="42">
        <v>845</v>
      </c>
      <c r="B844" s="19" t="s">
        <v>24</v>
      </c>
      <c r="C844" s="19" t="s">
        <v>30</v>
      </c>
      <c r="D844" s="20" t="s">
        <v>882</v>
      </c>
      <c r="E844" s="20" t="s">
        <v>79</v>
      </c>
      <c r="F844" s="21" t="s">
        <v>80</v>
      </c>
      <c r="G844" s="38" t="s">
        <v>81</v>
      </c>
      <c r="H844" s="39"/>
      <c r="I844" s="39" t="s">
        <v>83</v>
      </c>
      <c r="J844" s="21" t="s">
        <v>883</v>
      </c>
      <c r="K844" s="21" t="s">
        <v>744</v>
      </c>
      <c r="L844" s="21" t="s">
        <v>126</v>
      </c>
      <c r="M844" s="21" t="s">
        <v>744</v>
      </c>
      <c r="N844" s="21" t="s">
        <v>884</v>
      </c>
      <c r="O844" s="20" t="s">
        <v>2939</v>
      </c>
      <c r="P844" s="45">
        <v>45933</v>
      </c>
      <c r="Q844" s="39" t="s">
        <v>2940</v>
      </c>
      <c r="R844" s="19">
        <v>4380.2</v>
      </c>
      <c r="S844" s="21">
        <v>0.2</v>
      </c>
      <c r="T844" s="21">
        <v>5256.24</v>
      </c>
      <c r="U844" s="44" t="s">
        <v>2941</v>
      </c>
      <c r="V844" s="22">
        <v>45933</v>
      </c>
      <c r="W844" s="54" t="s">
        <v>91</v>
      </c>
      <c r="X844" s="23"/>
      <c r="Y844" s="23" t="s">
        <v>92</v>
      </c>
      <c r="Z844" s="56"/>
      <c r="AA844" s="24">
        <v>860507</v>
      </c>
      <c r="AB844" s="47">
        <v>45940</v>
      </c>
      <c r="AC844" s="46" t="s">
        <v>94</v>
      </c>
      <c r="AD844" s="15" t="str">
        <f ca="1">IF(AND($D844&lt;&gt;"",COUNTIF(OFFSET(UFS!$E$2,MATCH($D844&amp;"",UFS!$A$2:$A$175,0)-1,0,COUNTIF(UFS!$A$2:$A$175,$D844&amp;""),1),M844)&gt;0),"Valide","Invalide")</f>
        <v>Valide</v>
      </c>
      <c r="AH844" s="15" t="str">
        <f t="shared" si="13"/>
        <v>En attente</v>
      </c>
    </row>
    <row r="845" spans="1:34" s="15" customFormat="1" ht="45" hidden="1" customHeight="1" x14ac:dyDescent="0.3">
      <c r="A845" s="42">
        <v>846</v>
      </c>
      <c r="B845" s="19" t="s">
        <v>24</v>
      </c>
      <c r="C845" s="19" t="s">
        <v>25</v>
      </c>
      <c r="D845" s="20" t="s">
        <v>872</v>
      </c>
      <c r="E845" s="20" t="s">
        <v>79</v>
      </c>
      <c r="F845" s="21" t="s">
        <v>80</v>
      </c>
      <c r="G845" s="38"/>
      <c r="H845" s="39"/>
      <c r="I845" s="39"/>
      <c r="J845" s="21" t="s">
        <v>124</v>
      </c>
      <c r="K845" s="21" t="s">
        <v>235</v>
      </c>
      <c r="L845" s="21" t="s">
        <v>246</v>
      </c>
      <c r="M845" s="21" t="s">
        <v>284</v>
      </c>
      <c r="N845" s="21" t="s">
        <v>873</v>
      </c>
      <c r="O845" s="20" t="s">
        <v>2942</v>
      </c>
      <c r="P845" s="45">
        <v>45931</v>
      </c>
      <c r="Q845" s="39" t="s">
        <v>2943</v>
      </c>
      <c r="R845" s="19">
        <v>8178.92</v>
      </c>
      <c r="S845" s="21">
        <v>0.2</v>
      </c>
      <c r="T845" s="21">
        <v>9814.7039999999997</v>
      </c>
      <c r="U845" s="44" t="s">
        <v>2944</v>
      </c>
      <c r="V845" s="22">
        <v>45933</v>
      </c>
      <c r="W845" s="54" t="s">
        <v>91</v>
      </c>
      <c r="X845" s="23"/>
      <c r="Y845" s="23" t="s">
        <v>92</v>
      </c>
      <c r="Z845" s="56" t="s">
        <v>1338</v>
      </c>
      <c r="AA845" s="24">
        <v>861646</v>
      </c>
      <c r="AB845" s="47">
        <v>45999</v>
      </c>
      <c r="AC845" s="46" t="s">
        <v>94</v>
      </c>
      <c r="AD845" s="15" t="str">
        <f ca="1">IF(AND($D845&lt;&gt;"",COUNTIF(OFFSET(UFS!$E$2,MATCH($D845&amp;"",UFS!$A$2:$A$175,0)-1,0,COUNTIF(UFS!$A$2:$A$175,$D845&amp;""),1),M845)&gt;0),"Valide","Invalide")</f>
        <v>Valide</v>
      </c>
      <c r="AH845" s="15" t="str">
        <f t="shared" si="13"/>
        <v>En attente</v>
      </c>
    </row>
    <row r="846" spans="1:34" s="15" customFormat="1" ht="45" hidden="1" customHeight="1" x14ac:dyDescent="0.3">
      <c r="A846" s="42">
        <v>847</v>
      </c>
      <c r="B846" s="19" t="s">
        <v>24</v>
      </c>
      <c r="C846" s="19" t="s">
        <v>11</v>
      </c>
      <c r="D846" s="20" t="s">
        <v>260</v>
      </c>
      <c r="E846" s="20" t="s">
        <v>79</v>
      </c>
      <c r="F846" s="21" t="s">
        <v>80</v>
      </c>
      <c r="G846" s="38" t="s">
        <v>81</v>
      </c>
      <c r="H846" s="39" t="s">
        <v>82</v>
      </c>
      <c r="I846" s="39" t="s">
        <v>83</v>
      </c>
      <c r="J846" s="21" t="s">
        <v>84</v>
      </c>
      <c r="K846" s="21" t="s">
        <v>113</v>
      </c>
      <c r="L846" s="21" t="s">
        <v>86</v>
      </c>
      <c r="M846" s="21" t="s">
        <v>109</v>
      </c>
      <c r="N846" s="21" t="s">
        <v>109</v>
      </c>
      <c r="O846" s="20" t="s">
        <v>2945</v>
      </c>
      <c r="P846" s="45">
        <v>45930</v>
      </c>
      <c r="Q846" s="39" t="s">
        <v>2946</v>
      </c>
      <c r="R846" s="19">
        <v>8381.92</v>
      </c>
      <c r="S846" s="21">
        <v>0.1</v>
      </c>
      <c r="T846" s="21">
        <v>9220.112000000001</v>
      </c>
      <c r="U846" s="44" t="s">
        <v>2947</v>
      </c>
      <c r="V846" s="22">
        <v>45933</v>
      </c>
      <c r="W846" s="54" t="s">
        <v>91</v>
      </c>
      <c r="X846" s="23"/>
      <c r="Y846" s="23" t="s">
        <v>92</v>
      </c>
      <c r="Z846" s="56" t="s">
        <v>928</v>
      </c>
      <c r="AA846" s="24">
        <v>861204</v>
      </c>
      <c r="AB846" s="47">
        <v>45992</v>
      </c>
      <c r="AC846" s="46" t="s">
        <v>94</v>
      </c>
      <c r="AD846" s="15" t="str">
        <f ca="1">IF(AND($D846&lt;&gt;"",COUNTIF(OFFSET(UFS!$E$2,MATCH($D846&amp;"",UFS!$A$2:$A$175,0)-1,0,COUNTIF(UFS!$A$2:$A$175,$D846&amp;""),1),M846)&gt;0),"Valide","Invalide")</f>
        <v>Valide</v>
      </c>
      <c r="AH846" s="15" t="str">
        <f t="shared" si="13"/>
        <v>En attente</v>
      </c>
    </row>
    <row r="847" spans="1:34" s="15" customFormat="1" ht="45" hidden="1" customHeight="1" x14ac:dyDescent="0.3">
      <c r="A847" s="42">
        <v>848</v>
      </c>
      <c r="B847" s="19" t="s">
        <v>709</v>
      </c>
      <c r="C847" s="19" t="s">
        <v>23</v>
      </c>
      <c r="D847" s="20" t="s">
        <v>1090</v>
      </c>
      <c r="E847" s="20" t="s">
        <v>79</v>
      </c>
      <c r="F847" s="21" t="s">
        <v>80</v>
      </c>
      <c r="G847" s="38" t="s">
        <v>241</v>
      </c>
      <c r="H847" s="39" t="s">
        <v>643</v>
      </c>
      <c r="I847" s="39" t="s">
        <v>644</v>
      </c>
      <c r="J847" s="21" t="s">
        <v>144</v>
      </c>
      <c r="K847" s="21" t="s">
        <v>145</v>
      </c>
      <c r="L847" s="21" t="s">
        <v>636</v>
      </c>
      <c r="M847" s="21" t="s">
        <v>1091</v>
      </c>
      <c r="N847" s="21" t="s">
        <v>102</v>
      </c>
      <c r="O847" s="20" t="s">
        <v>2948</v>
      </c>
      <c r="P847" s="45">
        <v>45931</v>
      </c>
      <c r="Q847" s="39" t="s">
        <v>2949</v>
      </c>
      <c r="R847" s="19">
        <v>346.36</v>
      </c>
      <c r="S847" s="21">
        <v>0.1</v>
      </c>
      <c r="T847" s="21">
        <v>381</v>
      </c>
      <c r="U847" s="60" t="s">
        <v>2950</v>
      </c>
      <c r="V847" s="22">
        <v>45933</v>
      </c>
      <c r="W847" s="54" t="s">
        <v>91</v>
      </c>
      <c r="X847" s="23"/>
      <c r="Y847" s="23" t="s">
        <v>92</v>
      </c>
      <c r="Z847" s="56" t="s">
        <v>928</v>
      </c>
      <c r="AA847" s="24">
        <v>861055</v>
      </c>
      <c r="AB847" s="19"/>
      <c r="AC847" s="19"/>
      <c r="AD847" s="15" t="str">
        <f ca="1">IF(AND($D847&lt;&gt;"",COUNTIF(OFFSET(UFS!$E$2,MATCH($D847&amp;"",UFS!$A$2:$A$175,0)-1,0,COUNTIF(UFS!$A$2:$A$175,$D847&amp;""),1),M847)&gt;0),"Valide","Invalide")</f>
        <v>Valide</v>
      </c>
      <c r="AH847" s="15" t="str">
        <f t="shared" si="13"/>
        <v>En attente</v>
      </c>
    </row>
    <row r="848" spans="1:34" s="15" customFormat="1" ht="45" hidden="1" customHeight="1" x14ac:dyDescent="0.3">
      <c r="A848" s="42">
        <v>849</v>
      </c>
      <c r="B848" s="19" t="s">
        <v>709</v>
      </c>
      <c r="C848" s="19" t="s">
        <v>23</v>
      </c>
      <c r="D848" s="20" t="s">
        <v>2951</v>
      </c>
      <c r="E848" s="20" t="s">
        <v>79</v>
      </c>
      <c r="F848" s="21" t="s">
        <v>80</v>
      </c>
      <c r="G848" s="38" t="s">
        <v>241</v>
      </c>
      <c r="H848" s="39" t="s">
        <v>643</v>
      </c>
      <c r="I848" s="39" t="s">
        <v>644</v>
      </c>
      <c r="J848" s="21" t="s">
        <v>98</v>
      </c>
      <c r="K848" s="21" t="s">
        <v>99</v>
      </c>
      <c r="L848" s="21" t="s">
        <v>100</v>
      </c>
      <c r="M848" s="21" t="s">
        <v>101</v>
      </c>
      <c r="N848" s="21" t="s">
        <v>711</v>
      </c>
      <c r="O848" s="20" t="s">
        <v>2952</v>
      </c>
      <c r="P848" s="45">
        <v>45932</v>
      </c>
      <c r="Q848" s="39" t="s">
        <v>2953</v>
      </c>
      <c r="R848" s="19">
        <v>286.38</v>
      </c>
      <c r="S848" s="21">
        <v>0.1</v>
      </c>
      <c r="T848" s="21">
        <v>315.02</v>
      </c>
      <c r="U848" s="60" t="s">
        <v>2954</v>
      </c>
      <c r="V848" s="22">
        <v>45933</v>
      </c>
      <c r="W848" s="54" t="s">
        <v>91</v>
      </c>
      <c r="X848" s="23"/>
      <c r="Y848" s="23" t="s">
        <v>92</v>
      </c>
      <c r="Z848" s="56" t="s">
        <v>928</v>
      </c>
      <c r="AA848" s="24">
        <v>861064</v>
      </c>
      <c r="AB848" s="19"/>
      <c r="AC848" s="19"/>
      <c r="AD848" s="15" t="str">
        <f ca="1">IF(AND($D848&lt;&gt;"",COUNTIF(OFFSET(UFS!$E$2,MATCH($D848&amp;"",UFS!$A$2:$A$175,0)-1,0,COUNTIF(UFS!$A$2:$A$175,$D848&amp;""),1),M848)&gt;0),"Valide","Invalide")</f>
        <v>Valide</v>
      </c>
      <c r="AH848" s="15" t="str">
        <f t="shared" si="13"/>
        <v>En attente</v>
      </c>
    </row>
    <row r="849" spans="1:34" s="15" customFormat="1" ht="45" hidden="1" customHeight="1" x14ac:dyDescent="0.3">
      <c r="A849" s="42">
        <v>850</v>
      </c>
      <c r="B849" s="19" t="s">
        <v>425</v>
      </c>
      <c r="C849" s="19" t="s">
        <v>896</v>
      </c>
      <c r="D849" s="20" t="s">
        <v>604</v>
      </c>
      <c r="E849" s="20" t="s">
        <v>79</v>
      </c>
      <c r="F849" s="21" t="s">
        <v>80</v>
      </c>
      <c r="G849" s="38" t="s">
        <v>81</v>
      </c>
      <c r="H849" s="39"/>
      <c r="I849" s="39"/>
      <c r="J849" s="21" t="s">
        <v>144</v>
      </c>
      <c r="K849" s="21" t="s">
        <v>145</v>
      </c>
      <c r="L849" s="21" t="s">
        <v>146</v>
      </c>
      <c r="M849" s="21" t="s">
        <v>146</v>
      </c>
      <c r="N849" s="21" t="s">
        <v>605</v>
      </c>
      <c r="O849" s="20" t="s">
        <v>2955</v>
      </c>
      <c r="P849" s="45">
        <v>45931</v>
      </c>
      <c r="Q849" s="39" t="s">
        <v>2956</v>
      </c>
      <c r="R849" s="19">
        <v>11160</v>
      </c>
      <c r="S849" s="21">
        <v>0.2</v>
      </c>
      <c r="T849" s="21">
        <v>13392</v>
      </c>
      <c r="U849" s="60" t="s">
        <v>2957</v>
      </c>
      <c r="V849" s="22">
        <v>45936</v>
      </c>
      <c r="W849" s="54" t="s">
        <v>91</v>
      </c>
      <c r="X849" s="23"/>
      <c r="Y849" s="23" t="s">
        <v>92</v>
      </c>
      <c r="Z849" s="78" t="s">
        <v>1338</v>
      </c>
      <c r="AA849" s="24">
        <v>862528</v>
      </c>
      <c r="AB849" s="19"/>
      <c r="AC849" s="19"/>
      <c r="AD849" s="15" t="str">
        <f ca="1">IF(AND($D849&lt;&gt;"",COUNTIF(OFFSET(UFS!$E$2,MATCH($D849&amp;"",UFS!$A$2:$A$175,0)-1,0,COUNTIF(UFS!$A$2:$A$175,$D849&amp;""),1),M849)&gt;0),"Valide","Invalide")</f>
        <v>Valide</v>
      </c>
      <c r="AH849" s="15" t="str">
        <f t="shared" si="13"/>
        <v>En attente</v>
      </c>
    </row>
    <row r="850" spans="1:34" s="15" customFormat="1" ht="45" hidden="1" customHeight="1" x14ac:dyDescent="0.3">
      <c r="A850" s="42">
        <v>851</v>
      </c>
      <c r="B850" s="19" t="s">
        <v>10</v>
      </c>
      <c r="C850" s="19" t="s">
        <v>2958</v>
      </c>
      <c r="D850" s="20" t="s">
        <v>200</v>
      </c>
      <c r="E850" s="20" t="s">
        <v>96</v>
      </c>
      <c r="F850" s="21" t="s">
        <v>80</v>
      </c>
      <c r="G850" s="38"/>
      <c r="H850" s="39"/>
      <c r="I850" s="39"/>
      <c r="J850" s="21" t="s">
        <v>144</v>
      </c>
      <c r="K850" s="21" t="s">
        <v>145</v>
      </c>
      <c r="L850" s="21" t="s">
        <v>203</v>
      </c>
      <c r="M850" s="21" t="s">
        <v>109</v>
      </c>
      <c r="N850" s="21" t="s">
        <v>109</v>
      </c>
      <c r="O850" s="20"/>
      <c r="P850" s="45">
        <v>45922</v>
      </c>
      <c r="Q850" s="39" t="s">
        <v>2959</v>
      </c>
      <c r="R850" s="19">
        <v>9450</v>
      </c>
      <c r="S850" s="21">
        <v>0.2</v>
      </c>
      <c r="T850" s="21">
        <v>11340</v>
      </c>
      <c r="U850" s="44" t="s">
        <v>2960</v>
      </c>
      <c r="V850" s="22">
        <v>45936</v>
      </c>
      <c r="W850" s="54" t="s">
        <v>91</v>
      </c>
      <c r="X850" s="23"/>
      <c r="Y850" s="23" t="s">
        <v>92</v>
      </c>
      <c r="Z850" s="79" t="s">
        <v>2961</v>
      </c>
      <c r="AA850" s="24">
        <v>863941</v>
      </c>
      <c r="AB850" s="19"/>
      <c r="AC850" s="19"/>
      <c r="AD850" s="15" t="e">
        <f ca="1">IF(AND($D850&lt;&gt;"",COUNTIF(OFFSET(UFS!$E$2,MATCH($D850&amp;"",UFS!$A$2:$A$175,0)-1,0,COUNTIF(UFS!$A$2:$A$175,$D850&amp;""),1),M850)&gt;0),"Valide","Invalide")</f>
        <v>#N/A</v>
      </c>
      <c r="AH850" s="15" t="str">
        <f t="shared" si="13"/>
        <v>En attente</v>
      </c>
    </row>
    <row r="851" spans="1:34" s="15" customFormat="1" ht="45" hidden="1" customHeight="1" x14ac:dyDescent="0.3">
      <c r="A851" s="42">
        <v>852</v>
      </c>
      <c r="B851" s="19" t="s">
        <v>425</v>
      </c>
      <c r="C851" s="19" t="s">
        <v>35</v>
      </c>
      <c r="D851" s="20" t="s">
        <v>604</v>
      </c>
      <c r="E851" s="20" t="s">
        <v>79</v>
      </c>
      <c r="F851" s="21" t="s">
        <v>80</v>
      </c>
      <c r="G851" s="38" t="s">
        <v>81</v>
      </c>
      <c r="H851" s="39" t="s">
        <v>426</v>
      </c>
      <c r="I851" s="39" t="s">
        <v>83</v>
      </c>
      <c r="J851" s="21" t="s">
        <v>144</v>
      </c>
      <c r="K851" s="21" t="s">
        <v>145</v>
      </c>
      <c r="L851" s="21" t="s">
        <v>146</v>
      </c>
      <c r="M851" s="21" t="s">
        <v>146</v>
      </c>
      <c r="N851" s="21" t="s">
        <v>605</v>
      </c>
      <c r="O851" s="20" t="s">
        <v>2962</v>
      </c>
      <c r="P851" s="45">
        <v>45940</v>
      </c>
      <c r="Q851" s="39" t="s">
        <v>2963</v>
      </c>
      <c r="R851" s="19">
        <v>1717.67</v>
      </c>
      <c r="S851" s="21">
        <v>0.2</v>
      </c>
      <c r="T851" s="21">
        <v>2061.2040000000002</v>
      </c>
      <c r="U851" s="44" t="s">
        <v>2964</v>
      </c>
      <c r="V851" s="22">
        <v>45937</v>
      </c>
      <c r="W851" s="54" t="s">
        <v>91</v>
      </c>
      <c r="X851" s="23"/>
      <c r="Y851" s="23" t="s">
        <v>92</v>
      </c>
      <c r="Z851" s="150" t="s">
        <v>1338</v>
      </c>
      <c r="AA851" s="24">
        <v>861884</v>
      </c>
      <c r="AB851" s="19"/>
      <c r="AC851" s="19"/>
      <c r="AD851" s="15" t="str">
        <f ca="1">IF(AND($D851&lt;&gt;"",COUNTIF(OFFSET(UFS!$E$2,MATCH($D851&amp;"",UFS!$A$2:$A$175,0)-1,0,COUNTIF(UFS!$A$2:$A$175,$D851&amp;""),1),M851)&gt;0),"Valide","Invalide")</f>
        <v>Valide</v>
      </c>
      <c r="AH851" s="15" t="str">
        <f t="shared" si="13"/>
        <v>En attente</v>
      </c>
    </row>
    <row r="852" spans="1:34" s="15" customFormat="1" ht="45" hidden="1" customHeight="1" x14ac:dyDescent="0.3">
      <c r="A852" s="42">
        <v>853</v>
      </c>
      <c r="B852" s="19" t="s">
        <v>16</v>
      </c>
      <c r="C852" s="19" t="s">
        <v>28</v>
      </c>
      <c r="D852" s="20" t="s">
        <v>1513</v>
      </c>
      <c r="E852" s="20" t="s">
        <v>96</v>
      </c>
      <c r="F852" s="21" t="s">
        <v>80</v>
      </c>
      <c r="G852" s="38" t="s">
        <v>294</v>
      </c>
      <c r="H852" s="39"/>
      <c r="I852" s="39" t="s">
        <v>572</v>
      </c>
      <c r="J852" s="21" t="s">
        <v>144</v>
      </c>
      <c r="K852" s="21" t="s">
        <v>145</v>
      </c>
      <c r="L852" s="21" t="s">
        <v>499</v>
      </c>
      <c r="M852" s="21" t="s">
        <v>1514</v>
      </c>
      <c r="N852" s="21" t="s">
        <v>529</v>
      </c>
      <c r="O852" s="144" t="s">
        <v>2965</v>
      </c>
      <c r="P852" s="45">
        <v>45937</v>
      </c>
      <c r="Q852" s="39" t="s">
        <v>2966</v>
      </c>
      <c r="R852" s="19">
        <v>838.08</v>
      </c>
      <c r="S852" s="21">
        <v>0.1</v>
      </c>
      <c r="T852" s="21">
        <v>921.88800000000003</v>
      </c>
      <c r="U852" s="60" t="s">
        <v>2967</v>
      </c>
      <c r="V852" s="22">
        <v>45937</v>
      </c>
      <c r="W852" s="54" t="s">
        <v>91</v>
      </c>
      <c r="X852" s="23"/>
      <c r="Y852" s="23" t="s">
        <v>92</v>
      </c>
      <c r="Z852" s="56" t="s">
        <v>928</v>
      </c>
      <c r="AA852" s="24">
        <v>861208</v>
      </c>
      <c r="AB852" s="47">
        <v>45959</v>
      </c>
      <c r="AC852" s="46" t="s">
        <v>94</v>
      </c>
      <c r="AD852" s="15" t="str">
        <f ca="1">IF(AND($D852&lt;&gt;"",COUNTIF(OFFSET(UFS!$E$2,MATCH($D852&amp;"",UFS!$A$2:$A$175,0)-1,0,COUNTIF(UFS!$A$2:$A$175,$D852&amp;""),1),M852)&gt;0),"Valide","Invalide")</f>
        <v>Valide</v>
      </c>
      <c r="AH852" s="15" t="str">
        <f t="shared" si="13"/>
        <v>En attente</v>
      </c>
    </row>
    <row r="853" spans="1:34" s="15" customFormat="1" ht="45" hidden="1" customHeight="1" x14ac:dyDescent="0.3">
      <c r="A853" s="42">
        <v>854</v>
      </c>
      <c r="B853" s="19" t="s">
        <v>16</v>
      </c>
      <c r="C853" s="19" t="s">
        <v>28</v>
      </c>
      <c r="D853" s="20" t="s">
        <v>1513</v>
      </c>
      <c r="E853" s="20" t="s">
        <v>96</v>
      </c>
      <c r="F853" s="21" t="s">
        <v>80</v>
      </c>
      <c r="G853" s="38" t="s">
        <v>294</v>
      </c>
      <c r="H853" s="39"/>
      <c r="I853" s="39" t="s">
        <v>572</v>
      </c>
      <c r="J853" s="21" t="s">
        <v>144</v>
      </c>
      <c r="K853" s="21" t="s">
        <v>145</v>
      </c>
      <c r="L853" s="21" t="s">
        <v>499</v>
      </c>
      <c r="M853" s="21" t="s">
        <v>1514</v>
      </c>
      <c r="N853" s="21" t="s">
        <v>529</v>
      </c>
      <c r="O853" s="144" t="s">
        <v>2968</v>
      </c>
      <c r="P853" s="45">
        <v>45937</v>
      </c>
      <c r="Q853" s="39" t="s">
        <v>2969</v>
      </c>
      <c r="R853" s="19">
        <v>3615.87</v>
      </c>
      <c r="S853" s="21">
        <v>0.1</v>
      </c>
      <c r="T853" s="21">
        <v>3977.4569999999999</v>
      </c>
      <c r="U853" s="60" t="s">
        <v>2967</v>
      </c>
      <c r="V853" s="22">
        <v>45937</v>
      </c>
      <c r="W853" s="54" t="s">
        <v>91</v>
      </c>
      <c r="X853" s="23"/>
      <c r="Y853" s="23" t="s">
        <v>92</v>
      </c>
      <c r="Z853" s="56" t="s">
        <v>928</v>
      </c>
      <c r="AA853" s="24">
        <v>861211</v>
      </c>
      <c r="AB853" s="47">
        <v>45959</v>
      </c>
      <c r="AC853" s="46" t="s">
        <v>94</v>
      </c>
      <c r="AD853" s="15" t="str">
        <f ca="1">IF(AND($D853&lt;&gt;"",COUNTIF(OFFSET(UFS!$E$2,MATCH($D853&amp;"",UFS!$A$2:$A$175,0)-1,0,COUNTIF(UFS!$A$2:$A$175,$D853&amp;""),1),M853)&gt;0),"Valide","Invalide")</f>
        <v>Valide</v>
      </c>
      <c r="AH853" s="15" t="str">
        <f t="shared" si="13"/>
        <v>En attente</v>
      </c>
    </row>
    <row r="854" spans="1:34" s="15" customFormat="1" ht="45" hidden="1" customHeight="1" x14ac:dyDescent="0.3">
      <c r="A854" s="42">
        <v>855</v>
      </c>
      <c r="B854" s="19" t="s">
        <v>16</v>
      </c>
      <c r="C854" s="19" t="s">
        <v>28</v>
      </c>
      <c r="D854" s="20" t="s">
        <v>1513</v>
      </c>
      <c r="E854" s="20" t="s">
        <v>96</v>
      </c>
      <c r="F854" s="21" t="s">
        <v>80</v>
      </c>
      <c r="G854" s="38" t="s">
        <v>294</v>
      </c>
      <c r="H854" s="39"/>
      <c r="I854" s="39" t="s">
        <v>572</v>
      </c>
      <c r="J854" s="21" t="s">
        <v>144</v>
      </c>
      <c r="K854" s="21" t="s">
        <v>145</v>
      </c>
      <c r="L854" s="21" t="s">
        <v>499</v>
      </c>
      <c r="M854" s="21" t="s">
        <v>1514</v>
      </c>
      <c r="N854" s="21" t="s">
        <v>529</v>
      </c>
      <c r="O854" s="144" t="s">
        <v>2970</v>
      </c>
      <c r="P854" s="45">
        <v>45937</v>
      </c>
      <c r="Q854" s="39" t="s">
        <v>2971</v>
      </c>
      <c r="R854" s="19">
        <v>1271.24</v>
      </c>
      <c r="S854" s="21">
        <v>0.1</v>
      </c>
      <c r="T854" s="21">
        <v>1398.364</v>
      </c>
      <c r="U854" s="60" t="s">
        <v>2967</v>
      </c>
      <c r="V854" s="22">
        <v>45937</v>
      </c>
      <c r="W854" s="54" t="s">
        <v>91</v>
      </c>
      <c r="X854" s="23"/>
      <c r="Y854" s="23" t="s">
        <v>92</v>
      </c>
      <c r="Z854" s="56" t="s">
        <v>928</v>
      </c>
      <c r="AA854" s="24">
        <v>861214</v>
      </c>
      <c r="AB854" s="47">
        <v>45959</v>
      </c>
      <c r="AC854" s="46" t="s">
        <v>94</v>
      </c>
      <c r="AD854" s="15" t="str">
        <f ca="1">IF(AND($D854&lt;&gt;"",COUNTIF(OFFSET(UFS!$E$2,MATCH($D854&amp;"",UFS!$A$2:$A$175,0)-1,0,COUNTIF(UFS!$A$2:$A$175,$D854&amp;""),1),M854)&gt;0),"Valide","Invalide")</f>
        <v>Valide</v>
      </c>
      <c r="AH854" s="15" t="str">
        <f t="shared" si="13"/>
        <v>En attente</v>
      </c>
    </row>
    <row r="855" spans="1:34" s="15" customFormat="1" ht="45" hidden="1" customHeight="1" x14ac:dyDescent="0.3">
      <c r="A855" s="42">
        <v>856</v>
      </c>
      <c r="B855" s="19" t="s">
        <v>709</v>
      </c>
      <c r="C855" s="19" t="s">
        <v>1875</v>
      </c>
      <c r="D855" s="20" t="s">
        <v>222</v>
      </c>
      <c r="E855" s="20" t="s">
        <v>79</v>
      </c>
      <c r="F855" s="21" t="s">
        <v>80</v>
      </c>
      <c r="G855" s="38" t="s">
        <v>241</v>
      </c>
      <c r="H855" s="39" t="s">
        <v>643</v>
      </c>
      <c r="I855" s="39" t="s">
        <v>644</v>
      </c>
      <c r="J855" s="21" t="s">
        <v>144</v>
      </c>
      <c r="K855" s="21" t="s">
        <v>145</v>
      </c>
      <c r="L855" s="21" t="s">
        <v>225</v>
      </c>
      <c r="M855" s="21" t="s">
        <v>227</v>
      </c>
      <c r="N855" s="21" t="s">
        <v>711</v>
      </c>
      <c r="O855" s="20" t="s">
        <v>2972</v>
      </c>
      <c r="P855" s="45">
        <v>45649</v>
      </c>
      <c r="Q855" s="39" t="s">
        <v>2973</v>
      </c>
      <c r="R855" s="19">
        <v>475</v>
      </c>
      <c r="S855" s="21">
        <v>0.2</v>
      </c>
      <c r="T855" s="21">
        <v>570</v>
      </c>
      <c r="U855" s="60" t="s">
        <v>2974</v>
      </c>
      <c r="V855" s="145">
        <v>45937</v>
      </c>
      <c r="W855" s="54" t="s">
        <v>91</v>
      </c>
      <c r="X855" s="23"/>
      <c r="Y855" s="23" t="s">
        <v>92</v>
      </c>
      <c r="Z855" s="56" t="s">
        <v>2975</v>
      </c>
      <c r="AA855" s="24">
        <v>860918</v>
      </c>
      <c r="AB855" s="19"/>
      <c r="AC855" s="19"/>
      <c r="AD855" s="15" t="str">
        <f ca="1">IF(AND($D855&lt;&gt;"",COUNTIF(OFFSET(UFS!$E$2,MATCH($D855&amp;"",UFS!$A$2:$A$175,0)-1,0,COUNTIF(UFS!$A$2:$A$175,$D855&amp;""),1),M855)&gt;0),"Valide","Invalide")</f>
        <v>Invalide</v>
      </c>
      <c r="AH855" s="15" t="str">
        <f t="shared" si="13"/>
        <v>En attente</v>
      </c>
    </row>
    <row r="856" spans="1:34" s="15" customFormat="1" ht="45" hidden="1" customHeight="1" x14ac:dyDescent="0.3">
      <c r="A856" s="42">
        <v>857</v>
      </c>
      <c r="B856" s="19" t="s">
        <v>26</v>
      </c>
      <c r="C856" s="19" t="s">
        <v>25</v>
      </c>
      <c r="D856" s="20" t="s">
        <v>490</v>
      </c>
      <c r="E856" s="20" t="s">
        <v>79</v>
      </c>
      <c r="F856" s="21" t="s">
        <v>80</v>
      </c>
      <c r="G856" s="38" t="s">
        <v>182</v>
      </c>
      <c r="H856" s="39" t="s">
        <v>82</v>
      </c>
      <c r="I856" s="39" t="s">
        <v>83</v>
      </c>
      <c r="J856" s="21" t="s">
        <v>183</v>
      </c>
      <c r="K856" s="21" t="s">
        <v>491</v>
      </c>
      <c r="L856" s="21" t="s">
        <v>492</v>
      </c>
      <c r="M856" s="21" t="s">
        <v>491</v>
      </c>
      <c r="N856" s="21" t="s">
        <v>87</v>
      </c>
      <c r="O856" s="20" t="s">
        <v>2976</v>
      </c>
      <c r="P856" s="45">
        <v>45926</v>
      </c>
      <c r="Q856" s="39" t="s">
        <v>2977</v>
      </c>
      <c r="R856" s="19">
        <v>1732.4</v>
      </c>
      <c r="S856" s="21">
        <v>0.2</v>
      </c>
      <c r="T856" s="21">
        <v>2078.88</v>
      </c>
      <c r="U856" s="60" t="s">
        <v>2978</v>
      </c>
      <c r="V856" s="22">
        <v>45937</v>
      </c>
      <c r="W856" s="54" t="s">
        <v>91</v>
      </c>
      <c r="X856" s="23"/>
      <c r="Y856" s="23" t="s">
        <v>92</v>
      </c>
      <c r="Z856" s="56" t="s">
        <v>928</v>
      </c>
      <c r="AA856" s="24">
        <v>861216</v>
      </c>
      <c r="AB856" s="19"/>
      <c r="AC856" s="46" t="s">
        <v>94</v>
      </c>
      <c r="AD856" s="15" t="str">
        <f ca="1">IF(AND($D856&lt;&gt;"",COUNTIF(OFFSET(UFS!$E$2,MATCH($D856&amp;"",UFS!$A$2:$A$175,0)-1,0,COUNTIF(UFS!$A$2:$A$175,$D856&amp;""),1),M856)&gt;0),"Valide","Invalide")</f>
        <v>Valide</v>
      </c>
      <c r="AH856" s="15" t="str">
        <f t="shared" si="13"/>
        <v>En attente</v>
      </c>
    </row>
    <row r="857" spans="1:34" s="15" customFormat="1" ht="45" hidden="1" customHeight="1" x14ac:dyDescent="0.3">
      <c r="A857" s="42">
        <v>858</v>
      </c>
      <c r="B857" s="19" t="s">
        <v>26</v>
      </c>
      <c r="C857" s="19" t="s">
        <v>25</v>
      </c>
      <c r="D857" s="20" t="s">
        <v>95</v>
      </c>
      <c r="E857" s="20" t="s">
        <v>79</v>
      </c>
      <c r="F857" s="21" t="s">
        <v>80</v>
      </c>
      <c r="G857" s="38" t="s">
        <v>182</v>
      </c>
      <c r="H857" s="39" t="s">
        <v>82</v>
      </c>
      <c r="I857" s="39" t="s">
        <v>83</v>
      </c>
      <c r="J857" s="21" t="s">
        <v>98</v>
      </c>
      <c r="K857" s="21" t="s">
        <v>99</v>
      </c>
      <c r="L857" s="21" t="s">
        <v>100</v>
      </c>
      <c r="M857" s="21" t="s">
        <v>101</v>
      </c>
      <c r="N857" s="21" t="s">
        <v>102</v>
      </c>
      <c r="O857" s="20" t="s">
        <v>2979</v>
      </c>
      <c r="P857" s="45" t="s">
        <v>2980</v>
      </c>
      <c r="Q857" s="39" t="s">
        <v>2981</v>
      </c>
      <c r="R857" s="19">
        <v>3067.9</v>
      </c>
      <c r="S857" s="21">
        <v>0.1</v>
      </c>
      <c r="T857" s="21">
        <v>3374.69</v>
      </c>
      <c r="U857" s="60" t="s">
        <v>2982</v>
      </c>
      <c r="V857" s="22">
        <v>45937</v>
      </c>
      <c r="W857" s="54" t="s">
        <v>91</v>
      </c>
      <c r="X857" s="23"/>
      <c r="Y857" s="23" t="s">
        <v>92</v>
      </c>
      <c r="Z857" s="56" t="s">
        <v>928</v>
      </c>
      <c r="AA857" s="24">
        <v>861220</v>
      </c>
      <c r="AB857" s="19"/>
      <c r="AC857" s="49" t="s">
        <v>161</v>
      </c>
      <c r="AD857" s="15" t="str">
        <f ca="1">IF(AND($D857&lt;&gt;"",COUNTIF(OFFSET(UFS!$E$2,MATCH($D857&amp;"",UFS!$A$2:$A$175,0)-1,0,COUNTIF(UFS!$A$2:$A$175,$D857&amp;""),1),M857)&gt;0),"Valide","Invalide")</f>
        <v>Valide</v>
      </c>
      <c r="AH857" s="15" t="str">
        <f t="shared" si="13"/>
        <v>En attente</v>
      </c>
    </row>
    <row r="858" spans="1:34" s="15" customFormat="1" ht="45" hidden="1" customHeight="1" x14ac:dyDescent="0.3">
      <c r="A858" s="42">
        <v>859</v>
      </c>
      <c r="B858" s="19" t="s">
        <v>26</v>
      </c>
      <c r="C858" s="19" t="s">
        <v>1</v>
      </c>
      <c r="D858" s="20" t="s">
        <v>2033</v>
      </c>
      <c r="E858" s="20" t="s">
        <v>96</v>
      </c>
      <c r="F858" s="21" t="s">
        <v>80</v>
      </c>
      <c r="G858" s="38" t="s">
        <v>288</v>
      </c>
      <c r="H858" s="39"/>
      <c r="I858" s="39" t="s">
        <v>2889</v>
      </c>
      <c r="J858" s="21" t="s">
        <v>144</v>
      </c>
      <c r="K858" s="21" t="s">
        <v>145</v>
      </c>
      <c r="L858" s="21" t="s">
        <v>254</v>
      </c>
      <c r="M858" s="21" t="s">
        <v>255</v>
      </c>
      <c r="N858" s="21" t="s">
        <v>2035</v>
      </c>
      <c r="O858" s="20" t="s">
        <v>2983</v>
      </c>
      <c r="P858" s="45">
        <v>45932</v>
      </c>
      <c r="Q858" s="39" t="s">
        <v>2984</v>
      </c>
      <c r="R858" s="19">
        <v>1560.33</v>
      </c>
      <c r="S858" s="21">
        <v>0.2</v>
      </c>
      <c r="T858" s="21">
        <v>1872.396</v>
      </c>
      <c r="U858" s="60" t="s">
        <v>2985</v>
      </c>
      <c r="V858" s="22">
        <v>45937</v>
      </c>
      <c r="W858" s="54" t="s">
        <v>91</v>
      </c>
      <c r="X858" s="23"/>
      <c r="Y858" s="23" t="s">
        <v>92</v>
      </c>
      <c r="Z858" s="56" t="s">
        <v>928</v>
      </c>
      <c r="AA858" s="24">
        <v>861223</v>
      </c>
      <c r="AB858" s="19"/>
      <c r="AC858" s="46" t="s">
        <v>94</v>
      </c>
      <c r="AD858" s="15" t="str">
        <f ca="1">IF(AND($D858&lt;&gt;"",COUNTIF(OFFSET(UFS!$E$2,MATCH($D858&amp;"",UFS!$A$2:$A$175,0)-1,0,COUNTIF(UFS!$A$2:$A$175,$D858&amp;""),1),M858)&gt;0),"Valide","Invalide")</f>
        <v>Valide</v>
      </c>
      <c r="AH858" s="15" t="str">
        <f t="shared" si="13"/>
        <v>En attente</v>
      </c>
    </row>
    <row r="859" spans="1:34" s="15" customFormat="1" ht="45" hidden="1" customHeight="1" x14ac:dyDescent="0.3">
      <c r="A859" s="42">
        <v>860</v>
      </c>
      <c r="B859" s="19" t="s">
        <v>26</v>
      </c>
      <c r="C859" s="19" t="s">
        <v>1</v>
      </c>
      <c r="D859" s="20" t="s">
        <v>516</v>
      </c>
      <c r="E859" s="20" t="s">
        <v>79</v>
      </c>
      <c r="F859" s="21" t="s">
        <v>80</v>
      </c>
      <c r="G859" s="38" t="s">
        <v>182</v>
      </c>
      <c r="H859" s="39" t="s">
        <v>82</v>
      </c>
      <c r="I859" s="39" t="s">
        <v>83</v>
      </c>
      <c r="J859" s="21" t="s">
        <v>497</v>
      </c>
      <c r="K859" s="21" t="s">
        <v>498</v>
      </c>
      <c r="L859" s="21" t="s">
        <v>499</v>
      </c>
      <c r="M859" s="21" t="s">
        <v>498</v>
      </c>
      <c r="N859" s="21" t="s">
        <v>151</v>
      </c>
      <c r="O859" s="20" t="s">
        <v>2986</v>
      </c>
      <c r="P859" s="45">
        <v>45944</v>
      </c>
      <c r="Q859" s="39" t="s">
        <v>2987</v>
      </c>
      <c r="R859" s="19">
        <v>10748.2</v>
      </c>
      <c r="S859" s="21">
        <v>0.2</v>
      </c>
      <c r="T859" s="21">
        <v>12897.84</v>
      </c>
      <c r="U859" s="60" t="s">
        <v>2988</v>
      </c>
      <c r="V859" s="22">
        <v>45937</v>
      </c>
      <c r="W859" s="54" t="s">
        <v>91</v>
      </c>
      <c r="X859" s="23"/>
      <c r="Y859" s="23" t="s">
        <v>92</v>
      </c>
      <c r="Z859" s="148" t="s">
        <v>1338</v>
      </c>
      <c r="AA859" s="24">
        <v>861621</v>
      </c>
      <c r="AB859" s="19"/>
      <c r="AC859" s="19"/>
      <c r="AD859" s="15" t="str">
        <f ca="1">IF(AND($D859&lt;&gt;"",COUNTIF(OFFSET(UFS!$E$2,MATCH($D859&amp;"",UFS!$A$2:$A$175,0)-1,0,COUNTIF(UFS!$A$2:$A$175,$D859&amp;""),1),M859)&gt;0),"Valide","Invalide")</f>
        <v>Valide</v>
      </c>
      <c r="AH859" s="15" t="str">
        <f t="shared" si="13"/>
        <v>En attente</v>
      </c>
    </row>
    <row r="860" spans="1:34" s="15" customFormat="1" ht="45" hidden="1" customHeight="1" x14ac:dyDescent="0.3">
      <c r="A860" s="42">
        <v>861</v>
      </c>
      <c r="B860" s="19" t="s">
        <v>26</v>
      </c>
      <c r="C860" s="19" t="s">
        <v>34</v>
      </c>
      <c r="D860" s="20" t="s">
        <v>95</v>
      </c>
      <c r="E860" s="20" t="s">
        <v>79</v>
      </c>
      <c r="F860" s="21" t="s">
        <v>80</v>
      </c>
      <c r="G860" s="38" t="s">
        <v>182</v>
      </c>
      <c r="H860" s="39" t="s">
        <v>267</v>
      </c>
      <c r="I860" s="39" t="s">
        <v>83</v>
      </c>
      <c r="J860" s="21" t="s">
        <v>98</v>
      </c>
      <c r="K860" s="21" t="s">
        <v>99</v>
      </c>
      <c r="L860" s="21" t="s">
        <v>100</v>
      </c>
      <c r="M860" s="21" t="s">
        <v>101</v>
      </c>
      <c r="N860" s="21" t="s">
        <v>102</v>
      </c>
      <c r="O860" s="20" t="s">
        <v>2989</v>
      </c>
      <c r="P860" s="45">
        <v>45924</v>
      </c>
      <c r="Q860" s="39" t="s">
        <v>2990</v>
      </c>
      <c r="R860" s="19">
        <v>1314.84</v>
      </c>
      <c r="S860" s="21">
        <v>0.1</v>
      </c>
      <c r="T860" s="21">
        <v>1446.3239999999998</v>
      </c>
      <c r="U860" s="60" t="s">
        <v>2991</v>
      </c>
      <c r="V860" s="22">
        <v>45937</v>
      </c>
      <c r="W860" s="54" t="s">
        <v>91</v>
      </c>
      <c r="X860" s="23"/>
      <c r="Y860" s="23" t="s">
        <v>92</v>
      </c>
      <c r="Z860" s="56" t="s">
        <v>928</v>
      </c>
      <c r="AA860" s="24">
        <v>861227</v>
      </c>
      <c r="AB860" s="19"/>
      <c r="AC860" s="19"/>
      <c r="AD860" s="15" t="str">
        <f ca="1">IF(AND($D860&lt;&gt;"",COUNTIF(OFFSET(UFS!$E$2,MATCH($D860&amp;"",UFS!$A$2:$A$175,0)-1,0,COUNTIF(UFS!$A$2:$A$175,$D860&amp;""),1),M860)&gt;0),"Valide","Invalide")</f>
        <v>Valide</v>
      </c>
      <c r="AH860" s="15" t="str">
        <f t="shared" si="13"/>
        <v>En attente</v>
      </c>
    </row>
    <row r="861" spans="1:34" s="15" customFormat="1" ht="45" hidden="1" customHeight="1" x14ac:dyDescent="0.3">
      <c r="A861" s="42">
        <v>862</v>
      </c>
      <c r="B861" s="19" t="s">
        <v>14</v>
      </c>
      <c r="C861" s="19" t="s">
        <v>13</v>
      </c>
      <c r="D861" s="20" t="s">
        <v>200</v>
      </c>
      <c r="E861" s="20" t="s">
        <v>96</v>
      </c>
      <c r="F861" s="21" t="s">
        <v>80</v>
      </c>
      <c r="G861" s="38" t="s">
        <v>681</v>
      </c>
      <c r="H861" s="39"/>
      <c r="I861" s="39" t="s">
        <v>2851</v>
      </c>
      <c r="J861" s="21" t="s">
        <v>144</v>
      </c>
      <c r="K861" s="21" t="s">
        <v>145</v>
      </c>
      <c r="L861" s="21" t="s">
        <v>203</v>
      </c>
      <c r="M861" s="21" t="s">
        <v>109</v>
      </c>
      <c r="N861" s="21" t="s">
        <v>109</v>
      </c>
      <c r="O861" s="20" t="s">
        <v>2992</v>
      </c>
      <c r="P861" s="45">
        <v>45926</v>
      </c>
      <c r="Q861" s="39" t="s">
        <v>2993</v>
      </c>
      <c r="R861" s="19">
        <v>33550.79</v>
      </c>
      <c r="S861" s="21">
        <v>0.2</v>
      </c>
      <c r="T861" s="21">
        <v>40260.948000000004</v>
      </c>
      <c r="U861" s="60" t="s">
        <v>2994</v>
      </c>
      <c r="V861" s="22">
        <v>45938</v>
      </c>
      <c r="W861" s="54" t="s">
        <v>91</v>
      </c>
      <c r="X861" s="23"/>
      <c r="Y861" s="23" t="s">
        <v>92</v>
      </c>
      <c r="Z861" s="56" t="s">
        <v>928</v>
      </c>
      <c r="AA861" s="24">
        <v>860836</v>
      </c>
      <c r="AB861" s="19"/>
      <c r="AC861" s="19"/>
      <c r="AD861" s="15" t="e">
        <f ca="1">IF(AND($D861&lt;&gt;"",COUNTIF(OFFSET(UFS!$E$2,MATCH($D861&amp;"",UFS!$A$2:$A$175,0)-1,0,COUNTIF(UFS!$A$2:$A$175,$D861&amp;""),1),M861)&gt;0),"Valide","Invalide")</f>
        <v>#N/A</v>
      </c>
      <c r="AH861" s="15" t="str">
        <f t="shared" si="13"/>
        <v>En attente</v>
      </c>
    </row>
    <row r="862" spans="1:34" s="15" customFormat="1" ht="45" hidden="1" customHeight="1" x14ac:dyDescent="0.3">
      <c r="A862" s="42">
        <v>863</v>
      </c>
      <c r="B862" s="19" t="s">
        <v>709</v>
      </c>
      <c r="C862" s="19" t="s">
        <v>23</v>
      </c>
      <c r="D862" s="20" t="s">
        <v>582</v>
      </c>
      <c r="E862" s="20" t="s">
        <v>79</v>
      </c>
      <c r="F862" s="21" t="s">
        <v>80</v>
      </c>
      <c r="G862" s="38" t="s">
        <v>241</v>
      </c>
      <c r="H862" s="39" t="s">
        <v>643</v>
      </c>
      <c r="I862" s="39" t="s">
        <v>644</v>
      </c>
      <c r="J862" s="21" t="s">
        <v>144</v>
      </c>
      <c r="K862" s="21" t="s">
        <v>145</v>
      </c>
      <c r="L862" s="21" t="s">
        <v>328</v>
      </c>
      <c r="M862" s="21" t="s">
        <v>2528</v>
      </c>
      <c r="N862" s="21" t="s">
        <v>102</v>
      </c>
      <c r="O862" s="20" t="s">
        <v>2995</v>
      </c>
      <c r="P862" s="45">
        <v>45937</v>
      </c>
      <c r="Q862" s="39" t="s">
        <v>2996</v>
      </c>
      <c r="R862" s="19">
        <v>497.08</v>
      </c>
      <c r="S862" s="21">
        <v>0.1</v>
      </c>
      <c r="T862" s="21">
        <v>546.79</v>
      </c>
      <c r="U862" s="60" t="s">
        <v>2997</v>
      </c>
      <c r="V862" s="22">
        <v>45939</v>
      </c>
      <c r="W862" s="54" t="s">
        <v>91</v>
      </c>
      <c r="X862" s="23"/>
      <c r="Y862" s="23" t="s">
        <v>92</v>
      </c>
      <c r="Z862" s="56" t="s">
        <v>1338</v>
      </c>
      <c r="AA862" s="24">
        <v>861649</v>
      </c>
      <c r="AB862" s="19"/>
      <c r="AC862" s="19"/>
      <c r="AD862" s="15" t="str">
        <f ca="1">IF(AND($D862&lt;&gt;"",COUNTIF(OFFSET(UFS!$E$2,MATCH($D862&amp;"",UFS!$A$2:$A$175,0)-1,0,COUNTIF(UFS!$A$2:$A$175,$D862&amp;""),1),M862)&gt;0),"Valide","Invalide")</f>
        <v>Valide</v>
      </c>
      <c r="AH862" s="15" t="str">
        <f t="shared" si="13"/>
        <v>En attente</v>
      </c>
    </row>
    <row r="863" spans="1:34" s="15" customFormat="1" ht="45" hidden="1" customHeight="1" x14ac:dyDescent="0.3">
      <c r="A863" s="42">
        <v>864</v>
      </c>
      <c r="B863" s="19" t="s">
        <v>709</v>
      </c>
      <c r="C863" s="19" t="s">
        <v>23</v>
      </c>
      <c r="D863" s="20" t="s">
        <v>800</v>
      </c>
      <c r="E863" s="20" t="s">
        <v>79</v>
      </c>
      <c r="F863" s="21" t="s">
        <v>80</v>
      </c>
      <c r="G863" s="38" t="s">
        <v>241</v>
      </c>
      <c r="H863" s="39" t="s">
        <v>643</v>
      </c>
      <c r="I863" s="39" t="s">
        <v>644</v>
      </c>
      <c r="J863" s="21" t="s">
        <v>144</v>
      </c>
      <c r="K863" s="21" t="s">
        <v>145</v>
      </c>
      <c r="L863" s="21" t="s">
        <v>499</v>
      </c>
      <c r="M863" s="21" t="s">
        <v>801</v>
      </c>
      <c r="N863" s="21" t="s">
        <v>102</v>
      </c>
      <c r="O863" s="20" t="s">
        <v>2998</v>
      </c>
      <c r="P863" s="45">
        <v>45936</v>
      </c>
      <c r="Q863" s="39" t="s">
        <v>2999</v>
      </c>
      <c r="R863" s="19">
        <v>394.5</v>
      </c>
      <c r="S863" s="21">
        <v>0.1</v>
      </c>
      <c r="T863" s="21">
        <v>433.95</v>
      </c>
      <c r="U863" s="60" t="s">
        <v>3000</v>
      </c>
      <c r="V863" s="22">
        <v>45939</v>
      </c>
      <c r="W863" s="54" t="s">
        <v>91</v>
      </c>
      <c r="X863" s="23"/>
      <c r="Y863" s="23" t="s">
        <v>92</v>
      </c>
      <c r="Z863" s="56" t="s">
        <v>1338</v>
      </c>
      <c r="AA863" s="24">
        <v>861650</v>
      </c>
      <c r="AB863" s="19"/>
      <c r="AC863" s="19"/>
      <c r="AD863" s="15" t="str">
        <f ca="1">IF(AND($D863&lt;&gt;"",COUNTIF(OFFSET(UFS!$E$2,MATCH($D863&amp;"",UFS!$A$2:$A$175,0)-1,0,COUNTIF(UFS!$A$2:$A$175,$D863&amp;""),1),M863)&gt;0),"Valide","Invalide")</f>
        <v>Valide</v>
      </c>
      <c r="AH863" s="15" t="str">
        <f t="shared" si="13"/>
        <v>En attente</v>
      </c>
    </row>
    <row r="864" spans="1:34" s="15" customFormat="1" ht="45" hidden="1" customHeight="1" x14ac:dyDescent="0.3">
      <c r="A864" s="42">
        <v>865</v>
      </c>
      <c r="B864" s="19" t="s">
        <v>709</v>
      </c>
      <c r="C864" s="19" t="s">
        <v>23</v>
      </c>
      <c r="D864" s="20" t="s">
        <v>251</v>
      </c>
      <c r="E864" s="20" t="s">
        <v>79</v>
      </c>
      <c r="F864" s="21" t="s">
        <v>80</v>
      </c>
      <c r="G864" s="38" t="s">
        <v>241</v>
      </c>
      <c r="H864" s="39" t="s">
        <v>643</v>
      </c>
      <c r="I864" s="39" t="s">
        <v>644</v>
      </c>
      <c r="J864" s="21" t="s">
        <v>144</v>
      </c>
      <c r="K864" s="21" t="s">
        <v>145</v>
      </c>
      <c r="L864" s="21" t="s">
        <v>254</v>
      </c>
      <c r="M864" s="21" t="s">
        <v>3001</v>
      </c>
      <c r="N864" s="21" t="s">
        <v>711</v>
      </c>
      <c r="O864" s="20" t="s">
        <v>3002</v>
      </c>
      <c r="P864" s="45">
        <v>45936</v>
      </c>
      <c r="Q864" s="39" t="s">
        <v>3003</v>
      </c>
      <c r="R864" s="19">
        <v>2133.12</v>
      </c>
      <c r="S864" s="21">
        <v>0.2</v>
      </c>
      <c r="T864" s="21">
        <v>2559.7399999999998</v>
      </c>
      <c r="U864" s="60" t="s">
        <v>3004</v>
      </c>
      <c r="V864" s="22">
        <v>45936</v>
      </c>
      <c r="W864" s="54" t="s">
        <v>91</v>
      </c>
      <c r="X864" s="23"/>
      <c r="Y864" s="23" t="s">
        <v>92</v>
      </c>
      <c r="Z864" s="56" t="s">
        <v>1338</v>
      </c>
      <c r="AA864" s="24">
        <v>861652</v>
      </c>
      <c r="AB864" s="19"/>
      <c r="AC864" s="19"/>
      <c r="AD864" s="15" t="str">
        <f ca="1">IF(AND($D864&lt;&gt;"",COUNTIF(OFFSET(UFS!$E$2,MATCH($D864&amp;"",UFS!$A$2:$A$175,0)-1,0,COUNTIF(UFS!$A$2:$A$175,$D864&amp;""),1),M864)&gt;0),"Valide","Invalide")</f>
        <v>Invalide</v>
      </c>
      <c r="AH864" s="15" t="str">
        <f t="shared" si="13"/>
        <v>En attente</v>
      </c>
    </row>
    <row r="865" spans="1:34" s="15" customFormat="1" ht="45" hidden="1" customHeight="1" x14ac:dyDescent="0.3">
      <c r="A865" s="42">
        <v>866</v>
      </c>
      <c r="B865" s="19" t="s">
        <v>24</v>
      </c>
      <c r="C865" s="19" t="s">
        <v>11</v>
      </c>
      <c r="D865" s="20" t="s">
        <v>1164</v>
      </c>
      <c r="E865" s="20" t="s">
        <v>79</v>
      </c>
      <c r="F865" s="21" t="s">
        <v>80</v>
      </c>
      <c r="G865" s="38" t="s">
        <v>182</v>
      </c>
      <c r="H865" s="39" t="s">
        <v>82</v>
      </c>
      <c r="I865" s="39" t="s">
        <v>83</v>
      </c>
      <c r="J865" s="21" t="s">
        <v>124</v>
      </c>
      <c r="K865" s="21" t="s">
        <v>125</v>
      </c>
      <c r="L865" s="21" t="s">
        <v>126</v>
      </c>
      <c r="M865" s="21" t="s">
        <v>131</v>
      </c>
      <c r="N865" s="21" t="s">
        <v>1165</v>
      </c>
      <c r="O865" s="20" t="s">
        <v>3005</v>
      </c>
      <c r="P865" s="45">
        <v>45938</v>
      </c>
      <c r="Q865" s="39" t="s">
        <v>3006</v>
      </c>
      <c r="R865" s="19">
        <v>149.44</v>
      </c>
      <c r="S865" s="21">
        <v>0.1</v>
      </c>
      <c r="T865" s="21">
        <v>164.38399999999999</v>
      </c>
      <c r="U865" s="44" t="s">
        <v>3007</v>
      </c>
      <c r="V865" s="22">
        <v>45939</v>
      </c>
      <c r="W865" s="54" t="s">
        <v>91</v>
      </c>
      <c r="X865" s="23"/>
      <c r="Y865" s="23" t="s">
        <v>92</v>
      </c>
      <c r="Z865" s="56" t="s">
        <v>1338</v>
      </c>
      <c r="AA865" s="24">
        <v>861654</v>
      </c>
      <c r="AB865" s="47">
        <v>45937</v>
      </c>
      <c r="AC865" s="46" t="s">
        <v>94</v>
      </c>
      <c r="AD865" s="15" t="str">
        <f ca="1">IF(AND($D865&lt;&gt;"",COUNTIF(OFFSET(UFS!$E$2,MATCH($D865&amp;"",UFS!$A$2:$A$175,0)-1,0,COUNTIF(UFS!$A$2:$A$175,$D865&amp;""),1),M865)&gt;0),"Valide","Invalide")</f>
        <v>Valide</v>
      </c>
      <c r="AH865" s="15" t="str">
        <f t="shared" si="13"/>
        <v>En attente</v>
      </c>
    </row>
    <row r="866" spans="1:34" s="15" customFormat="1" ht="45" hidden="1" customHeight="1" x14ac:dyDescent="0.3">
      <c r="A866" s="42">
        <v>867</v>
      </c>
      <c r="B866" s="19" t="s">
        <v>20</v>
      </c>
      <c r="C866" s="19" t="s">
        <v>37</v>
      </c>
      <c r="D866" s="20" t="s">
        <v>2583</v>
      </c>
      <c r="E866" s="20" t="s">
        <v>79</v>
      </c>
      <c r="F866" s="21" t="s">
        <v>80</v>
      </c>
      <c r="G866" s="38" t="s">
        <v>241</v>
      </c>
      <c r="H866" s="39" t="s">
        <v>367</v>
      </c>
      <c r="I866" s="39" t="s">
        <v>368</v>
      </c>
      <c r="J866" s="21" t="s">
        <v>84</v>
      </c>
      <c r="K866" s="21" t="s">
        <v>2541</v>
      </c>
      <c r="L866" s="21" t="s">
        <v>86</v>
      </c>
      <c r="M866" s="21" t="s">
        <v>2542</v>
      </c>
      <c r="N866" s="21" t="s">
        <v>271</v>
      </c>
      <c r="O866" s="20" t="s">
        <v>3008</v>
      </c>
      <c r="P866" s="45">
        <v>45866</v>
      </c>
      <c r="Q866" s="39" t="s">
        <v>3009</v>
      </c>
      <c r="R866" s="19">
        <v>180</v>
      </c>
      <c r="S866" s="21">
        <v>0.2</v>
      </c>
      <c r="T866" s="21">
        <v>216</v>
      </c>
      <c r="U866" s="44" t="s">
        <v>3010</v>
      </c>
      <c r="V866" s="22">
        <v>45939</v>
      </c>
      <c r="W866" s="54" t="s">
        <v>91</v>
      </c>
      <c r="X866" s="23"/>
      <c r="Y866" s="23" t="s">
        <v>92</v>
      </c>
      <c r="Z866" s="56" t="s">
        <v>1338</v>
      </c>
      <c r="AA866" s="24">
        <v>861657</v>
      </c>
      <c r="AB866" s="19"/>
      <c r="AC866" s="46" t="s">
        <v>94</v>
      </c>
      <c r="AD866" s="15" t="str">
        <f ca="1">IF(AND($D866&lt;&gt;"",COUNTIF(OFFSET(UFS!$E$2,MATCH($D866&amp;"",UFS!$A$2:$A$175,0)-1,0,COUNTIF(UFS!$A$2:$A$175,$D866&amp;""),1),M866)&gt;0),"Valide","Invalide")</f>
        <v>Valide</v>
      </c>
      <c r="AH866" s="15" t="str">
        <f t="shared" si="13"/>
        <v>En attente</v>
      </c>
    </row>
    <row r="867" spans="1:34" s="15" customFormat="1" ht="45" hidden="1" customHeight="1" x14ac:dyDescent="0.3">
      <c r="A867" s="42">
        <v>868</v>
      </c>
      <c r="B867" s="19" t="s">
        <v>20</v>
      </c>
      <c r="C867" s="19" t="s">
        <v>37</v>
      </c>
      <c r="D867" s="20" t="s">
        <v>123</v>
      </c>
      <c r="E867" s="20" t="s">
        <v>79</v>
      </c>
      <c r="F867" s="21" t="s">
        <v>80</v>
      </c>
      <c r="G867" s="38" t="s">
        <v>241</v>
      </c>
      <c r="H867" s="39" t="s">
        <v>367</v>
      </c>
      <c r="I867" s="39" t="s">
        <v>368</v>
      </c>
      <c r="J867" s="21" t="s">
        <v>124</v>
      </c>
      <c r="K867" s="21" t="s">
        <v>125</v>
      </c>
      <c r="L867" s="21" t="s">
        <v>126</v>
      </c>
      <c r="M867" s="21" t="s">
        <v>109</v>
      </c>
      <c r="N867" s="21" t="s">
        <v>109</v>
      </c>
      <c r="O867" s="20" t="s">
        <v>3011</v>
      </c>
      <c r="P867" s="45">
        <v>45901</v>
      </c>
      <c r="Q867" s="39" t="s">
        <v>3012</v>
      </c>
      <c r="R867" s="19">
        <v>135</v>
      </c>
      <c r="S867" s="21">
        <v>0.1</v>
      </c>
      <c r="T867" s="21">
        <v>148.5</v>
      </c>
      <c r="U867" s="44" t="s">
        <v>3013</v>
      </c>
      <c r="V867" s="22">
        <v>45940</v>
      </c>
      <c r="W867" s="54" t="s">
        <v>91</v>
      </c>
      <c r="X867" s="23"/>
      <c r="Y867" s="23" t="s">
        <v>92</v>
      </c>
      <c r="Z867" s="56" t="s">
        <v>1338</v>
      </c>
      <c r="AA867" s="24">
        <v>861687</v>
      </c>
      <c r="AB867" s="19"/>
      <c r="AC867" s="46" t="s">
        <v>94</v>
      </c>
      <c r="AD867" s="15" t="str">
        <f ca="1">IF(AND($D867&lt;&gt;"",COUNTIF(OFFSET(UFS!$E$2,MATCH($D867&amp;"",UFS!$A$2:$A$175,0)-1,0,COUNTIF(UFS!$A$2:$A$175,$D867&amp;""),1),M867)&gt;0),"Valide","Invalide")</f>
        <v>Valide</v>
      </c>
      <c r="AH867" s="15" t="str">
        <f t="shared" si="13"/>
        <v>En attente</v>
      </c>
    </row>
    <row r="868" spans="1:34" s="15" customFormat="1" ht="45" hidden="1" customHeight="1" x14ac:dyDescent="0.3">
      <c r="A868" s="42">
        <v>869</v>
      </c>
      <c r="B868" s="19" t="s">
        <v>20</v>
      </c>
      <c r="C868" s="19" t="s">
        <v>37</v>
      </c>
      <c r="D868" s="20" t="s">
        <v>523</v>
      </c>
      <c r="E868" s="20" t="s">
        <v>79</v>
      </c>
      <c r="F868" s="21" t="s">
        <v>80</v>
      </c>
      <c r="G868" s="38" t="s">
        <v>241</v>
      </c>
      <c r="H868" s="39" t="s">
        <v>367</v>
      </c>
      <c r="I868" s="39" t="s">
        <v>368</v>
      </c>
      <c r="J868" s="21" t="s">
        <v>341</v>
      </c>
      <c r="K868" s="21" t="s">
        <v>145</v>
      </c>
      <c r="L868" s="21" t="s">
        <v>192</v>
      </c>
      <c r="M868" s="21" t="s">
        <v>343</v>
      </c>
      <c r="N868" s="21" t="s">
        <v>151</v>
      </c>
      <c r="O868" s="20" t="s">
        <v>3014</v>
      </c>
      <c r="P868" s="45">
        <v>45922</v>
      </c>
      <c r="Q868" s="39" t="s">
        <v>3015</v>
      </c>
      <c r="R868" s="19">
        <v>315</v>
      </c>
      <c r="S868" s="21">
        <v>0.2</v>
      </c>
      <c r="T868" s="21">
        <v>378</v>
      </c>
      <c r="U868" s="44" t="s">
        <v>3016</v>
      </c>
      <c r="V868" s="22">
        <v>45940</v>
      </c>
      <c r="W868" s="54" t="s">
        <v>91</v>
      </c>
      <c r="X868" s="23"/>
      <c r="Y868" s="23" t="s">
        <v>92</v>
      </c>
      <c r="Z868" s="56" t="s">
        <v>1338</v>
      </c>
      <c r="AA868" s="24">
        <v>861691</v>
      </c>
      <c r="AB868" s="19"/>
      <c r="AC868" s="46" t="s">
        <v>94</v>
      </c>
      <c r="AD868" s="15" t="str">
        <f ca="1">IF(AND($D868&lt;&gt;"",COUNTIF(OFFSET(UFS!$E$2,MATCH($D868&amp;"",UFS!$A$2:$A$175,0)-1,0,COUNTIF(UFS!$A$2:$A$175,$D868&amp;""),1),M868)&gt;0),"Valide","Invalide")</f>
        <v>Valide</v>
      </c>
      <c r="AH868" s="15" t="str">
        <f t="shared" si="13"/>
        <v>En attente</v>
      </c>
    </row>
    <row r="869" spans="1:34" s="15" customFormat="1" ht="45" hidden="1" customHeight="1" x14ac:dyDescent="0.3">
      <c r="A869" s="42">
        <v>870</v>
      </c>
      <c r="B869" s="19" t="s">
        <v>20</v>
      </c>
      <c r="C869" s="19" t="s">
        <v>37</v>
      </c>
      <c r="D869" s="20" t="s">
        <v>340</v>
      </c>
      <c r="E869" s="20" t="s">
        <v>79</v>
      </c>
      <c r="F869" s="21" t="s">
        <v>80</v>
      </c>
      <c r="G869" s="38" t="s">
        <v>241</v>
      </c>
      <c r="H869" s="39" t="s">
        <v>367</v>
      </c>
      <c r="I869" s="39" t="s">
        <v>368</v>
      </c>
      <c r="J869" s="21" t="s">
        <v>341</v>
      </c>
      <c r="K869" s="21" t="s">
        <v>145</v>
      </c>
      <c r="L869" s="21" t="s">
        <v>342</v>
      </c>
      <c r="M869" s="21" t="s">
        <v>343</v>
      </c>
      <c r="N869" s="21" t="s">
        <v>151</v>
      </c>
      <c r="O869" s="20" t="s">
        <v>3017</v>
      </c>
      <c r="P869" s="45">
        <v>45922</v>
      </c>
      <c r="Q869" s="39" t="s">
        <v>3018</v>
      </c>
      <c r="R869" s="19">
        <v>117.56</v>
      </c>
      <c r="S869" s="21">
        <v>0.2</v>
      </c>
      <c r="T869" s="21">
        <v>141.072</v>
      </c>
      <c r="U869" s="44" t="s">
        <v>3019</v>
      </c>
      <c r="V869" s="22">
        <v>45940</v>
      </c>
      <c r="W869" s="54" t="s">
        <v>91</v>
      </c>
      <c r="X869" s="23"/>
      <c r="Y869" s="23" t="s">
        <v>92</v>
      </c>
      <c r="Z869" s="56" t="s">
        <v>1338</v>
      </c>
      <c r="AA869" s="24">
        <v>861701</v>
      </c>
      <c r="AB869" s="19"/>
      <c r="AC869" s="46" t="s">
        <v>94</v>
      </c>
      <c r="AD869" s="15" t="str">
        <f ca="1">IF(AND($D869&lt;&gt;"",COUNTIF(OFFSET(UFS!$E$2,MATCH($D869&amp;"",UFS!$A$2:$A$175,0)-1,0,COUNTIF(UFS!$A$2:$A$175,$D869&amp;""),1),M869)&gt;0),"Valide","Invalide")</f>
        <v>Valide</v>
      </c>
      <c r="AH869" s="15" t="str">
        <f t="shared" si="13"/>
        <v>En attente</v>
      </c>
    </row>
    <row r="870" spans="1:34" s="15" customFormat="1" ht="45" hidden="1" customHeight="1" x14ac:dyDescent="0.3">
      <c r="A870" s="42">
        <v>871</v>
      </c>
      <c r="B870" s="19" t="s">
        <v>20</v>
      </c>
      <c r="C870" s="19" t="s">
        <v>37</v>
      </c>
      <c r="D870" s="20" t="s">
        <v>123</v>
      </c>
      <c r="E870" s="20" t="s">
        <v>79</v>
      </c>
      <c r="F870" s="21" t="s">
        <v>80</v>
      </c>
      <c r="G870" s="38" t="s">
        <v>241</v>
      </c>
      <c r="H870" s="39" t="s">
        <v>367</v>
      </c>
      <c r="I870" s="39" t="s">
        <v>368</v>
      </c>
      <c r="J870" s="21" t="s">
        <v>124</v>
      </c>
      <c r="K870" s="21" t="s">
        <v>125</v>
      </c>
      <c r="L870" s="21" t="s">
        <v>126</v>
      </c>
      <c r="M870" s="21" t="s">
        <v>109</v>
      </c>
      <c r="N870" s="21" t="s">
        <v>109</v>
      </c>
      <c r="O870" s="20" t="s">
        <v>3020</v>
      </c>
      <c r="P870" s="45">
        <v>45901</v>
      </c>
      <c r="Q870" s="39" t="s">
        <v>3021</v>
      </c>
      <c r="R870" s="19">
        <v>247.5</v>
      </c>
      <c r="S870" s="21">
        <v>0.1</v>
      </c>
      <c r="T870" s="21">
        <v>272.25</v>
      </c>
      <c r="U870" s="44" t="s">
        <v>3022</v>
      </c>
      <c r="V870" s="22">
        <v>45940</v>
      </c>
      <c r="W870" s="54" t="s">
        <v>91</v>
      </c>
      <c r="X870" s="23"/>
      <c r="Y870" s="23" t="s">
        <v>92</v>
      </c>
      <c r="Z870" s="56" t="s">
        <v>1338</v>
      </c>
      <c r="AA870" s="24">
        <v>861705</v>
      </c>
      <c r="AB870" s="19"/>
      <c r="AC870" s="46" t="s">
        <v>94</v>
      </c>
      <c r="AD870" s="15" t="str">
        <f ca="1">IF(AND($D870&lt;&gt;"",COUNTIF(OFFSET(UFS!$E$2,MATCH($D870&amp;"",UFS!$A$2:$A$175,0)-1,0,COUNTIF(UFS!$A$2:$A$175,$D870&amp;""),1),M870)&gt;0),"Valide","Invalide")</f>
        <v>Valide</v>
      </c>
      <c r="AH870" s="15" t="str">
        <f t="shared" si="13"/>
        <v>En attente</v>
      </c>
    </row>
    <row r="871" spans="1:34" s="15" customFormat="1" ht="45" hidden="1" customHeight="1" x14ac:dyDescent="0.3">
      <c r="A871" s="42">
        <v>872</v>
      </c>
      <c r="B871" s="19" t="s">
        <v>20</v>
      </c>
      <c r="C871" s="19" t="s">
        <v>37</v>
      </c>
      <c r="D871" s="20" t="s">
        <v>1246</v>
      </c>
      <c r="E871" s="20" t="s">
        <v>79</v>
      </c>
      <c r="F871" s="21" t="s">
        <v>80</v>
      </c>
      <c r="G871" s="38" t="s">
        <v>241</v>
      </c>
      <c r="H871" s="39" t="s">
        <v>367</v>
      </c>
      <c r="I871" s="39" t="s">
        <v>368</v>
      </c>
      <c r="J871" s="21" t="s">
        <v>144</v>
      </c>
      <c r="K871" s="21" t="s">
        <v>145</v>
      </c>
      <c r="L871" s="21" t="s">
        <v>203</v>
      </c>
      <c r="M871" s="21" t="s">
        <v>1247</v>
      </c>
      <c r="N871" s="21" t="s">
        <v>1247</v>
      </c>
      <c r="O871" s="20" t="s">
        <v>3023</v>
      </c>
      <c r="P871" s="45">
        <v>45926</v>
      </c>
      <c r="Q871" s="39" t="s">
        <v>3024</v>
      </c>
      <c r="R871" s="19">
        <v>270</v>
      </c>
      <c r="S871" s="21">
        <v>0.2</v>
      </c>
      <c r="T871" s="21">
        <v>324</v>
      </c>
      <c r="U871" s="44" t="s">
        <v>3025</v>
      </c>
      <c r="V871" s="22">
        <v>45940</v>
      </c>
      <c r="W871" s="54" t="s">
        <v>91</v>
      </c>
      <c r="X871" s="23"/>
      <c r="Y871" s="23" t="s">
        <v>92</v>
      </c>
      <c r="Z871" s="56" t="s">
        <v>1338</v>
      </c>
      <c r="AA871" s="24">
        <v>861715</v>
      </c>
      <c r="AB871" s="19"/>
      <c r="AC871" s="46" t="s">
        <v>94</v>
      </c>
      <c r="AD871" s="15" t="str">
        <f ca="1">IF(AND($D871&lt;&gt;"",COUNTIF(OFFSET(UFS!$E$2,MATCH($D871&amp;"",UFS!$A$2:$A$175,0)-1,0,COUNTIF(UFS!$A$2:$A$175,$D871&amp;""),1),M871)&gt;0),"Valide","Invalide")</f>
        <v>Valide</v>
      </c>
      <c r="AH871" s="15" t="str">
        <f t="shared" si="13"/>
        <v>En attente</v>
      </c>
    </row>
    <row r="872" spans="1:34" s="15" customFormat="1" ht="45" hidden="1" customHeight="1" x14ac:dyDescent="0.3">
      <c r="A872" s="42">
        <v>873</v>
      </c>
      <c r="B872" s="19" t="s">
        <v>20</v>
      </c>
      <c r="C872" s="19" t="s">
        <v>37</v>
      </c>
      <c r="D872" s="20" t="s">
        <v>872</v>
      </c>
      <c r="E872" s="20" t="s">
        <v>79</v>
      </c>
      <c r="F872" s="21" t="s">
        <v>80</v>
      </c>
      <c r="G872" s="38" t="s">
        <v>241</v>
      </c>
      <c r="H872" s="39" t="s">
        <v>367</v>
      </c>
      <c r="I872" s="39" t="s">
        <v>368</v>
      </c>
      <c r="J872" s="21" t="s">
        <v>124</v>
      </c>
      <c r="K872" s="21" t="s">
        <v>235</v>
      </c>
      <c r="L872" s="21" t="s">
        <v>246</v>
      </c>
      <c r="M872" s="21" t="s">
        <v>284</v>
      </c>
      <c r="N872" s="21" t="s">
        <v>873</v>
      </c>
      <c r="O872" s="20" t="s">
        <v>3026</v>
      </c>
      <c r="P872" s="45">
        <v>45926</v>
      </c>
      <c r="Q872" s="39" t="s">
        <v>3027</v>
      </c>
      <c r="R872" s="19">
        <v>180</v>
      </c>
      <c r="S872" s="21">
        <v>0.2</v>
      </c>
      <c r="T872" s="21">
        <v>216</v>
      </c>
      <c r="U872" s="44" t="s">
        <v>3028</v>
      </c>
      <c r="V872" s="22">
        <v>45940</v>
      </c>
      <c r="W872" s="54" t="s">
        <v>91</v>
      </c>
      <c r="X872" s="23"/>
      <c r="Y872" s="23" t="s">
        <v>92</v>
      </c>
      <c r="Z872" s="56" t="s">
        <v>928</v>
      </c>
      <c r="AA872" s="24">
        <v>861754</v>
      </c>
      <c r="AB872" s="19"/>
      <c r="AC872" s="46" t="s">
        <v>94</v>
      </c>
      <c r="AD872" s="15" t="str">
        <f ca="1">IF(AND($D872&lt;&gt;"",COUNTIF(OFFSET(UFS!$E$2,MATCH($D872&amp;"",UFS!$A$2:$A$175,0)-1,0,COUNTIF(UFS!$A$2:$A$175,$D872&amp;""),1),M872)&gt;0),"Valide","Invalide")</f>
        <v>Valide</v>
      </c>
      <c r="AH872" s="15" t="str">
        <f t="shared" si="13"/>
        <v>En attente</v>
      </c>
    </row>
    <row r="873" spans="1:34" s="15" customFormat="1" ht="45" hidden="1" customHeight="1" x14ac:dyDescent="0.3">
      <c r="A873" s="42">
        <v>874</v>
      </c>
      <c r="B873" s="19" t="s">
        <v>20</v>
      </c>
      <c r="C873" s="19" t="s">
        <v>37</v>
      </c>
      <c r="D873" s="20" t="s">
        <v>2540</v>
      </c>
      <c r="E873" s="20" t="s">
        <v>79</v>
      </c>
      <c r="F873" s="21" t="s">
        <v>80</v>
      </c>
      <c r="G873" s="38" t="s">
        <v>241</v>
      </c>
      <c r="H873" s="39" t="s">
        <v>367</v>
      </c>
      <c r="I873" s="39" t="s">
        <v>368</v>
      </c>
      <c r="J873" s="21" t="s">
        <v>84</v>
      </c>
      <c r="K873" s="21" t="s">
        <v>2541</v>
      </c>
      <c r="L873" s="21" t="s">
        <v>86</v>
      </c>
      <c r="M873" s="21" t="s">
        <v>2542</v>
      </c>
      <c r="N873" s="21" t="s">
        <v>151</v>
      </c>
      <c r="O873" s="20" t="s">
        <v>3029</v>
      </c>
      <c r="P873" s="45">
        <v>45926</v>
      </c>
      <c r="Q873" s="39" t="s">
        <v>3030</v>
      </c>
      <c r="R873" s="19">
        <v>90</v>
      </c>
      <c r="S873" s="21">
        <v>0.2</v>
      </c>
      <c r="T873" s="21">
        <v>108</v>
      </c>
      <c r="U873" s="44" t="s">
        <v>3031</v>
      </c>
      <c r="V873" s="22">
        <v>45940</v>
      </c>
      <c r="W873" s="54" t="s">
        <v>91</v>
      </c>
      <c r="X873" s="23"/>
      <c r="Y873" s="23" t="s">
        <v>92</v>
      </c>
      <c r="Z873" s="56" t="s">
        <v>928</v>
      </c>
      <c r="AA873" s="24">
        <v>861755</v>
      </c>
      <c r="AB873" s="19"/>
      <c r="AC873" s="46" t="s">
        <v>94</v>
      </c>
      <c r="AD873" s="15" t="str">
        <f ca="1">IF(AND($D873&lt;&gt;"",COUNTIF(OFFSET(UFS!$E$2,MATCH($D873&amp;"",UFS!$A$2:$A$175,0)-1,0,COUNTIF(UFS!$A$2:$A$175,$D873&amp;""),1),M873)&gt;0),"Valide","Invalide")</f>
        <v>Valide</v>
      </c>
      <c r="AH873" s="15" t="str">
        <f t="shared" si="13"/>
        <v>En attente</v>
      </c>
    </row>
    <row r="874" spans="1:34" s="15" customFormat="1" ht="45" hidden="1" customHeight="1" x14ac:dyDescent="0.3">
      <c r="A874" s="42">
        <v>875</v>
      </c>
      <c r="B874" s="19" t="s">
        <v>20</v>
      </c>
      <c r="C874" s="19" t="s">
        <v>37</v>
      </c>
      <c r="D874" s="20" t="s">
        <v>1246</v>
      </c>
      <c r="E874" s="20" t="s">
        <v>79</v>
      </c>
      <c r="F874" s="21" t="s">
        <v>80</v>
      </c>
      <c r="G874" s="38" t="s">
        <v>241</v>
      </c>
      <c r="H874" s="39" t="s">
        <v>367</v>
      </c>
      <c r="I874" s="39" t="s">
        <v>368</v>
      </c>
      <c r="J874" s="21" t="s">
        <v>144</v>
      </c>
      <c r="K874" s="21" t="s">
        <v>145</v>
      </c>
      <c r="L874" s="21" t="s">
        <v>203</v>
      </c>
      <c r="M874" s="21" t="s">
        <v>1247</v>
      </c>
      <c r="N874" s="21" t="s">
        <v>1247</v>
      </c>
      <c r="O874" s="20" t="s">
        <v>3032</v>
      </c>
      <c r="P874" s="45">
        <v>45930</v>
      </c>
      <c r="Q874" s="39" t="s">
        <v>3033</v>
      </c>
      <c r="R874" s="19">
        <v>90</v>
      </c>
      <c r="S874" s="21">
        <v>0.2</v>
      </c>
      <c r="T874" s="21">
        <v>108</v>
      </c>
      <c r="U874" s="44" t="s">
        <v>3034</v>
      </c>
      <c r="V874" s="22">
        <v>45940</v>
      </c>
      <c r="W874" s="54" t="s">
        <v>91</v>
      </c>
      <c r="X874" s="23"/>
      <c r="Y874" s="23" t="s">
        <v>92</v>
      </c>
      <c r="Z874" s="56" t="s">
        <v>928</v>
      </c>
      <c r="AA874" s="24">
        <v>861759</v>
      </c>
      <c r="AB874" s="19"/>
      <c r="AC874" s="46" t="s">
        <v>94</v>
      </c>
      <c r="AD874" s="15" t="str">
        <f ca="1">IF(AND($D874&lt;&gt;"",COUNTIF(OFFSET(UFS!$E$2,MATCH($D874&amp;"",UFS!$A$2:$A$175,0)-1,0,COUNTIF(UFS!$A$2:$A$175,$D874&amp;""),1),M874)&gt;0),"Valide","Invalide")</f>
        <v>Valide</v>
      </c>
      <c r="AH874" s="15" t="str">
        <f t="shared" si="13"/>
        <v>En attente</v>
      </c>
    </row>
    <row r="875" spans="1:34" s="15" customFormat="1" ht="45" hidden="1" customHeight="1" x14ac:dyDescent="0.3">
      <c r="A875" s="42">
        <v>876</v>
      </c>
      <c r="B875" s="19" t="s">
        <v>20</v>
      </c>
      <c r="C875" s="19" t="s">
        <v>37</v>
      </c>
      <c r="D875" s="20" t="s">
        <v>123</v>
      </c>
      <c r="E875" s="20" t="s">
        <v>79</v>
      </c>
      <c r="F875" s="21" t="s">
        <v>80</v>
      </c>
      <c r="G875" s="38" t="s">
        <v>241</v>
      </c>
      <c r="H875" s="39" t="s">
        <v>367</v>
      </c>
      <c r="I875" s="39" t="s">
        <v>368</v>
      </c>
      <c r="J875" s="21" t="s">
        <v>124</v>
      </c>
      <c r="K875" s="21" t="s">
        <v>125</v>
      </c>
      <c r="L875" s="21" t="s">
        <v>126</v>
      </c>
      <c r="M875" s="21" t="s">
        <v>109</v>
      </c>
      <c r="N875" s="21" t="s">
        <v>109</v>
      </c>
      <c r="O875" s="20" t="s">
        <v>3035</v>
      </c>
      <c r="P875" s="45">
        <v>45936</v>
      </c>
      <c r="Q875" s="39" t="s">
        <v>3036</v>
      </c>
      <c r="R875" s="19">
        <v>225</v>
      </c>
      <c r="S875" s="21">
        <v>0.1</v>
      </c>
      <c r="T875" s="21">
        <v>247.5</v>
      </c>
      <c r="U875" s="44" t="s">
        <v>3037</v>
      </c>
      <c r="V875" s="22">
        <v>45940</v>
      </c>
      <c r="W875" s="54" t="s">
        <v>91</v>
      </c>
      <c r="X875" s="23"/>
      <c r="Y875" s="23" t="s">
        <v>92</v>
      </c>
      <c r="Z875" s="56" t="s">
        <v>928</v>
      </c>
      <c r="AA875" s="24">
        <v>861760</v>
      </c>
      <c r="AB875" s="19"/>
      <c r="AC875" s="46" t="s">
        <v>94</v>
      </c>
      <c r="AD875" s="15" t="str">
        <f ca="1">IF(AND($D875&lt;&gt;"",COUNTIF(OFFSET(UFS!$E$2,MATCH($D875&amp;"",UFS!$A$2:$A$175,0)-1,0,COUNTIF(UFS!$A$2:$A$175,$D875&amp;""),1),M875)&gt;0),"Valide","Invalide")</f>
        <v>Valide</v>
      </c>
      <c r="AH875" s="15" t="str">
        <f t="shared" si="13"/>
        <v>En attente</v>
      </c>
    </row>
    <row r="876" spans="1:34" s="15" customFormat="1" ht="45" hidden="1" customHeight="1" x14ac:dyDescent="0.3">
      <c r="A876" s="42">
        <v>877</v>
      </c>
      <c r="B876" s="19" t="s">
        <v>26</v>
      </c>
      <c r="C876" s="19" t="s">
        <v>28</v>
      </c>
      <c r="D876" s="20" t="s">
        <v>3038</v>
      </c>
      <c r="E876" s="20" t="s">
        <v>79</v>
      </c>
      <c r="F876" s="21" t="s">
        <v>80</v>
      </c>
      <c r="G876" s="38" t="s">
        <v>182</v>
      </c>
      <c r="H876" s="39" t="s">
        <v>82</v>
      </c>
      <c r="I876" s="39" t="s">
        <v>83</v>
      </c>
      <c r="J876" s="21" t="s">
        <v>98</v>
      </c>
      <c r="K876" s="21" t="s">
        <v>498</v>
      </c>
      <c r="L876" s="21" t="s">
        <v>328</v>
      </c>
      <c r="M876" s="21" t="s">
        <v>2528</v>
      </c>
      <c r="N876" s="21" t="s">
        <v>151</v>
      </c>
      <c r="O876" s="20" t="s">
        <v>3039</v>
      </c>
      <c r="P876" s="45">
        <v>45932</v>
      </c>
      <c r="Q876" s="39" t="s">
        <v>3040</v>
      </c>
      <c r="R876" s="19">
        <v>12673.33</v>
      </c>
      <c r="S876" s="21">
        <v>0.2</v>
      </c>
      <c r="T876" s="111">
        <v>15207.995999999999</v>
      </c>
      <c r="U876" s="44" t="s">
        <v>3041</v>
      </c>
      <c r="V876" s="22">
        <v>45939</v>
      </c>
      <c r="W876" s="54" t="s">
        <v>91</v>
      </c>
      <c r="X876" s="23"/>
      <c r="Y876" s="23" t="s">
        <v>92</v>
      </c>
      <c r="Z876" s="56" t="s">
        <v>928</v>
      </c>
      <c r="AA876" s="24">
        <v>861780</v>
      </c>
      <c r="AB876" s="19"/>
      <c r="AC876" s="19"/>
      <c r="AD876" s="15" t="str">
        <f ca="1">IF(AND($D876&lt;&gt;"",COUNTIF(OFFSET(UFS!$E$2,MATCH($D876&amp;"",UFS!$A$2:$A$175,0)-1,0,COUNTIF(UFS!$A$2:$A$175,$D876&amp;""),1),M876)&gt;0),"Valide","Invalide")</f>
        <v>Invalide</v>
      </c>
      <c r="AH876" s="15" t="str">
        <f t="shared" si="13"/>
        <v>En attente</v>
      </c>
    </row>
    <row r="877" spans="1:34" s="15" customFormat="1" ht="45" hidden="1" customHeight="1" x14ac:dyDescent="0.3">
      <c r="A877" s="42">
        <v>878</v>
      </c>
      <c r="B877" s="19" t="s">
        <v>709</v>
      </c>
      <c r="C877" s="19" t="s">
        <v>23</v>
      </c>
      <c r="D877" s="20" t="s">
        <v>134</v>
      </c>
      <c r="E877" s="20" t="s">
        <v>79</v>
      </c>
      <c r="F877" s="21" t="s">
        <v>80</v>
      </c>
      <c r="G877" s="38" t="s">
        <v>241</v>
      </c>
      <c r="H877" s="39" t="s">
        <v>643</v>
      </c>
      <c r="I877" s="39" t="s">
        <v>644</v>
      </c>
      <c r="J877" s="21" t="s">
        <v>124</v>
      </c>
      <c r="K877" s="21" t="s">
        <v>125</v>
      </c>
      <c r="L877" s="21" t="s">
        <v>177</v>
      </c>
      <c r="M877" s="21" t="s">
        <v>136</v>
      </c>
      <c r="N877" s="21" t="s">
        <v>102</v>
      </c>
      <c r="O877" s="20" t="s">
        <v>3042</v>
      </c>
      <c r="P877" s="45">
        <v>45940</v>
      </c>
      <c r="Q877" s="39" t="s">
        <v>3043</v>
      </c>
      <c r="R877" s="19">
        <v>370.1</v>
      </c>
      <c r="S877" s="21">
        <v>0.1</v>
      </c>
      <c r="T877" s="21">
        <v>407.11</v>
      </c>
      <c r="U877" s="60" t="s">
        <v>3044</v>
      </c>
      <c r="V877" s="22">
        <v>45940</v>
      </c>
      <c r="W877" s="54" t="s">
        <v>91</v>
      </c>
      <c r="X877" s="23"/>
      <c r="Y877" s="23" t="s">
        <v>92</v>
      </c>
      <c r="Z877" s="56" t="s">
        <v>1338</v>
      </c>
      <c r="AA877" s="24">
        <v>861860</v>
      </c>
      <c r="AB877" s="19"/>
      <c r="AC877" s="19"/>
      <c r="AD877" s="15" t="str">
        <f ca="1">IF(AND($D877&lt;&gt;"",COUNTIF(OFFSET(UFS!$E$2,MATCH($D877&amp;"",UFS!$A$2:$A$175,0)-1,0,COUNTIF(UFS!$A$2:$A$175,$D877&amp;""),1),M877)&gt;0),"Valide","Invalide")</f>
        <v>Valide</v>
      </c>
      <c r="AH877" s="15" t="str">
        <f t="shared" si="13"/>
        <v>En attente</v>
      </c>
    </row>
    <row r="878" spans="1:34" s="15" customFormat="1" ht="45" hidden="1" customHeight="1" x14ac:dyDescent="0.3">
      <c r="A878" s="42">
        <v>879</v>
      </c>
      <c r="B878" s="19" t="s">
        <v>709</v>
      </c>
      <c r="C878" s="19" t="s">
        <v>23</v>
      </c>
      <c r="D878" s="20" t="s">
        <v>512</v>
      </c>
      <c r="E878" s="20" t="s">
        <v>79</v>
      </c>
      <c r="F878" s="21" t="s">
        <v>80</v>
      </c>
      <c r="G878" s="38" t="s">
        <v>241</v>
      </c>
      <c r="H878" s="39" t="s">
        <v>643</v>
      </c>
      <c r="I878" s="39" t="s">
        <v>644</v>
      </c>
      <c r="J878" s="21" t="s">
        <v>98</v>
      </c>
      <c r="K878" s="21" t="s">
        <v>99</v>
      </c>
      <c r="L878" s="21" t="s">
        <v>100</v>
      </c>
      <c r="M878" s="21" t="s">
        <v>101</v>
      </c>
      <c r="N878" s="21" t="s">
        <v>711</v>
      </c>
      <c r="O878" s="20" t="s">
        <v>3045</v>
      </c>
      <c r="P878" s="45">
        <v>45940</v>
      </c>
      <c r="Q878" s="39" t="s">
        <v>3046</v>
      </c>
      <c r="R878" s="19">
        <v>225.76</v>
      </c>
      <c r="S878" s="21">
        <v>0.1</v>
      </c>
      <c r="T878" s="21">
        <v>248.34</v>
      </c>
      <c r="U878" s="60" t="s">
        <v>3047</v>
      </c>
      <c r="V878" s="22">
        <v>45940</v>
      </c>
      <c r="W878" s="54" t="s">
        <v>91</v>
      </c>
      <c r="X878" s="23"/>
      <c r="Y878" s="23" t="s">
        <v>92</v>
      </c>
      <c r="Z878" s="56" t="s">
        <v>1338</v>
      </c>
      <c r="AA878" s="24">
        <v>861861</v>
      </c>
      <c r="AB878" s="19"/>
      <c r="AC878" s="19"/>
      <c r="AD878" s="15" t="str">
        <f ca="1">IF(AND($D878&lt;&gt;"",COUNTIF(OFFSET(UFS!$E$2,MATCH($D878&amp;"",UFS!$A$2:$A$175,0)-1,0,COUNTIF(UFS!$A$2:$A$175,$D878&amp;""),1),M878)&gt;0),"Valide","Invalide")</f>
        <v>Valide</v>
      </c>
      <c r="AH878" s="15" t="str">
        <f t="shared" si="13"/>
        <v>En attente</v>
      </c>
    </row>
    <row r="879" spans="1:34" s="15" customFormat="1" ht="45" hidden="1" customHeight="1" x14ac:dyDescent="0.3">
      <c r="A879" s="42">
        <v>880</v>
      </c>
      <c r="B879" s="19" t="s">
        <v>26</v>
      </c>
      <c r="C879" s="19" t="s">
        <v>5</v>
      </c>
      <c r="D879" s="20" t="s">
        <v>325</v>
      </c>
      <c r="E879" s="20" t="s">
        <v>79</v>
      </c>
      <c r="F879" s="21" t="s">
        <v>80</v>
      </c>
      <c r="G879" s="38" t="s">
        <v>182</v>
      </c>
      <c r="H879" s="39" t="s">
        <v>82</v>
      </c>
      <c r="I879" s="39" t="s">
        <v>83</v>
      </c>
      <c r="J879" s="21" t="s">
        <v>98</v>
      </c>
      <c r="K879" s="21" t="s">
        <v>327</v>
      </c>
      <c r="L879" s="21" t="s">
        <v>328</v>
      </c>
      <c r="M879" s="21" t="s">
        <v>2528</v>
      </c>
      <c r="N879" s="21" t="s">
        <v>330</v>
      </c>
      <c r="O879" s="20" t="s">
        <v>260</v>
      </c>
      <c r="P879" s="45">
        <v>45928</v>
      </c>
      <c r="Q879" s="39" t="s">
        <v>3048</v>
      </c>
      <c r="R879" s="19">
        <v>2924.89</v>
      </c>
      <c r="S879" s="21">
        <v>0.2</v>
      </c>
      <c r="T879" s="21">
        <v>3509.8679999999999</v>
      </c>
      <c r="U879" s="44" t="s">
        <v>3049</v>
      </c>
      <c r="V879" s="22">
        <v>45943</v>
      </c>
      <c r="W879" s="54" t="s">
        <v>91</v>
      </c>
      <c r="X879" s="23"/>
      <c r="Y879" s="23" t="s">
        <v>92</v>
      </c>
      <c r="Z879" s="56" t="s">
        <v>928</v>
      </c>
      <c r="AA879" s="24">
        <v>861863</v>
      </c>
      <c r="AB879" s="19"/>
      <c r="AC879" s="46" t="s">
        <v>94</v>
      </c>
      <c r="AD879" s="15" t="str">
        <f ca="1">IF(AND($D879&lt;&gt;"",COUNTIF(OFFSET(UFS!$E$2,MATCH($D879&amp;"",UFS!$A$2:$A$175,0)-1,0,COUNTIF(UFS!$A$2:$A$175,$D879&amp;""),1),M879)&gt;0),"Valide","Invalide")</f>
        <v>Invalide</v>
      </c>
      <c r="AH879" s="15" t="str">
        <f t="shared" si="13"/>
        <v>En attente</v>
      </c>
    </row>
    <row r="880" spans="1:34" s="15" customFormat="1" ht="45" hidden="1" customHeight="1" x14ac:dyDescent="0.3">
      <c r="A880" s="42">
        <v>881</v>
      </c>
      <c r="B880" s="19" t="s">
        <v>26</v>
      </c>
      <c r="C880" s="19" t="s">
        <v>5</v>
      </c>
      <c r="D880" s="20" t="s">
        <v>935</v>
      </c>
      <c r="E880" s="20" t="s">
        <v>79</v>
      </c>
      <c r="F880" s="21" t="s">
        <v>80</v>
      </c>
      <c r="G880" s="38" t="s">
        <v>182</v>
      </c>
      <c r="H880" s="39" t="s">
        <v>82</v>
      </c>
      <c r="I880" s="39" t="s">
        <v>83</v>
      </c>
      <c r="J880" s="21" t="s">
        <v>144</v>
      </c>
      <c r="K880" s="21" t="s">
        <v>145</v>
      </c>
      <c r="L880" s="21" t="s">
        <v>936</v>
      </c>
      <c r="M880" s="21" t="s">
        <v>937</v>
      </c>
      <c r="N880" s="21" t="s">
        <v>937</v>
      </c>
      <c r="O880" s="20" t="s">
        <v>123</v>
      </c>
      <c r="P880" s="45">
        <v>45928</v>
      </c>
      <c r="Q880" s="39" t="s">
        <v>3050</v>
      </c>
      <c r="R880" s="19">
        <v>1355.12</v>
      </c>
      <c r="S880" s="21">
        <v>0.2</v>
      </c>
      <c r="T880" s="21">
        <v>1626.1439999999998</v>
      </c>
      <c r="U880" s="44" t="s">
        <v>3051</v>
      </c>
      <c r="V880" s="22">
        <v>45943</v>
      </c>
      <c r="W880" s="54" t="s">
        <v>91</v>
      </c>
      <c r="X880" s="23"/>
      <c r="Y880" s="23" t="s">
        <v>92</v>
      </c>
      <c r="Z880" s="56" t="s">
        <v>928</v>
      </c>
      <c r="AA880" s="24">
        <v>861887</v>
      </c>
      <c r="AB880" s="19"/>
      <c r="AC880" s="46" t="s">
        <v>94</v>
      </c>
      <c r="AD880" s="15" t="e">
        <f ca="1">IF(AND($D880&lt;&gt;"",COUNTIF(OFFSET(UFS!$E$2,MATCH($D880&amp;"",UFS!$A$2:$A$175,0)-1,0,COUNTIF(UFS!$A$2:$A$175,$D880&amp;""),1),M880)&gt;0),"Valide","Invalide")</f>
        <v>#N/A</v>
      </c>
      <c r="AH880" s="15" t="str">
        <f t="shared" si="13"/>
        <v>En attente</v>
      </c>
    </row>
    <row r="881" spans="1:34" s="15" customFormat="1" ht="45" hidden="1" customHeight="1" x14ac:dyDescent="0.3">
      <c r="A881" s="42">
        <v>882</v>
      </c>
      <c r="B881" s="19" t="s">
        <v>709</v>
      </c>
      <c r="C881" s="19" t="s">
        <v>3052</v>
      </c>
      <c r="D881" s="20" t="s">
        <v>251</v>
      </c>
      <c r="E881" s="20" t="s">
        <v>79</v>
      </c>
      <c r="F881" s="21" t="s">
        <v>80</v>
      </c>
      <c r="G881" s="38" t="s">
        <v>241</v>
      </c>
      <c r="H881" s="39" t="s">
        <v>643</v>
      </c>
      <c r="I881" s="39" t="s">
        <v>644</v>
      </c>
      <c r="J881" s="21" t="s">
        <v>144</v>
      </c>
      <c r="K881" s="21" t="s">
        <v>145</v>
      </c>
      <c r="L881" s="21" t="s">
        <v>254</v>
      </c>
      <c r="M881" s="21" t="s">
        <v>255</v>
      </c>
      <c r="N881" s="21" t="s">
        <v>256</v>
      </c>
      <c r="O881" s="20" t="s">
        <v>3053</v>
      </c>
      <c r="P881" s="45">
        <v>45939</v>
      </c>
      <c r="Q881" s="39" t="s">
        <v>3054</v>
      </c>
      <c r="R881" s="19">
        <v>564.9</v>
      </c>
      <c r="S881" s="21">
        <v>0.2</v>
      </c>
      <c r="T881" s="21">
        <v>677.88</v>
      </c>
      <c r="U881" s="60" t="s">
        <v>3055</v>
      </c>
      <c r="V881" s="22">
        <v>45944</v>
      </c>
      <c r="W881" s="54" t="s">
        <v>91</v>
      </c>
      <c r="X881" s="23"/>
      <c r="Y881" s="23" t="s">
        <v>92</v>
      </c>
      <c r="Z881" s="56" t="s">
        <v>928</v>
      </c>
      <c r="AA881" s="24">
        <v>861891</v>
      </c>
      <c r="AB881" s="19"/>
      <c r="AC881" s="19"/>
      <c r="AD881" s="15" t="str">
        <f ca="1">IF(AND($D881&lt;&gt;"",COUNTIF(OFFSET(UFS!$E$2,MATCH($D881&amp;"",UFS!$A$2:$A$175,0)-1,0,COUNTIF(UFS!$A$2:$A$175,$D881&amp;""),1),M881)&gt;0),"Valide","Invalide")</f>
        <v>Valide</v>
      </c>
      <c r="AH881" s="15" t="str">
        <f t="shared" si="13"/>
        <v>En attente</v>
      </c>
    </row>
    <row r="882" spans="1:34" s="15" customFormat="1" ht="45" hidden="1" customHeight="1" x14ac:dyDescent="0.3">
      <c r="A882" s="42">
        <v>883</v>
      </c>
      <c r="B882" s="19" t="s">
        <v>709</v>
      </c>
      <c r="C882" s="19" t="s">
        <v>3052</v>
      </c>
      <c r="D882" s="20" t="s">
        <v>251</v>
      </c>
      <c r="E882" s="20" t="s">
        <v>79</v>
      </c>
      <c r="F882" s="21" t="s">
        <v>80</v>
      </c>
      <c r="G882" s="38" t="s">
        <v>241</v>
      </c>
      <c r="H882" s="39" t="s">
        <v>643</v>
      </c>
      <c r="I882" s="39" t="s">
        <v>644</v>
      </c>
      <c r="J882" s="21" t="s">
        <v>144</v>
      </c>
      <c r="K882" s="21" t="s">
        <v>145</v>
      </c>
      <c r="L882" s="21" t="s">
        <v>254</v>
      </c>
      <c r="M882" s="21" t="s">
        <v>255</v>
      </c>
      <c r="N882" s="21" t="s">
        <v>256</v>
      </c>
      <c r="O882" s="20" t="s">
        <v>3056</v>
      </c>
      <c r="P882" s="45">
        <v>45939</v>
      </c>
      <c r="Q882" s="39" t="s">
        <v>3057</v>
      </c>
      <c r="R882" s="19">
        <v>564.9</v>
      </c>
      <c r="S882" s="21">
        <v>0.2</v>
      </c>
      <c r="T882" s="21">
        <v>677.88</v>
      </c>
      <c r="U882" s="60" t="s">
        <v>3058</v>
      </c>
      <c r="V882" s="22">
        <v>45944</v>
      </c>
      <c r="W882" s="54" t="s">
        <v>91</v>
      </c>
      <c r="X882" s="23"/>
      <c r="Y882" s="23" t="s">
        <v>92</v>
      </c>
      <c r="Z882" s="56" t="s">
        <v>928</v>
      </c>
      <c r="AA882" s="24">
        <v>861893</v>
      </c>
      <c r="AB882" s="19"/>
      <c r="AC882" s="19"/>
      <c r="AD882" s="15" t="str">
        <f ca="1">IF(AND($D882&lt;&gt;"",COUNTIF(OFFSET(UFS!$E$2,MATCH($D882&amp;"",UFS!$A$2:$A$175,0)-1,0,COUNTIF(UFS!$A$2:$A$175,$D882&amp;""),1),M882)&gt;0),"Valide","Invalide")</f>
        <v>Valide</v>
      </c>
      <c r="AH882" s="15" t="str">
        <f t="shared" si="13"/>
        <v>En attente</v>
      </c>
    </row>
    <row r="883" spans="1:34" s="15" customFormat="1" ht="45" hidden="1" customHeight="1" x14ac:dyDescent="0.3">
      <c r="A883" s="42">
        <v>884</v>
      </c>
      <c r="B883" s="19" t="s">
        <v>709</v>
      </c>
      <c r="C883" s="19" t="s">
        <v>23</v>
      </c>
      <c r="D883" s="20" t="s">
        <v>1090</v>
      </c>
      <c r="E883" s="20" t="s">
        <v>79</v>
      </c>
      <c r="F883" s="21" t="s">
        <v>80</v>
      </c>
      <c r="G883" s="38" t="s">
        <v>241</v>
      </c>
      <c r="H883" s="39" t="s">
        <v>643</v>
      </c>
      <c r="I883" s="39" t="s">
        <v>644</v>
      </c>
      <c r="J883" s="21" t="s">
        <v>144</v>
      </c>
      <c r="K883" s="21" t="s">
        <v>145</v>
      </c>
      <c r="L883" s="21" t="s">
        <v>636</v>
      </c>
      <c r="M883" s="21" t="s">
        <v>1091</v>
      </c>
      <c r="N883" s="21" t="s">
        <v>102</v>
      </c>
      <c r="O883" s="20" t="s">
        <v>3059</v>
      </c>
      <c r="P883" s="45">
        <v>45944</v>
      </c>
      <c r="Q883" s="39" t="s">
        <v>3060</v>
      </c>
      <c r="R883" s="19">
        <v>253.2</v>
      </c>
      <c r="S883" s="21">
        <v>0.1</v>
      </c>
      <c r="T883" s="21">
        <v>278.52</v>
      </c>
      <c r="U883" s="60" t="s">
        <v>3061</v>
      </c>
      <c r="V883" s="22">
        <v>45945</v>
      </c>
      <c r="W883" s="54" t="s">
        <v>91</v>
      </c>
      <c r="X883" s="23"/>
      <c r="Y883" s="23" t="s">
        <v>92</v>
      </c>
      <c r="Z883" s="56" t="s">
        <v>928</v>
      </c>
      <c r="AA883" s="24">
        <v>861898</v>
      </c>
      <c r="AB883" s="19"/>
      <c r="AC883" s="19"/>
      <c r="AD883" s="15" t="str">
        <f ca="1">IF(AND($D883&lt;&gt;"",COUNTIF(OFFSET(UFS!$E$2,MATCH($D883&amp;"",UFS!$A$2:$A$175,0)-1,0,COUNTIF(UFS!$A$2:$A$175,$D883&amp;""),1),M883)&gt;0),"Valide","Invalide")</f>
        <v>Valide</v>
      </c>
      <c r="AH883" s="15" t="str">
        <f t="shared" si="13"/>
        <v>En attente</v>
      </c>
    </row>
    <row r="884" spans="1:34" s="15" customFormat="1" ht="45" hidden="1" customHeight="1" x14ac:dyDescent="0.3">
      <c r="A884" s="42">
        <v>885</v>
      </c>
      <c r="B884" s="19" t="s">
        <v>709</v>
      </c>
      <c r="C884" s="19" t="s">
        <v>23</v>
      </c>
      <c r="D884" s="20" t="s">
        <v>391</v>
      </c>
      <c r="E884" s="20" t="s">
        <v>79</v>
      </c>
      <c r="F884" s="21" t="s">
        <v>80</v>
      </c>
      <c r="G884" s="38" t="s">
        <v>241</v>
      </c>
      <c r="H884" s="39" t="s">
        <v>643</v>
      </c>
      <c r="I884" s="39" t="s">
        <v>644</v>
      </c>
      <c r="J884" s="21" t="s">
        <v>124</v>
      </c>
      <c r="K884" s="21" t="s">
        <v>235</v>
      </c>
      <c r="L884" s="21" t="s">
        <v>177</v>
      </c>
      <c r="M884" s="21" t="s">
        <v>1345</v>
      </c>
      <c r="N884" s="21" t="s">
        <v>102</v>
      </c>
      <c r="O884" s="20" t="s">
        <v>3062</v>
      </c>
      <c r="P884" s="45">
        <v>45944</v>
      </c>
      <c r="Q884" s="39" t="s">
        <v>3060</v>
      </c>
      <c r="R884" s="19">
        <v>253.2</v>
      </c>
      <c r="S884" s="21">
        <v>0.1</v>
      </c>
      <c r="T884" s="21">
        <v>278.52</v>
      </c>
      <c r="U884" s="60" t="s">
        <v>3063</v>
      </c>
      <c r="V884" s="22">
        <v>45945</v>
      </c>
      <c r="W884" s="54" t="s">
        <v>91</v>
      </c>
      <c r="X884" s="23"/>
      <c r="Y884" s="23" t="s">
        <v>92</v>
      </c>
      <c r="Z884" s="56" t="s">
        <v>928</v>
      </c>
      <c r="AA884" s="24">
        <v>861899</v>
      </c>
      <c r="AB884" s="19"/>
      <c r="AC884" s="19"/>
      <c r="AD884" s="15" t="str">
        <f ca="1">IF(AND($D884&lt;&gt;"",COUNTIF(OFFSET(UFS!$E$2,MATCH($D884&amp;"",UFS!$A$2:$A$175,0)-1,0,COUNTIF(UFS!$A$2:$A$175,$D884&amp;""),1),M884)&gt;0),"Valide","Invalide")</f>
        <v>Valide</v>
      </c>
      <c r="AH884" s="15" t="str">
        <f t="shared" si="13"/>
        <v>En attente</v>
      </c>
    </row>
    <row r="885" spans="1:34" s="15" customFormat="1" ht="45" hidden="1" customHeight="1" x14ac:dyDescent="0.3">
      <c r="A885" s="42">
        <v>886</v>
      </c>
      <c r="B885" s="19" t="s">
        <v>24</v>
      </c>
      <c r="C885" s="19" t="s">
        <v>25</v>
      </c>
      <c r="D885" s="20" t="s">
        <v>3064</v>
      </c>
      <c r="E885" s="20" t="s">
        <v>79</v>
      </c>
      <c r="F885" s="21" t="s">
        <v>80</v>
      </c>
      <c r="G885" s="38" t="s">
        <v>182</v>
      </c>
      <c r="H885" s="39" t="s">
        <v>82</v>
      </c>
      <c r="I885" s="39" t="s">
        <v>83</v>
      </c>
      <c r="J885" s="21" t="s">
        <v>700</v>
      </c>
      <c r="K885" s="21" t="s">
        <v>3065</v>
      </c>
      <c r="L885" s="21" t="s">
        <v>246</v>
      </c>
      <c r="M885" s="21" t="s">
        <v>3066</v>
      </c>
      <c r="N885" s="21" t="s">
        <v>271</v>
      </c>
      <c r="O885" s="20" t="s">
        <v>3067</v>
      </c>
      <c r="P885" s="45">
        <v>45937</v>
      </c>
      <c r="Q885" s="39" t="s">
        <v>3068</v>
      </c>
      <c r="R885" s="19">
        <v>4120.3100000000004</v>
      </c>
      <c r="S885" s="21">
        <v>0.2</v>
      </c>
      <c r="T885" s="21">
        <v>4944.3720000000003</v>
      </c>
      <c r="U885" s="44" t="s">
        <v>3069</v>
      </c>
      <c r="V885" s="22">
        <v>45945</v>
      </c>
      <c r="W885" s="54" t="s">
        <v>91</v>
      </c>
      <c r="X885" s="23"/>
      <c r="Y885" s="23" t="s">
        <v>92</v>
      </c>
      <c r="Z885" s="56" t="s">
        <v>928</v>
      </c>
      <c r="AA885" s="24">
        <v>861900</v>
      </c>
      <c r="AB885" s="47">
        <v>45992</v>
      </c>
      <c r="AC885" s="46" t="s">
        <v>94</v>
      </c>
      <c r="AD885" s="15" t="str">
        <f ca="1">IF(AND($D885&lt;&gt;"",COUNTIF(OFFSET(UFS!$E$2,MATCH($D885&amp;"",UFS!$A$2:$A$175,0)-1,0,COUNTIF(UFS!$A$2:$A$175,$D885&amp;""),1),M885)&gt;0),"Valide","Invalide")</f>
        <v>Valide</v>
      </c>
      <c r="AH885" s="15" t="str">
        <f t="shared" si="13"/>
        <v>En attente</v>
      </c>
    </row>
    <row r="886" spans="1:34" s="15" customFormat="1" ht="45" hidden="1" customHeight="1" x14ac:dyDescent="0.3">
      <c r="A886" s="42">
        <v>887</v>
      </c>
      <c r="B886" s="19" t="s">
        <v>24</v>
      </c>
      <c r="C886" s="19" t="s">
        <v>15</v>
      </c>
      <c r="D886" s="20" t="s">
        <v>825</v>
      </c>
      <c r="E886" s="20" t="s">
        <v>79</v>
      </c>
      <c r="F886" s="21" t="s">
        <v>80</v>
      </c>
      <c r="G886" s="38" t="s">
        <v>182</v>
      </c>
      <c r="H886" s="39" t="s">
        <v>139</v>
      </c>
      <c r="I886" s="39" t="s">
        <v>83</v>
      </c>
      <c r="J886" s="21" t="s">
        <v>244</v>
      </c>
      <c r="K886" s="21" t="s">
        <v>827</v>
      </c>
      <c r="L886" s="21" t="s">
        <v>629</v>
      </c>
      <c r="M886" s="21" t="s">
        <v>828</v>
      </c>
      <c r="N886" s="21" t="s">
        <v>87</v>
      </c>
      <c r="O886" s="20" t="s">
        <v>3070</v>
      </c>
      <c r="P886" s="45">
        <v>45944</v>
      </c>
      <c r="Q886" s="39" t="s">
        <v>3071</v>
      </c>
      <c r="R886" s="19">
        <v>2455.85</v>
      </c>
      <c r="S886" s="21">
        <v>0.2</v>
      </c>
      <c r="T886" s="21">
        <v>2947.02</v>
      </c>
      <c r="U886" s="44" t="s">
        <v>3072</v>
      </c>
      <c r="V886" s="22">
        <v>45945</v>
      </c>
      <c r="W886" s="54" t="s">
        <v>91</v>
      </c>
      <c r="X886" s="23"/>
      <c r="Y886" s="23" t="s">
        <v>92</v>
      </c>
      <c r="Z886" s="56" t="s">
        <v>928</v>
      </c>
      <c r="AA886" s="24">
        <v>861901</v>
      </c>
      <c r="AB886" s="47">
        <v>45973</v>
      </c>
      <c r="AC886" s="46" t="s">
        <v>94</v>
      </c>
      <c r="AD886" s="15" t="str">
        <f ca="1">IF(AND($D886&lt;&gt;"",COUNTIF(OFFSET(UFS!$E$2,MATCH($D886&amp;"",UFS!$A$2:$A$175,0)-1,0,COUNTIF(UFS!$A$2:$A$175,$D886&amp;""),1),M886)&gt;0),"Valide","Invalide")</f>
        <v>Valide</v>
      </c>
      <c r="AH886" s="15" t="str">
        <f t="shared" si="13"/>
        <v>En attente</v>
      </c>
    </row>
    <row r="887" spans="1:34" s="15" customFormat="1" ht="45" customHeight="1" x14ac:dyDescent="0.3">
      <c r="A887" s="42">
        <v>888</v>
      </c>
      <c r="B887" s="19" t="s">
        <v>24</v>
      </c>
      <c r="C887" s="19" t="s">
        <v>34</v>
      </c>
      <c r="D887" s="20" t="s">
        <v>233</v>
      </c>
      <c r="E887" s="20" t="s">
        <v>79</v>
      </c>
      <c r="F887" s="21" t="s">
        <v>80</v>
      </c>
      <c r="G887" s="38" t="s">
        <v>81</v>
      </c>
      <c r="H887" s="39" t="s">
        <v>267</v>
      </c>
      <c r="I887" s="39" t="s">
        <v>83</v>
      </c>
      <c r="J887" s="21" t="s">
        <v>124</v>
      </c>
      <c r="K887" s="21" t="s">
        <v>235</v>
      </c>
      <c r="L887" s="21" t="s">
        <v>177</v>
      </c>
      <c r="M887" s="21" t="s">
        <v>109</v>
      </c>
      <c r="N887" s="21" t="s">
        <v>109</v>
      </c>
      <c r="O887" s="20" t="s">
        <v>3073</v>
      </c>
      <c r="P887" s="45">
        <v>45937</v>
      </c>
      <c r="Q887" s="39" t="s">
        <v>3074</v>
      </c>
      <c r="R887" s="19">
        <v>32498.28</v>
      </c>
      <c r="S887" s="21">
        <v>0.1</v>
      </c>
      <c r="T887" s="21">
        <v>35748.108</v>
      </c>
      <c r="U887" s="44" t="s">
        <v>3075</v>
      </c>
      <c r="V887" s="22">
        <v>45945</v>
      </c>
      <c r="W887" s="54" t="s">
        <v>91</v>
      </c>
      <c r="X887" s="23"/>
      <c r="Y887" s="23" t="s">
        <v>92</v>
      </c>
      <c r="Z887" s="56" t="s">
        <v>446</v>
      </c>
      <c r="AA887" s="24">
        <v>861902</v>
      </c>
      <c r="AB887" s="47">
        <v>45992</v>
      </c>
      <c r="AC887" s="49" t="s">
        <v>161</v>
      </c>
      <c r="AD887" s="15" t="str">
        <f ca="1">IF(AND($D887&lt;&gt;"",COUNTIF(OFFSET(UFS!$E$2,MATCH($D887&amp;"",UFS!$A$2:$A$175,0)-1,0,COUNTIF(UFS!$A$2:$A$175,$D887&amp;""),1),M887)&gt;0),"Valide","Invalide")</f>
        <v>Valide</v>
      </c>
      <c r="AH887" s="15" t="str">
        <f t="shared" si="13"/>
        <v>En attente</v>
      </c>
    </row>
    <row r="888" spans="1:34" s="15" customFormat="1" ht="45" hidden="1" customHeight="1" x14ac:dyDescent="0.3">
      <c r="A888" s="42">
        <v>889</v>
      </c>
      <c r="B888" s="19" t="s">
        <v>709</v>
      </c>
      <c r="C888" s="19" t="s">
        <v>23</v>
      </c>
      <c r="D888" s="20" t="s">
        <v>911</v>
      </c>
      <c r="E888" s="20" t="s">
        <v>79</v>
      </c>
      <c r="F888" s="21" t="s">
        <v>80</v>
      </c>
      <c r="G888" s="38" t="s">
        <v>241</v>
      </c>
      <c r="H888" s="39" t="s">
        <v>643</v>
      </c>
      <c r="I888" s="39" t="s">
        <v>644</v>
      </c>
      <c r="J888" s="21" t="s">
        <v>144</v>
      </c>
      <c r="K888" s="21" t="s">
        <v>145</v>
      </c>
      <c r="L888" s="21" t="s">
        <v>270</v>
      </c>
      <c r="M888" s="21" t="s">
        <v>1342</v>
      </c>
      <c r="N888" s="21" t="s">
        <v>102</v>
      </c>
      <c r="O888" s="20" t="s">
        <v>3076</v>
      </c>
      <c r="P888" s="45">
        <v>45945</v>
      </c>
      <c r="Q888" s="39" t="s">
        <v>3077</v>
      </c>
      <c r="R888" s="19">
        <v>1161</v>
      </c>
      <c r="S888" s="21">
        <v>0.1</v>
      </c>
      <c r="T888" s="21">
        <v>1277.0999999999999</v>
      </c>
      <c r="U888" s="60" t="s">
        <v>3078</v>
      </c>
      <c r="V888" s="22">
        <v>45945</v>
      </c>
      <c r="W888" s="54" t="s">
        <v>91</v>
      </c>
      <c r="X888" s="23"/>
      <c r="Y888" s="23" t="s">
        <v>92</v>
      </c>
      <c r="Z888" s="56" t="s">
        <v>1338</v>
      </c>
      <c r="AA888" s="24">
        <v>861938</v>
      </c>
      <c r="AB888" s="19"/>
      <c r="AC888" s="19"/>
      <c r="AD888" s="15" t="str">
        <f ca="1">IF(AND($D888&lt;&gt;"",COUNTIF(OFFSET(UFS!$E$2,MATCH($D888&amp;"",UFS!$A$2:$A$175,0)-1,0,COUNTIF(UFS!$A$2:$A$175,$D888&amp;""),1),M888)&gt;0),"Valide","Invalide")</f>
        <v>Invalide</v>
      </c>
      <c r="AH888" s="15" t="str">
        <f t="shared" si="13"/>
        <v>En attente</v>
      </c>
    </row>
    <row r="889" spans="1:34" s="15" customFormat="1" ht="45" hidden="1" customHeight="1" x14ac:dyDescent="0.3">
      <c r="A889" s="42">
        <v>890</v>
      </c>
      <c r="B889" s="19" t="s">
        <v>709</v>
      </c>
      <c r="C889" s="19" t="s">
        <v>35</v>
      </c>
      <c r="D889" s="20" t="s">
        <v>200</v>
      </c>
      <c r="E889" s="20" t="s">
        <v>79</v>
      </c>
      <c r="F889" s="21" t="s">
        <v>80</v>
      </c>
      <c r="G889" s="38" t="s">
        <v>241</v>
      </c>
      <c r="H889" s="39" t="s">
        <v>643</v>
      </c>
      <c r="I889" s="39" t="s">
        <v>644</v>
      </c>
      <c r="J889" s="21" t="s">
        <v>144</v>
      </c>
      <c r="K889" s="21" t="s">
        <v>145</v>
      </c>
      <c r="L889" s="21" t="s">
        <v>3079</v>
      </c>
      <c r="M889" s="21" t="s">
        <v>3080</v>
      </c>
      <c r="N889" s="21" t="s">
        <v>102</v>
      </c>
      <c r="O889" s="20" t="s">
        <v>3081</v>
      </c>
      <c r="P889" s="45">
        <v>45946</v>
      </c>
      <c r="Q889" s="39" t="s">
        <v>3082</v>
      </c>
      <c r="R889" s="19">
        <v>1465.92</v>
      </c>
      <c r="S889" s="21">
        <v>0.2</v>
      </c>
      <c r="T889" s="21">
        <v>1759.1</v>
      </c>
      <c r="U889" s="60" t="s">
        <v>3083</v>
      </c>
      <c r="V889" s="22">
        <v>45946</v>
      </c>
      <c r="W889" s="54" t="s">
        <v>91</v>
      </c>
      <c r="X889" s="23"/>
      <c r="Y889" s="23" t="s">
        <v>92</v>
      </c>
      <c r="Z889" s="56" t="s">
        <v>1338</v>
      </c>
      <c r="AA889" s="24">
        <v>861941</v>
      </c>
      <c r="AB889" s="19"/>
      <c r="AC889" s="19"/>
      <c r="AD889" s="15" t="e">
        <f ca="1">IF(AND($D889&lt;&gt;"",COUNTIF(OFFSET(UFS!$E$2,MATCH($D889&amp;"",UFS!$A$2:$A$175,0)-1,0,COUNTIF(UFS!$A$2:$A$175,$D889&amp;""),1),M889)&gt;0),"Valide","Invalide")</f>
        <v>#N/A</v>
      </c>
      <c r="AH889" s="15" t="str">
        <f t="shared" si="13"/>
        <v>En attente</v>
      </c>
    </row>
    <row r="890" spans="1:34" s="15" customFormat="1" ht="45" hidden="1" customHeight="1" x14ac:dyDescent="0.3">
      <c r="A890" s="42">
        <v>891</v>
      </c>
      <c r="B890" s="19" t="s">
        <v>26</v>
      </c>
      <c r="C890" s="19" t="s">
        <v>32</v>
      </c>
      <c r="D890" s="20" t="s">
        <v>156</v>
      </c>
      <c r="E890" s="20" t="s">
        <v>79</v>
      </c>
      <c r="F890" s="21" t="s">
        <v>80</v>
      </c>
      <c r="G890" s="38" t="s">
        <v>81</v>
      </c>
      <c r="H890" s="39" t="s">
        <v>211</v>
      </c>
      <c r="I890" s="39" t="s">
        <v>83</v>
      </c>
      <c r="J890" s="21" t="s">
        <v>144</v>
      </c>
      <c r="K890" s="21" t="s">
        <v>145</v>
      </c>
      <c r="L890" s="21" t="s">
        <v>146</v>
      </c>
      <c r="M890" s="21" t="s">
        <v>146</v>
      </c>
      <c r="N890" s="21" t="s">
        <v>157</v>
      </c>
      <c r="O890" s="20" t="s">
        <v>3084</v>
      </c>
      <c r="P890" s="45">
        <v>45946</v>
      </c>
      <c r="Q890" s="39" t="s">
        <v>3085</v>
      </c>
      <c r="R890" s="19">
        <v>2181.31</v>
      </c>
      <c r="S890" s="21">
        <v>0.2</v>
      </c>
      <c r="T890" s="21">
        <v>2617.5720000000001</v>
      </c>
      <c r="U890" s="60" t="s">
        <v>3086</v>
      </c>
      <c r="V890" s="22">
        <v>45946</v>
      </c>
      <c r="W890" s="54" t="s">
        <v>91</v>
      </c>
      <c r="X890" s="23"/>
      <c r="Y890" s="23" t="s">
        <v>92</v>
      </c>
      <c r="Z890" s="56" t="s">
        <v>1338</v>
      </c>
      <c r="AA890" s="24">
        <v>862236</v>
      </c>
      <c r="AB890" s="19"/>
      <c r="AC890" s="19"/>
      <c r="AD890" s="15" t="str">
        <f ca="1">IF(AND($D890&lt;&gt;"",COUNTIF(OFFSET(UFS!$E$2,MATCH($D890&amp;"",UFS!$A$2:$A$175,0)-1,0,COUNTIF(UFS!$A$2:$A$175,$D890&amp;""),1),M890)&gt;0),"Valide","Invalide")</f>
        <v>Valide</v>
      </c>
      <c r="AH890" s="15" t="str">
        <f t="shared" si="13"/>
        <v>En attente</v>
      </c>
    </row>
    <row r="891" spans="1:34" s="15" customFormat="1" ht="45" hidden="1" customHeight="1" x14ac:dyDescent="0.3">
      <c r="A891" s="42">
        <v>892</v>
      </c>
      <c r="B891" s="19" t="s">
        <v>26</v>
      </c>
      <c r="C891" s="19" t="s">
        <v>15</v>
      </c>
      <c r="D891" s="20" t="s">
        <v>2444</v>
      </c>
      <c r="E891" s="20" t="s">
        <v>79</v>
      </c>
      <c r="F891" s="21" t="s">
        <v>80</v>
      </c>
      <c r="G891" s="38" t="s">
        <v>81</v>
      </c>
      <c r="H891" s="39" t="s">
        <v>139</v>
      </c>
      <c r="I891" s="39" t="s">
        <v>83</v>
      </c>
      <c r="J891" s="21" t="s">
        <v>144</v>
      </c>
      <c r="K891" s="21" t="s">
        <v>145</v>
      </c>
      <c r="L891" s="21" t="s">
        <v>203</v>
      </c>
      <c r="M891" s="21" t="s">
        <v>2445</v>
      </c>
      <c r="N891" s="21" t="s">
        <v>2445</v>
      </c>
      <c r="O891" s="20" t="s">
        <v>3087</v>
      </c>
      <c r="P891" s="45">
        <v>45931</v>
      </c>
      <c r="Q891" s="39" t="s">
        <v>3088</v>
      </c>
      <c r="R891" s="19">
        <v>2988.78</v>
      </c>
      <c r="S891" s="21">
        <v>0.2</v>
      </c>
      <c r="T891" s="21">
        <v>3586.5360000000001</v>
      </c>
      <c r="U891" s="60" t="s">
        <v>3089</v>
      </c>
      <c r="V891" s="22">
        <v>45946</v>
      </c>
      <c r="W891" s="54" t="s">
        <v>91</v>
      </c>
      <c r="X891" s="23"/>
      <c r="Y891" s="23" t="s">
        <v>92</v>
      </c>
      <c r="Z891" s="56" t="s">
        <v>1338</v>
      </c>
      <c r="AA891" s="24">
        <v>862241</v>
      </c>
      <c r="AB891" s="19"/>
      <c r="AC891" s="46" t="s">
        <v>94</v>
      </c>
      <c r="AD891" s="15" t="str">
        <f ca="1">IF(AND($D891&lt;&gt;"",COUNTIF(OFFSET(UFS!$E$2,MATCH($D891&amp;"",UFS!$A$2:$A$175,0)-1,0,COUNTIF(UFS!$A$2:$A$175,$D891&amp;""),1),M891)&gt;0),"Valide","Invalide")</f>
        <v>Valide</v>
      </c>
      <c r="AH891" s="15" t="str">
        <f t="shared" si="13"/>
        <v>En attente</v>
      </c>
    </row>
    <row r="892" spans="1:34" s="15" customFormat="1" ht="45" hidden="1" customHeight="1" x14ac:dyDescent="0.3">
      <c r="A892" s="42">
        <v>893</v>
      </c>
      <c r="B892" s="19" t="s">
        <v>26</v>
      </c>
      <c r="C892" s="19" t="s">
        <v>11</v>
      </c>
      <c r="D892" s="20" t="s">
        <v>2444</v>
      </c>
      <c r="E892" s="20" t="s">
        <v>79</v>
      </c>
      <c r="F892" s="21" t="s">
        <v>80</v>
      </c>
      <c r="G892" s="38" t="s">
        <v>81</v>
      </c>
      <c r="H892" s="39" t="s">
        <v>82</v>
      </c>
      <c r="I892" s="39" t="s">
        <v>83</v>
      </c>
      <c r="J892" s="21" t="s">
        <v>144</v>
      </c>
      <c r="K892" s="21" t="s">
        <v>145</v>
      </c>
      <c r="L892" s="21" t="s">
        <v>203</v>
      </c>
      <c r="M892" s="21" t="s">
        <v>2445</v>
      </c>
      <c r="N892" s="21" t="s">
        <v>2445</v>
      </c>
      <c r="O892" s="20" t="s">
        <v>3090</v>
      </c>
      <c r="P892" s="45">
        <v>45931</v>
      </c>
      <c r="Q892" s="39" t="s">
        <v>3091</v>
      </c>
      <c r="R892" s="19">
        <v>777.42</v>
      </c>
      <c r="S892" s="21">
        <v>0.2</v>
      </c>
      <c r="T892" s="21">
        <v>932.904</v>
      </c>
      <c r="U892" s="60" t="s">
        <v>3092</v>
      </c>
      <c r="V892" s="22">
        <v>45946</v>
      </c>
      <c r="W892" s="54" t="s">
        <v>91</v>
      </c>
      <c r="X892" s="23"/>
      <c r="Y892" s="23" t="s">
        <v>92</v>
      </c>
      <c r="Z892" s="56" t="s">
        <v>1338</v>
      </c>
      <c r="AA892" s="24">
        <v>862247</v>
      </c>
      <c r="AB892" s="19"/>
      <c r="AC892" s="46" t="s">
        <v>94</v>
      </c>
      <c r="AD892" s="15" t="str">
        <f ca="1">IF(AND($D892&lt;&gt;"",COUNTIF(OFFSET(UFS!$E$2,MATCH($D892&amp;"",UFS!$A$2:$A$175,0)-1,0,COUNTIF(UFS!$A$2:$A$175,$D892&amp;""),1),M892)&gt;0),"Valide","Invalide")</f>
        <v>Valide</v>
      </c>
      <c r="AH892" s="15" t="str">
        <f t="shared" si="13"/>
        <v>En attente</v>
      </c>
    </row>
    <row r="893" spans="1:34" s="15" customFormat="1" ht="45" hidden="1" customHeight="1" x14ac:dyDescent="0.3">
      <c r="A893" s="42">
        <v>894</v>
      </c>
      <c r="B893" s="19" t="s">
        <v>24</v>
      </c>
      <c r="C893" s="19" t="s">
        <v>19</v>
      </c>
      <c r="D893" s="20" t="s">
        <v>3093</v>
      </c>
      <c r="E893" s="20" t="s">
        <v>79</v>
      </c>
      <c r="F893" s="21" t="s">
        <v>80</v>
      </c>
      <c r="G893" s="38" t="s">
        <v>81</v>
      </c>
      <c r="H893" s="39" t="s">
        <v>211</v>
      </c>
      <c r="I893" s="39" t="s">
        <v>83</v>
      </c>
      <c r="J893" s="21" t="s">
        <v>461</v>
      </c>
      <c r="K893" s="21" t="s">
        <v>1201</v>
      </c>
      <c r="L893" s="21" t="s">
        <v>120</v>
      </c>
      <c r="M893" s="21" t="s">
        <v>1201</v>
      </c>
      <c r="N893" s="21" t="s">
        <v>271</v>
      </c>
      <c r="O893" s="20" t="s">
        <v>3094</v>
      </c>
      <c r="P893" s="45">
        <v>45944</v>
      </c>
      <c r="Q893" s="39" t="s">
        <v>3095</v>
      </c>
      <c r="R893" s="19">
        <v>4187.1000000000004</v>
      </c>
      <c r="S893" s="21">
        <v>0.2</v>
      </c>
      <c r="T893" s="21">
        <v>5024.5200000000004</v>
      </c>
      <c r="U893" s="44" t="s">
        <v>3096</v>
      </c>
      <c r="V893" s="22">
        <v>45946</v>
      </c>
      <c r="W893" s="54" t="s">
        <v>91</v>
      </c>
      <c r="X893" s="23"/>
      <c r="Y893" s="23" t="s">
        <v>92</v>
      </c>
      <c r="Z893" s="56" t="s">
        <v>928</v>
      </c>
      <c r="AA893" s="24">
        <v>861904</v>
      </c>
      <c r="AB893" s="47">
        <v>45944</v>
      </c>
      <c r="AC893" s="46" t="s">
        <v>94</v>
      </c>
      <c r="AD893" s="15" t="str">
        <f ca="1">IF(AND($D893&lt;&gt;"",COUNTIF(OFFSET(UFS!$E$2,MATCH($D893&amp;"",UFS!$A$2:$A$175,0)-1,0,COUNTIF(UFS!$A$2:$A$175,$D893&amp;""),1),M893)&gt;0),"Valide","Invalide")</f>
        <v>Valide</v>
      </c>
      <c r="AH893" s="15" t="str">
        <f t="shared" si="13"/>
        <v>En attente</v>
      </c>
    </row>
    <row r="894" spans="1:34" s="15" customFormat="1" ht="45" hidden="1" customHeight="1" x14ac:dyDescent="0.3">
      <c r="A894" s="42">
        <v>895</v>
      </c>
      <c r="B894" s="19" t="s">
        <v>24</v>
      </c>
      <c r="C894" s="19" t="s">
        <v>5</v>
      </c>
      <c r="D894" s="20" t="s">
        <v>587</v>
      </c>
      <c r="E894" s="20" t="s">
        <v>96</v>
      </c>
      <c r="F894" s="21" t="s">
        <v>80</v>
      </c>
      <c r="G894" s="38" t="s">
        <v>288</v>
      </c>
      <c r="H894" s="39"/>
      <c r="I894" s="39" t="s">
        <v>3097</v>
      </c>
      <c r="J894" s="21" t="s">
        <v>144</v>
      </c>
      <c r="K894" s="21" t="s">
        <v>145</v>
      </c>
      <c r="L894" s="21" t="s">
        <v>203</v>
      </c>
      <c r="M894" s="21" t="s">
        <v>589</v>
      </c>
      <c r="N894" s="21" t="s">
        <v>589</v>
      </c>
      <c r="O894" s="20" t="s">
        <v>3098</v>
      </c>
      <c r="P894" s="45">
        <v>45942</v>
      </c>
      <c r="Q894" s="39" t="s">
        <v>3099</v>
      </c>
      <c r="R894" s="19">
        <v>3219.64</v>
      </c>
      <c r="S894" s="21">
        <v>0.2</v>
      </c>
      <c r="T894" s="21">
        <v>3863.5679999999998</v>
      </c>
      <c r="U894" s="44" t="s">
        <v>3100</v>
      </c>
      <c r="V894" s="22">
        <v>45946</v>
      </c>
      <c r="W894" s="54" t="s">
        <v>91</v>
      </c>
      <c r="X894" s="23"/>
      <c r="Y894" s="23" t="s">
        <v>92</v>
      </c>
      <c r="Z894" s="56" t="s">
        <v>1338</v>
      </c>
      <c r="AA894" s="24">
        <v>862264</v>
      </c>
      <c r="AB894" s="47">
        <v>45957</v>
      </c>
      <c r="AC894" s="46" t="s">
        <v>94</v>
      </c>
      <c r="AD894" s="15" t="str">
        <f ca="1">IF(AND($D894&lt;&gt;"",COUNTIF(OFFSET(UFS!$E$2,MATCH($D894&amp;"",UFS!$A$2:$A$175,0)-1,0,COUNTIF(UFS!$A$2:$A$175,$D894&amp;""),1),M894)&gt;0),"Valide","Invalide")</f>
        <v>Valide</v>
      </c>
      <c r="AH894" s="15" t="str">
        <f t="shared" si="13"/>
        <v>En attente</v>
      </c>
    </row>
    <row r="895" spans="1:34" s="15" customFormat="1" ht="45" hidden="1" customHeight="1" x14ac:dyDescent="0.3">
      <c r="A895" s="42">
        <v>896</v>
      </c>
      <c r="B895" s="19" t="s">
        <v>24</v>
      </c>
      <c r="C895" s="19" t="s">
        <v>35</v>
      </c>
      <c r="D895" s="20" t="s">
        <v>587</v>
      </c>
      <c r="E895" s="20" t="s">
        <v>96</v>
      </c>
      <c r="F895" s="21" t="s">
        <v>80</v>
      </c>
      <c r="G895" s="38" t="s">
        <v>175</v>
      </c>
      <c r="H895" s="39"/>
      <c r="I895" s="39" t="s">
        <v>3097</v>
      </c>
      <c r="J895" s="21" t="s">
        <v>144</v>
      </c>
      <c r="K895" s="21" t="s">
        <v>145</v>
      </c>
      <c r="L895" s="21" t="s">
        <v>203</v>
      </c>
      <c r="M895" s="21" t="s">
        <v>589</v>
      </c>
      <c r="N895" s="21" t="s">
        <v>589</v>
      </c>
      <c r="O895" s="20" t="s">
        <v>3101</v>
      </c>
      <c r="P895" s="45">
        <v>45946</v>
      </c>
      <c r="Q895" s="39" t="s">
        <v>3102</v>
      </c>
      <c r="R895" s="19">
        <v>1931.77</v>
      </c>
      <c r="S895" s="21">
        <v>0.2</v>
      </c>
      <c r="T895" s="21">
        <v>2318.1239999999998</v>
      </c>
      <c r="U895" s="44" t="s">
        <v>3103</v>
      </c>
      <c r="V895" s="22">
        <v>45946</v>
      </c>
      <c r="W895" s="54" t="s">
        <v>91</v>
      </c>
      <c r="X895" s="23"/>
      <c r="Y895" s="23" t="s">
        <v>92</v>
      </c>
      <c r="Z895" s="56" t="s">
        <v>1338</v>
      </c>
      <c r="AA895" s="24">
        <v>862265</v>
      </c>
      <c r="AB895" s="47">
        <v>45957</v>
      </c>
      <c r="AC895" s="46" t="s">
        <v>94</v>
      </c>
      <c r="AD895" s="15" t="str">
        <f ca="1">IF(AND($D895&lt;&gt;"",COUNTIF(OFFSET(UFS!$E$2,MATCH($D895&amp;"",UFS!$A$2:$A$175,0)-1,0,COUNTIF(UFS!$A$2:$A$175,$D895&amp;""),1),M895)&gt;0),"Valide","Invalide")</f>
        <v>Valide</v>
      </c>
      <c r="AH895" s="15" t="str">
        <f t="shared" si="13"/>
        <v>En attente</v>
      </c>
    </row>
    <row r="896" spans="1:34" s="15" customFormat="1" ht="74.7" customHeight="1" x14ac:dyDescent="0.3">
      <c r="A896" s="42">
        <v>897</v>
      </c>
      <c r="B896" s="19" t="s">
        <v>24</v>
      </c>
      <c r="C896" s="19" t="s">
        <v>30</v>
      </c>
      <c r="D896" s="20" t="s">
        <v>174</v>
      </c>
      <c r="E896" s="20" t="s">
        <v>79</v>
      </c>
      <c r="F896" s="21" t="s">
        <v>80</v>
      </c>
      <c r="G896" s="38" t="s">
        <v>81</v>
      </c>
      <c r="H896" s="39"/>
      <c r="I896" s="39" t="s">
        <v>83</v>
      </c>
      <c r="J896" s="21" t="s">
        <v>124</v>
      </c>
      <c r="K896" s="21" t="s">
        <v>125</v>
      </c>
      <c r="L896" s="21" t="s">
        <v>177</v>
      </c>
      <c r="M896" s="21" t="s">
        <v>136</v>
      </c>
      <c r="N896" s="21" t="s">
        <v>102</v>
      </c>
      <c r="O896" s="20" t="s">
        <v>3104</v>
      </c>
      <c r="P896" s="45">
        <v>45945</v>
      </c>
      <c r="Q896" s="39" t="s">
        <v>3105</v>
      </c>
      <c r="R896" s="19">
        <v>2117.0700000000002</v>
      </c>
      <c r="S896" s="21">
        <v>0.1</v>
      </c>
      <c r="T896" s="21">
        <v>2328.777</v>
      </c>
      <c r="U896" s="44" t="s">
        <v>3106</v>
      </c>
      <c r="V896" s="22">
        <v>45946</v>
      </c>
      <c r="W896" s="54" t="s">
        <v>91</v>
      </c>
      <c r="X896" s="23"/>
      <c r="Y896" s="23" t="s">
        <v>92</v>
      </c>
      <c r="Z896" s="82" t="s">
        <v>1338</v>
      </c>
      <c r="AA896" s="24">
        <v>862278</v>
      </c>
      <c r="AB896" s="47">
        <v>45975</v>
      </c>
      <c r="AC896" s="46" t="s">
        <v>94</v>
      </c>
      <c r="AD896" s="15" t="str">
        <f ca="1">IF(AND($D896&lt;&gt;"",COUNTIF(OFFSET(UFS!$E$2,MATCH($D896&amp;"",UFS!$A$2:$A$175,0)-1,0,COUNTIF(UFS!$A$2:$A$175,$D896&amp;""),1),M896)&gt;0),"Valide","Invalide")</f>
        <v>Valide</v>
      </c>
      <c r="AH896" s="15" t="str">
        <f t="shared" si="13"/>
        <v>En attente</v>
      </c>
    </row>
    <row r="897" spans="1:34" s="15" customFormat="1" ht="45" hidden="1" customHeight="1" x14ac:dyDescent="0.3">
      <c r="A897" s="42">
        <v>898</v>
      </c>
      <c r="B897" s="19" t="s">
        <v>24</v>
      </c>
      <c r="C897" s="19" t="s">
        <v>28</v>
      </c>
      <c r="D897" s="20" t="s">
        <v>587</v>
      </c>
      <c r="E897" s="20" t="s">
        <v>96</v>
      </c>
      <c r="F897" s="21" t="s">
        <v>80</v>
      </c>
      <c r="G897" s="38" t="s">
        <v>294</v>
      </c>
      <c r="H897" s="39"/>
      <c r="I897" s="39" t="s">
        <v>3097</v>
      </c>
      <c r="J897" s="21" t="s">
        <v>144</v>
      </c>
      <c r="K897" s="21" t="s">
        <v>145</v>
      </c>
      <c r="L897" s="21" t="s">
        <v>203</v>
      </c>
      <c r="M897" s="21" t="s">
        <v>589</v>
      </c>
      <c r="N897" s="21" t="s">
        <v>589</v>
      </c>
      <c r="O897" s="20" t="s">
        <v>3107</v>
      </c>
      <c r="P897" s="45">
        <v>45946</v>
      </c>
      <c r="Q897" s="39" t="s">
        <v>3108</v>
      </c>
      <c r="R897" s="19">
        <v>4542.7700000000004</v>
      </c>
      <c r="S897" s="21">
        <v>0.2</v>
      </c>
      <c r="T897" s="21">
        <v>5451.3240000000005</v>
      </c>
      <c r="U897" s="44" t="s">
        <v>3109</v>
      </c>
      <c r="V897" s="22">
        <v>45946</v>
      </c>
      <c r="W897" s="54" t="s">
        <v>91</v>
      </c>
      <c r="X897" s="23"/>
      <c r="Y897" s="23" t="s">
        <v>92</v>
      </c>
      <c r="Z897" s="56" t="s">
        <v>1338</v>
      </c>
      <c r="AA897" s="24">
        <v>862266</v>
      </c>
      <c r="AB897" s="47">
        <v>45967</v>
      </c>
      <c r="AC897" s="46" t="s">
        <v>94</v>
      </c>
      <c r="AD897" s="15" t="str">
        <f ca="1">IF(AND($D897&lt;&gt;"",COUNTIF(OFFSET(UFS!$E$2,MATCH($D897&amp;"",UFS!$A$2:$A$175,0)-1,0,COUNTIF(UFS!$A$2:$A$175,$D897&amp;""),1),M897)&gt;0),"Valide","Invalide")</f>
        <v>Valide</v>
      </c>
      <c r="AH897" s="15" t="str">
        <f t="shared" si="13"/>
        <v>En attente</v>
      </c>
    </row>
    <row r="898" spans="1:34" s="15" customFormat="1" ht="45" hidden="1" customHeight="1" x14ac:dyDescent="0.3">
      <c r="A898" s="42">
        <v>899</v>
      </c>
      <c r="B898" s="19" t="s">
        <v>24</v>
      </c>
      <c r="C898" s="19" t="s">
        <v>28</v>
      </c>
      <c r="D898" s="20" t="s">
        <v>587</v>
      </c>
      <c r="E898" s="20" t="s">
        <v>96</v>
      </c>
      <c r="F898" s="21" t="s">
        <v>80</v>
      </c>
      <c r="G898" s="38" t="s">
        <v>294</v>
      </c>
      <c r="H898" s="39"/>
      <c r="I898" s="39" t="s">
        <v>3097</v>
      </c>
      <c r="J898" s="21" t="s">
        <v>144</v>
      </c>
      <c r="K898" s="21" t="s">
        <v>145</v>
      </c>
      <c r="L898" s="21" t="s">
        <v>203</v>
      </c>
      <c r="M898" s="21" t="s">
        <v>589</v>
      </c>
      <c r="N898" s="21" t="s">
        <v>589</v>
      </c>
      <c r="O898" s="20" t="s">
        <v>3110</v>
      </c>
      <c r="P898" s="45">
        <v>45946</v>
      </c>
      <c r="Q898" s="39" t="s">
        <v>3111</v>
      </c>
      <c r="R898" s="19">
        <v>4669.12</v>
      </c>
      <c r="S898" s="21">
        <v>0.2</v>
      </c>
      <c r="T898" s="21">
        <v>5602.9439999999995</v>
      </c>
      <c r="U898" s="44" t="s">
        <v>3112</v>
      </c>
      <c r="V898" s="22">
        <v>45946</v>
      </c>
      <c r="W898" s="54" t="s">
        <v>91</v>
      </c>
      <c r="X898" s="23"/>
      <c r="Y898" s="23" t="s">
        <v>92</v>
      </c>
      <c r="Z898" s="56" t="s">
        <v>1338</v>
      </c>
      <c r="AA898" s="24">
        <v>862273</v>
      </c>
      <c r="AB898" s="47">
        <v>45967</v>
      </c>
      <c r="AC898" s="46" t="s">
        <v>94</v>
      </c>
      <c r="AD898" s="15" t="str">
        <f ca="1">IF(AND($D898&lt;&gt;"",COUNTIF(OFFSET(UFS!$E$2,MATCH($D898&amp;"",UFS!$A$2:$A$175,0)-1,0,COUNTIF(UFS!$A$2:$A$175,$D898&amp;""),1),M898)&gt;0),"Valide","Invalide")</f>
        <v>Valide</v>
      </c>
      <c r="AH898" s="15" t="str">
        <f t="shared" si="13"/>
        <v>En attente</v>
      </c>
    </row>
    <row r="899" spans="1:34" s="15" customFormat="1" ht="45" hidden="1" customHeight="1" x14ac:dyDescent="0.3">
      <c r="A899" s="42">
        <v>900</v>
      </c>
      <c r="B899" s="19" t="s">
        <v>26</v>
      </c>
      <c r="C899" s="19" t="s">
        <v>11</v>
      </c>
      <c r="D899" s="20" t="s">
        <v>2754</v>
      </c>
      <c r="E899" s="20" t="s">
        <v>79</v>
      </c>
      <c r="F899" s="21" t="s">
        <v>2755</v>
      </c>
      <c r="G899" s="38" t="s">
        <v>182</v>
      </c>
      <c r="H899" s="39" t="s">
        <v>82</v>
      </c>
      <c r="I899" s="39" t="s">
        <v>83</v>
      </c>
      <c r="J899" s="21" t="s">
        <v>98</v>
      </c>
      <c r="K899" s="21" t="s">
        <v>859</v>
      </c>
      <c r="L899" s="21" t="s">
        <v>100</v>
      </c>
      <c r="M899" s="21" t="s">
        <v>860</v>
      </c>
      <c r="N899" s="21" t="s">
        <v>2071</v>
      </c>
      <c r="O899" s="20" t="s">
        <v>3113</v>
      </c>
      <c r="P899" s="45">
        <v>45946</v>
      </c>
      <c r="Q899" s="39" t="s">
        <v>3114</v>
      </c>
      <c r="R899" s="19">
        <v>1236.2</v>
      </c>
      <c r="S899" s="21">
        <v>0.2</v>
      </c>
      <c r="T899" s="21">
        <v>1483.44</v>
      </c>
      <c r="U899" s="44" t="s">
        <v>3115</v>
      </c>
      <c r="V899" s="22">
        <v>45946</v>
      </c>
      <c r="W899" s="54" t="s">
        <v>91</v>
      </c>
      <c r="X899" s="23"/>
      <c r="Y899" s="23" t="s">
        <v>92</v>
      </c>
      <c r="Z899" s="56" t="s">
        <v>1338</v>
      </c>
      <c r="AA899" s="24">
        <v>862283</v>
      </c>
      <c r="AB899" s="19"/>
      <c r="AC899" s="46" t="s">
        <v>94</v>
      </c>
      <c r="AD899" s="15" t="str">
        <f ca="1">IF(AND($D899&lt;&gt;"",COUNTIF(OFFSET(UFS!$E$2,MATCH($D899&amp;"",UFS!$A$2:$A$175,0)-1,0,COUNTIF(UFS!$A$2:$A$175,$D899&amp;""),1),M899)&gt;0),"Valide","Invalide")</f>
        <v>Valide</v>
      </c>
      <c r="AH899" s="15" t="str">
        <f t="shared" ref="AH899:AH962" si="14">IF(T899&lt;&gt;"","En attente","")</f>
        <v>En attente</v>
      </c>
    </row>
    <row r="900" spans="1:34" s="15" customFormat="1" ht="45" hidden="1" customHeight="1" x14ac:dyDescent="0.3">
      <c r="A900" s="42">
        <v>901</v>
      </c>
      <c r="B900" s="19" t="s">
        <v>26</v>
      </c>
      <c r="C900" s="19" t="s">
        <v>35</v>
      </c>
      <c r="D900" s="20" t="s">
        <v>1288</v>
      </c>
      <c r="E900" s="20" t="s">
        <v>79</v>
      </c>
      <c r="F900" s="21" t="s">
        <v>80</v>
      </c>
      <c r="G900" s="38" t="s">
        <v>182</v>
      </c>
      <c r="H900" s="39" t="s">
        <v>215</v>
      </c>
      <c r="I900" s="39"/>
      <c r="J900" s="21" t="s">
        <v>183</v>
      </c>
      <c r="K900" s="21" t="s">
        <v>544</v>
      </c>
      <c r="L900" s="21" t="s">
        <v>492</v>
      </c>
      <c r="M900" s="21" t="s">
        <v>544</v>
      </c>
      <c r="N900" s="21" t="s">
        <v>151</v>
      </c>
      <c r="O900" s="20" t="s">
        <v>3116</v>
      </c>
      <c r="P900" s="45">
        <v>45946</v>
      </c>
      <c r="Q900" s="39" t="s">
        <v>3117</v>
      </c>
      <c r="R900" s="19">
        <v>625.45000000000005</v>
      </c>
      <c r="S900" s="21">
        <v>0.2</v>
      </c>
      <c r="T900" s="21">
        <v>750.54000000000008</v>
      </c>
      <c r="U900" s="44" t="s">
        <v>3118</v>
      </c>
      <c r="V900" s="22">
        <v>45946</v>
      </c>
      <c r="W900" s="54" t="s">
        <v>91</v>
      </c>
      <c r="X900" s="23"/>
      <c r="Y900" s="23" t="s">
        <v>92</v>
      </c>
      <c r="Z900" s="56" t="s">
        <v>1338</v>
      </c>
      <c r="AA900" s="24">
        <v>862390</v>
      </c>
      <c r="AB900" s="19"/>
      <c r="AC900" s="19"/>
      <c r="AD900" s="15" t="str">
        <f ca="1">IF(AND($D900&lt;&gt;"",COUNTIF(OFFSET(UFS!$E$2,MATCH($D900&amp;"",UFS!$A$2:$A$175,0)-1,0,COUNTIF(UFS!$A$2:$A$175,$D900&amp;""),1),M900)&gt;0),"Valide","Invalide")</f>
        <v>Valide</v>
      </c>
      <c r="AH900" s="15" t="str">
        <f t="shared" si="14"/>
        <v>En attente</v>
      </c>
    </row>
    <row r="901" spans="1:34" s="15" customFormat="1" ht="45" hidden="1" customHeight="1" x14ac:dyDescent="0.3">
      <c r="A901" s="42">
        <v>902</v>
      </c>
      <c r="B901" s="19" t="s">
        <v>26</v>
      </c>
      <c r="C901" s="19" t="s">
        <v>11</v>
      </c>
      <c r="D901" s="20" t="s">
        <v>3119</v>
      </c>
      <c r="E901" s="20" t="s">
        <v>79</v>
      </c>
      <c r="F901" s="21" t="s">
        <v>80</v>
      </c>
      <c r="G901" s="38" t="s">
        <v>182</v>
      </c>
      <c r="H901" s="39" t="s">
        <v>82</v>
      </c>
      <c r="I901" s="39" t="s">
        <v>83</v>
      </c>
      <c r="J901" s="21" t="s">
        <v>144</v>
      </c>
      <c r="K901" s="21" t="s">
        <v>145</v>
      </c>
      <c r="L901" s="21" t="s">
        <v>3120</v>
      </c>
      <c r="M901" s="21" t="s">
        <v>3120</v>
      </c>
      <c r="N901" s="21" t="s">
        <v>3121</v>
      </c>
      <c r="O901" s="20" t="s">
        <v>3122</v>
      </c>
      <c r="P901" s="45">
        <v>45930</v>
      </c>
      <c r="Q901" s="39" t="s">
        <v>3123</v>
      </c>
      <c r="R901" s="19"/>
      <c r="S901" s="21">
        <v>0.2</v>
      </c>
      <c r="T901" s="21"/>
      <c r="U901" s="44"/>
      <c r="V901" s="22">
        <v>45946</v>
      </c>
      <c r="W901" s="54" t="s">
        <v>91</v>
      </c>
      <c r="X901" s="23"/>
      <c r="Y901" s="23" t="s">
        <v>376</v>
      </c>
      <c r="Z901" s="56" t="s">
        <v>3124</v>
      </c>
      <c r="AA901" s="24"/>
      <c r="AB901" s="19"/>
      <c r="AC901" s="19"/>
      <c r="AD901" s="15" t="str">
        <f ca="1">IF(AND($D901&lt;&gt;"",COUNTIF(OFFSET(UFS!$E$2,MATCH($D901&amp;"",UFS!$A$2:$A$175,0)-1,0,COUNTIF(UFS!$A$2:$A$175,$D901&amp;""),1),M901)&gt;0),"Valide","Invalide")</f>
        <v>Valide</v>
      </c>
      <c r="AH901" s="15" t="str">
        <f t="shared" si="14"/>
        <v/>
      </c>
    </row>
    <row r="902" spans="1:34" s="15" customFormat="1" ht="45" hidden="1" customHeight="1" x14ac:dyDescent="0.3">
      <c r="A902" s="42">
        <v>903</v>
      </c>
      <c r="B902" s="19" t="s">
        <v>26</v>
      </c>
      <c r="C902" s="19" t="s">
        <v>5</v>
      </c>
      <c r="D902" s="20" t="s">
        <v>516</v>
      </c>
      <c r="E902" s="20" t="s">
        <v>96</v>
      </c>
      <c r="F902" s="21" t="s">
        <v>80</v>
      </c>
      <c r="G902" s="38" t="s">
        <v>288</v>
      </c>
      <c r="H902" s="39"/>
      <c r="I902" s="39" t="s">
        <v>3125</v>
      </c>
      <c r="J902" s="21" t="s">
        <v>497</v>
      </c>
      <c r="K902" s="21" t="s">
        <v>498</v>
      </c>
      <c r="L902" s="21" t="s">
        <v>499</v>
      </c>
      <c r="M902" s="21" t="s">
        <v>498</v>
      </c>
      <c r="N902" s="21" t="s">
        <v>151</v>
      </c>
      <c r="O902" s="20" t="s">
        <v>1358</v>
      </c>
      <c r="P902" s="45">
        <v>45938</v>
      </c>
      <c r="Q902" s="39" t="s">
        <v>3126</v>
      </c>
      <c r="R902" s="19">
        <v>6585.89</v>
      </c>
      <c r="S902" s="21">
        <v>0.2</v>
      </c>
      <c r="T902" s="21">
        <v>7903.0680000000002</v>
      </c>
      <c r="U902" s="44" t="s">
        <v>3127</v>
      </c>
      <c r="V902" s="22">
        <v>45946</v>
      </c>
      <c r="W902" s="54" t="s">
        <v>91</v>
      </c>
      <c r="X902" s="23"/>
      <c r="Y902" s="23" t="s">
        <v>92</v>
      </c>
      <c r="Z902" s="56" t="s">
        <v>1338</v>
      </c>
      <c r="AA902" s="24">
        <v>862395</v>
      </c>
      <c r="AB902" s="19"/>
      <c r="AC902" s="46" t="s">
        <v>94</v>
      </c>
      <c r="AD902" s="15" t="str">
        <f ca="1">IF(AND($D902&lt;&gt;"",COUNTIF(OFFSET(UFS!$E$2,MATCH($D902&amp;"",UFS!$A$2:$A$175,0)-1,0,COUNTIF(UFS!$A$2:$A$175,$D902&amp;""),1),M902)&gt;0),"Valide","Invalide")</f>
        <v>Valide</v>
      </c>
      <c r="AH902" s="15" t="str">
        <f t="shared" si="14"/>
        <v>En attente</v>
      </c>
    </row>
    <row r="903" spans="1:34" s="15" customFormat="1" ht="45" hidden="1" customHeight="1" x14ac:dyDescent="0.3">
      <c r="A903" s="42">
        <v>904</v>
      </c>
      <c r="B903" s="19" t="s">
        <v>26</v>
      </c>
      <c r="C903" s="19" t="s">
        <v>35</v>
      </c>
      <c r="D903" s="20" t="s">
        <v>516</v>
      </c>
      <c r="E903" s="20" t="s">
        <v>96</v>
      </c>
      <c r="F903" s="21" t="s">
        <v>80</v>
      </c>
      <c r="G903" s="38" t="s">
        <v>175</v>
      </c>
      <c r="H903" s="39"/>
      <c r="I903" s="39" t="s">
        <v>3125</v>
      </c>
      <c r="J903" s="21" t="s">
        <v>497</v>
      </c>
      <c r="K903" s="21" t="s">
        <v>498</v>
      </c>
      <c r="L903" s="21" t="s">
        <v>499</v>
      </c>
      <c r="M903" s="21" t="s">
        <v>498</v>
      </c>
      <c r="N903" s="21" t="s">
        <v>151</v>
      </c>
      <c r="O903" s="20" t="s">
        <v>3128</v>
      </c>
      <c r="P903" s="45">
        <v>45946</v>
      </c>
      <c r="Q903" s="39" t="s">
        <v>3126</v>
      </c>
      <c r="R903" s="19">
        <v>1896.99</v>
      </c>
      <c r="S903" s="21">
        <v>0.2</v>
      </c>
      <c r="T903" s="21">
        <v>2276.3879999999999</v>
      </c>
      <c r="U903" s="44" t="s">
        <v>3129</v>
      </c>
      <c r="V903" s="22">
        <v>45946</v>
      </c>
      <c r="W903" s="54" t="s">
        <v>91</v>
      </c>
      <c r="X903" s="23"/>
      <c r="Y903" s="23" t="s">
        <v>92</v>
      </c>
      <c r="Z903" s="56" t="s">
        <v>1338</v>
      </c>
      <c r="AA903" s="24">
        <v>862396</v>
      </c>
      <c r="AB903" s="19"/>
      <c r="AC903" s="46" t="s">
        <v>94</v>
      </c>
      <c r="AD903" s="15" t="str">
        <f ca="1">IF(AND($D903&lt;&gt;"",COUNTIF(OFFSET(UFS!$E$2,MATCH($D903&amp;"",UFS!$A$2:$A$175,0)-1,0,COUNTIF(UFS!$A$2:$A$175,$D903&amp;""),1),M903)&gt;0),"Valide","Invalide")</f>
        <v>Valide</v>
      </c>
      <c r="AH903" s="15" t="str">
        <f t="shared" si="14"/>
        <v>En attente</v>
      </c>
    </row>
    <row r="904" spans="1:34" s="15" customFormat="1" ht="45" hidden="1" customHeight="1" x14ac:dyDescent="0.3">
      <c r="A904" s="42">
        <v>905</v>
      </c>
      <c r="B904" s="19" t="s">
        <v>26</v>
      </c>
      <c r="C904" s="19" t="s">
        <v>35</v>
      </c>
      <c r="D904" s="20" t="s">
        <v>516</v>
      </c>
      <c r="E904" s="20" t="s">
        <v>96</v>
      </c>
      <c r="F904" s="21" t="s">
        <v>80</v>
      </c>
      <c r="G904" s="38" t="s">
        <v>175</v>
      </c>
      <c r="H904" s="39"/>
      <c r="I904" s="39" t="s">
        <v>3125</v>
      </c>
      <c r="J904" s="21" t="s">
        <v>497</v>
      </c>
      <c r="K904" s="21" t="s">
        <v>498</v>
      </c>
      <c r="L904" s="21" t="s">
        <v>499</v>
      </c>
      <c r="M904" s="21" t="s">
        <v>498</v>
      </c>
      <c r="N904" s="21" t="s">
        <v>151</v>
      </c>
      <c r="O904" s="20" t="s">
        <v>3130</v>
      </c>
      <c r="P904" s="45">
        <v>45946</v>
      </c>
      <c r="Q904" s="39" t="s">
        <v>3126</v>
      </c>
      <c r="R904" s="19">
        <v>556.35</v>
      </c>
      <c r="S904" s="21">
        <v>0.2</v>
      </c>
      <c r="T904" s="21">
        <v>667.62</v>
      </c>
      <c r="U904" s="44" t="s">
        <v>3131</v>
      </c>
      <c r="V904" s="22">
        <v>45946</v>
      </c>
      <c r="W904" s="54" t="s">
        <v>91</v>
      </c>
      <c r="X904" s="23"/>
      <c r="Y904" s="23" t="s">
        <v>92</v>
      </c>
      <c r="Z904" s="56" t="s">
        <v>3132</v>
      </c>
      <c r="AA904" s="24">
        <v>862397</v>
      </c>
      <c r="AB904" s="19"/>
      <c r="AC904" s="46" t="s">
        <v>94</v>
      </c>
      <c r="AD904" s="15" t="str">
        <f ca="1">IF(AND($D904&lt;&gt;"",COUNTIF(OFFSET(UFS!$E$2,MATCH($D904&amp;"",UFS!$A$2:$A$175,0)-1,0,COUNTIF(UFS!$A$2:$A$175,$D904&amp;""),1),M904)&gt;0),"Valide","Invalide")</f>
        <v>Valide</v>
      </c>
      <c r="AH904" s="15" t="str">
        <f t="shared" si="14"/>
        <v>En attente</v>
      </c>
    </row>
    <row r="905" spans="1:34" s="15" customFormat="1" ht="45" hidden="1" customHeight="1" x14ac:dyDescent="0.3">
      <c r="A905" s="42">
        <v>906</v>
      </c>
      <c r="B905" s="19" t="s">
        <v>26</v>
      </c>
      <c r="C905" s="19" t="s">
        <v>15</v>
      </c>
      <c r="D905" s="20" t="s">
        <v>516</v>
      </c>
      <c r="E905" s="20" t="s">
        <v>96</v>
      </c>
      <c r="F905" s="21" t="s">
        <v>80</v>
      </c>
      <c r="G905" s="38" t="s">
        <v>97</v>
      </c>
      <c r="H905" s="39"/>
      <c r="I905" s="39" t="s">
        <v>3125</v>
      </c>
      <c r="J905" s="21" t="s">
        <v>497</v>
      </c>
      <c r="K905" s="21" t="s">
        <v>498</v>
      </c>
      <c r="L905" s="21" t="s">
        <v>499</v>
      </c>
      <c r="M905" s="21" t="s">
        <v>498</v>
      </c>
      <c r="N905" s="21" t="s">
        <v>151</v>
      </c>
      <c r="O905" s="20" t="s">
        <v>3133</v>
      </c>
      <c r="P905" s="45">
        <v>45944</v>
      </c>
      <c r="Q905" s="39" t="s">
        <v>3126</v>
      </c>
      <c r="R905" s="19">
        <v>1232.93</v>
      </c>
      <c r="S905" s="21">
        <v>0.2</v>
      </c>
      <c r="T905" s="21">
        <v>1479.5160000000001</v>
      </c>
      <c r="U905" s="44" t="s">
        <v>3134</v>
      </c>
      <c r="V905" s="22">
        <v>45946</v>
      </c>
      <c r="W905" s="54" t="s">
        <v>91</v>
      </c>
      <c r="X905" s="23"/>
      <c r="Y905" s="23" t="s">
        <v>92</v>
      </c>
      <c r="Z905" s="56" t="s">
        <v>1338</v>
      </c>
      <c r="AA905" s="24">
        <v>862398</v>
      </c>
      <c r="AB905" s="19"/>
      <c r="AC905" s="46" t="s">
        <v>94</v>
      </c>
      <c r="AD905" s="15" t="str">
        <f ca="1">IF(AND($D905&lt;&gt;"",COUNTIF(OFFSET(UFS!$E$2,MATCH($D905&amp;"",UFS!$A$2:$A$175,0)-1,0,COUNTIF(UFS!$A$2:$A$175,$D905&amp;""),1),M905)&gt;0),"Valide","Invalide")</f>
        <v>Valide</v>
      </c>
      <c r="AH905" s="15" t="str">
        <f t="shared" si="14"/>
        <v>En attente</v>
      </c>
    </row>
    <row r="906" spans="1:34" s="15" customFormat="1" ht="45" hidden="1" customHeight="1" x14ac:dyDescent="0.3">
      <c r="A906" s="42">
        <v>907</v>
      </c>
      <c r="B906" s="19" t="s">
        <v>26</v>
      </c>
      <c r="C906" s="19" t="s">
        <v>28</v>
      </c>
      <c r="D906" s="20" t="s">
        <v>516</v>
      </c>
      <c r="E906" s="20" t="s">
        <v>96</v>
      </c>
      <c r="F906" s="21" t="s">
        <v>80</v>
      </c>
      <c r="G906" s="38" t="s">
        <v>294</v>
      </c>
      <c r="H906" s="39"/>
      <c r="I906" s="39" t="s">
        <v>3125</v>
      </c>
      <c r="J906" s="21" t="s">
        <v>497</v>
      </c>
      <c r="K906" s="21" t="s">
        <v>498</v>
      </c>
      <c r="L906" s="21" t="s">
        <v>499</v>
      </c>
      <c r="M906" s="21" t="s">
        <v>498</v>
      </c>
      <c r="N906" s="21" t="s">
        <v>151</v>
      </c>
      <c r="O906" s="20" t="s">
        <v>3135</v>
      </c>
      <c r="P906" s="45">
        <v>45946</v>
      </c>
      <c r="Q906" s="39" t="s">
        <v>3126</v>
      </c>
      <c r="R906" s="19">
        <v>539.87</v>
      </c>
      <c r="S906" s="21">
        <v>0.2</v>
      </c>
      <c r="T906" s="21">
        <v>647.84400000000005</v>
      </c>
      <c r="U906" s="44" t="s">
        <v>3136</v>
      </c>
      <c r="V906" s="22">
        <v>45946</v>
      </c>
      <c r="W906" s="54" t="s">
        <v>91</v>
      </c>
      <c r="X906" s="23"/>
      <c r="Y906" s="23" t="s">
        <v>92</v>
      </c>
      <c r="Z906" s="56" t="s">
        <v>1338</v>
      </c>
      <c r="AA906" s="24">
        <v>862399</v>
      </c>
      <c r="AB906" s="19"/>
      <c r="AC906" s="46" t="s">
        <v>94</v>
      </c>
      <c r="AD906" s="15" t="str">
        <f ca="1">IF(AND($D906&lt;&gt;"",COUNTIF(OFFSET(UFS!$E$2,MATCH($D906&amp;"",UFS!$A$2:$A$175,0)-1,0,COUNTIF(UFS!$A$2:$A$175,$D906&amp;""),1),M906)&gt;0),"Valide","Invalide")</f>
        <v>Valide</v>
      </c>
      <c r="AH906" s="15" t="str">
        <f t="shared" si="14"/>
        <v>En attente</v>
      </c>
    </row>
    <row r="907" spans="1:34" s="15" customFormat="1" ht="45" hidden="1" customHeight="1" x14ac:dyDescent="0.3">
      <c r="A907" s="42">
        <v>908</v>
      </c>
      <c r="B907" s="19" t="s">
        <v>26</v>
      </c>
      <c r="C907" s="19" t="s">
        <v>28</v>
      </c>
      <c r="D907" s="20" t="s">
        <v>516</v>
      </c>
      <c r="E907" s="20" t="s">
        <v>96</v>
      </c>
      <c r="F907" s="21" t="s">
        <v>80</v>
      </c>
      <c r="G907" s="38" t="s">
        <v>294</v>
      </c>
      <c r="H907" s="39"/>
      <c r="I907" s="39" t="s">
        <v>3125</v>
      </c>
      <c r="J907" s="21" t="s">
        <v>497</v>
      </c>
      <c r="K907" s="21" t="s">
        <v>498</v>
      </c>
      <c r="L907" s="21" t="s">
        <v>499</v>
      </c>
      <c r="M907" s="21" t="s">
        <v>498</v>
      </c>
      <c r="N907" s="21" t="s">
        <v>151</v>
      </c>
      <c r="O907" s="20" t="s">
        <v>3137</v>
      </c>
      <c r="P907" s="45">
        <v>45946</v>
      </c>
      <c r="Q907" s="39" t="s">
        <v>3126</v>
      </c>
      <c r="R907" s="19">
        <v>600.55999999999995</v>
      </c>
      <c r="S907" s="21">
        <v>0.2</v>
      </c>
      <c r="T907" s="21">
        <v>720.67199999999991</v>
      </c>
      <c r="U907" s="44" t="s">
        <v>3138</v>
      </c>
      <c r="V907" s="22">
        <v>45946</v>
      </c>
      <c r="W907" s="54" t="s">
        <v>91</v>
      </c>
      <c r="X907" s="23"/>
      <c r="Y907" s="23" t="s">
        <v>92</v>
      </c>
      <c r="Z907" s="56" t="s">
        <v>1338</v>
      </c>
      <c r="AA907" s="24">
        <v>862401</v>
      </c>
      <c r="AB907" s="19"/>
      <c r="AC907" s="46" t="s">
        <v>94</v>
      </c>
      <c r="AD907" s="15" t="str">
        <f ca="1">IF(AND($D907&lt;&gt;"",COUNTIF(OFFSET(UFS!$E$2,MATCH($D907&amp;"",UFS!$A$2:$A$175,0)-1,0,COUNTIF(UFS!$A$2:$A$175,$D907&amp;""),1),M907)&gt;0),"Valide","Invalide")</f>
        <v>Valide</v>
      </c>
      <c r="AH907" s="15" t="str">
        <f t="shared" si="14"/>
        <v>En attente</v>
      </c>
    </row>
    <row r="908" spans="1:34" s="15" customFormat="1" ht="45" hidden="1" customHeight="1" x14ac:dyDescent="0.3">
      <c r="A908" s="42">
        <v>909</v>
      </c>
      <c r="B908" s="19" t="s">
        <v>26</v>
      </c>
      <c r="C908" s="19" t="s">
        <v>34</v>
      </c>
      <c r="D908" s="20" t="s">
        <v>95</v>
      </c>
      <c r="E908" s="20" t="s">
        <v>79</v>
      </c>
      <c r="F908" s="21" t="s">
        <v>80</v>
      </c>
      <c r="G908" s="38" t="s">
        <v>81</v>
      </c>
      <c r="H908" s="39" t="s">
        <v>267</v>
      </c>
      <c r="I908" s="39" t="s">
        <v>83</v>
      </c>
      <c r="J908" s="21" t="s">
        <v>98</v>
      </c>
      <c r="K908" s="21" t="s">
        <v>99</v>
      </c>
      <c r="L908" s="21" t="s">
        <v>100</v>
      </c>
      <c r="M908" s="21" t="s">
        <v>101</v>
      </c>
      <c r="N908" s="21" t="s">
        <v>102</v>
      </c>
      <c r="O908" s="20" t="s">
        <v>3139</v>
      </c>
      <c r="P908" s="45">
        <v>45946</v>
      </c>
      <c r="Q908" s="39" t="s">
        <v>3140</v>
      </c>
      <c r="R908" s="19">
        <v>1117.3399999999999</v>
      </c>
      <c r="S908" s="21">
        <v>0.1</v>
      </c>
      <c r="T908" s="21">
        <v>1229.0739999999998</v>
      </c>
      <c r="U908" s="60" t="s">
        <v>3141</v>
      </c>
      <c r="V908" s="22">
        <v>45947</v>
      </c>
      <c r="W908" s="54" t="s">
        <v>91</v>
      </c>
      <c r="X908" s="23"/>
      <c r="Y908" s="23" t="s">
        <v>92</v>
      </c>
      <c r="Z908" s="56" t="s">
        <v>1338</v>
      </c>
      <c r="AA908" s="24">
        <v>862405</v>
      </c>
      <c r="AB908" s="19"/>
      <c r="AC908" s="19"/>
      <c r="AD908" s="15" t="str">
        <f ca="1">IF(AND($D908&lt;&gt;"",COUNTIF(OFFSET(UFS!$E$2,MATCH($D908&amp;"",UFS!$A$2:$A$175,0)-1,0,COUNTIF(UFS!$A$2:$A$175,$D908&amp;""),1),M908)&gt;0),"Valide","Invalide")</f>
        <v>Valide</v>
      </c>
      <c r="AH908" s="15" t="str">
        <f t="shared" si="14"/>
        <v>En attente</v>
      </c>
    </row>
    <row r="909" spans="1:34" s="15" customFormat="1" ht="45" hidden="1" customHeight="1" x14ac:dyDescent="0.3">
      <c r="A909" s="42">
        <v>910</v>
      </c>
      <c r="B909" s="19" t="s">
        <v>26</v>
      </c>
      <c r="C909" s="19" t="s">
        <v>3</v>
      </c>
      <c r="D909" s="20" t="s">
        <v>200</v>
      </c>
      <c r="E909" s="20" t="s">
        <v>79</v>
      </c>
      <c r="F909" s="21" t="s">
        <v>80</v>
      </c>
      <c r="G909" s="38" t="s">
        <v>163</v>
      </c>
      <c r="H909" s="39"/>
      <c r="I909" s="39"/>
      <c r="J909" s="21" t="s">
        <v>144</v>
      </c>
      <c r="K909" s="21" t="s">
        <v>145</v>
      </c>
      <c r="L909" s="21" t="s">
        <v>203</v>
      </c>
      <c r="M909" s="21" t="s">
        <v>109</v>
      </c>
      <c r="N909" s="21" t="s">
        <v>109</v>
      </c>
      <c r="O909" s="38" t="s">
        <v>3142</v>
      </c>
      <c r="P909" s="45">
        <v>45915</v>
      </c>
      <c r="Q909" s="39" t="s">
        <v>3143</v>
      </c>
      <c r="R909" s="19">
        <v>1265</v>
      </c>
      <c r="S909" s="21">
        <v>0.2</v>
      </c>
      <c r="T909" s="21">
        <v>1518</v>
      </c>
      <c r="U909" s="60" t="s">
        <v>3144</v>
      </c>
      <c r="V909" s="22">
        <v>45947</v>
      </c>
      <c r="W909" s="54" t="s">
        <v>91</v>
      </c>
      <c r="X909" s="23"/>
      <c r="Y909" s="23" t="s">
        <v>92</v>
      </c>
      <c r="Z909" s="56" t="s">
        <v>1338</v>
      </c>
      <c r="AA909" s="24">
        <v>862463</v>
      </c>
      <c r="AB909" s="19"/>
      <c r="AC909" s="19"/>
      <c r="AD909" s="15" t="e">
        <f ca="1">IF(AND($D909&lt;&gt;"",COUNTIF(OFFSET(UFS!$E$2,MATCH($D909&amp;"",UFS!$A$2:$A$175,0)-1,0,COUNTIF(UFS!$A$2:$A$175,$D909&amp;""),1),M909)&gt;0),"Valide","Invalide")</f>
        <v>#N/A</v>
      </c>
      <c r="AH909" s="15" t="str">
        <f t="shared" si="14"/>
        <v>En attente</v>
      </c>
    </row>
    <row r="910" spans="1:34" s="15" customFormat="1" ht="45" hidden="1" customHeight="1" x14ac:dyDescent="0.3">
      <c r="A910" s="42">
        <v>911</v>
      </c>
      <c r="B910" s="19" t="s">
        <v>16</v>
      </c>
      <c r="C910" s="19" t="s">
        <v>5</v>
      </c>
      <c r="D910" s="20" t="s">
        <v>1740</v>
      </c>
      <c r="E910" s="20" t="s">
        <v>79</v>
      </c>
      <c r="F910" s="21" t="s">
        <v>80</v>
      </c>
      <c r="G910" s="38" t="s">
        <v>182</v>
      </c>
      <c r="H910" s="39" t="s">
        <v>82</v>
      </c>
      <c r="I910" s="39" t="s">
        <v>83</v>
      </c>
      <c r="J910" s="21" t="s">
        <v>144</v>
      </c>
      <c r="K910" s="21" t="s">
        <v>145</v>
      </c>
      <c r="L910" s="21" t="s">
        <v>342</v>
      </c>
      <c r="M910" s="21" t="s">
        <v>1741</v>
      </c>
      <c r="N910" s="21" t="s">
        <v>87</v>
      </c>
      <c r="O910" s="149">
        <v>9036</v>
      </c>
      <c r="P910" s="45">
        <v>45946</v>
      </c>
      <c r="Q910" s="39" t="s">
        <v>3145</v>
      </c>
      <c r="R910" s="19">
        <v>2429.88</v>
      </c>
      <c r="S910" s="21">
        <v>0.2</v>
      </c>
      <c r="T910" s="21">
        <v>2915.8560000000002</v>
      </c>
      <c r="U910" s="44" t="s">
        <v>3146</v>
      </c>
      <c r="V910" s="22">
        <v>45950</v>
      </c>
      <c r="W910" s="54" t="s">
        <v>91</v>
      </c>
      <c r="X910" s="23"/>
      <c r="Y910" s="23" t="s">
        <v>92</v>
      </c>
      <c r="Z910" s="56" t="s">
        <v>1338</v>
      </c>
      <c r="AA910" s="24">
        <v>862407</v>
      </c>
      <c r="AB910" s="45">
        <v>45957</v>
      </c>
      <c r="AC910" s="46" t="s">
        <v>94</v>
      </c>
      <c r="AD910" s="15" t="str">
        <f ca="1">IF(AND($D910&lt;&gt;"",COUNTIF(OFFSET(UFS!$E$2,MATCH($D910&amp;"",UFS!$A$2:$A$175,0)-1,0,COUNTIF(UFS!$A$2:$A$175,$D910&amp;""),1),M910)&gt;0),"Valide","Invalide")</f>
        <v>Valide</v>
      </c>
      <c r="AH910" s="15" t="str">
        <f t="shared" si="14"/>
        <v>En attente</v>
      </c>
    </row>
    <row r="911" spans="1:34" s="15" customFormat="1" ht="45" hidden="1" customHeight="1" x14ac:dyDescent="0.3">
      <c r="A911" s="42">
        <v>912</v>
      </c>
      <c r="B911" s="19" t="s">
        <v>0</v>
      </c>
      <c r="C911" s="19" t="s">
        <v>586</v>
      </c>
      <c r="D911" s="20" t="s">
        <v>587</v>
      </c>
      <c r="E911" s="20" t="s">
        <v>79</v>
      </c>
      <c r="F911" s="21" t="s">
        <v>80</v>
      </c>
      <c r="G911" s="38" t="s">
        <v>81</v>
      </c>
      <c r="H911" s="39"/>
      <c r="I911" s="39"/>
      <c r="J911" s="21" t="s">
        <v>144</v>
      </c>
      <c r="K911" s="21" t="s">
        <v>145</v>
      </c>
      <c r="L911" s="21" t="s">
        <v>203</v>
      </c>
      <c r="M911" s="21" t="s">
        <v>589</v>
      </c>
      <c r="N911" s="21" t="s">
        <v>589</v>
      </c>
      <c r="O911" s="20" t="s">
        <v>3147</v>
      </c>
      <c r="P911" s="45">
        <v>45944</v>
      </c>
      <c r="Q911" s="39" t="s">
        <v>3148</v>
      </c>
      <c r="R911" s="19">
        <v>6193.12</v>
      </c>
      <c r="S911" s="21">
        <v>0.2</v>
      </c>
      <c r="T911" s="21">
        <v>7431.7439999999997</v>
      </c>
      <c r="U911" s="60" t="s">
        <v>3149</v>
      </c>
      <c r="V911" s="22">
        <v>45950</v>
      </c>
      <c r="W911" s="54" t="s">
        <v>91</v>
      </c>
      <c r="X911" s="23"/>
      <c r="Y911" s="23" t="s">
        <v>347</v>
      </c>
      <c r="Z911" s="56" t="s">
        <v>3150</v>
      </c>
      <c r="AA911" s="24"/>
      <c r="AB911" s="19"/>
      <c r="AC911" s="19"/>
      <c r="AD911" s="15" t="str">
        <f ca="1">IF(AND($D911&lt;&gt;"",COUNTIF(OFFSET(UFS!$E$2,MATCH($D911&amp;"",UFS!$A$2:$A$175,0)-1,0,COUNTIF(UFS!$A$2:$A$175,$D911&amp;""),1),M911)&gt;0),"Valide","Invalide")</f>
        <v>Valide</v>
      </c>
      <c r="AH911" s="15" t="str">
        <f t="shared" si="14"/>
        <v>En attente</v>
      </c>
    </row>
    <row r="912" spans="1:34" s="15" customFormat="1" ht="45" hidden="1" customHeight="1" x14ac:dyDescent="0.3">
      <c r="A912" s="42">
        <v>913</v>
      </c>
      <c r="B912" s="19" t="s">
        <v>20</v>
      </c>
      <c r="C912" s="19" t="s">
        <v>37</v>
      </c>
      <c r="D912" s="20" t="s">
        <v>340</v>
      </c>
      <c r="E912" s="20" t="s">
        <v>79</v>
      </c>
      <c r="F912" s="21" t="s">
        <v>80</v>
      </c>
      <c r="G912" s="38" t="s">
        <v>241</v>
      </c>
      <c r="H912" s="39" t="s">
        <v>367</v>
      </c>
      <c r="I912" s="39" t="s">
        <v>368</v>
      </c>
      <c r="J912" s="21" t="s">
        <v>341</v>
      </c>
      <c r="K912" s="21" t="s">
        <v>145</v>
      </c>
      <c r="L912" s="21" t="s">
        <v>342</v>
      </c>
      <c r="M912" s="21" t="s">
        <v>343</v>
      </c>
      <c r="N912" s="21" t="s">
        <v>151</v>
      </c>
      <c r="O912" s="20" t="s">
        <v>3151</v>
      </c>
      <c r="P912" s="45">
        <v>45944</v>
      </c>
      <c r="Q912" s="39" t="s">
        <v>3152</v>
      </c>
      <c r="R912" s="19">
        <v>826.35</v>
      </c>
      <c r="S912" s="21">
        <v>0.2</v>
      </c>
      <c r="T912" s="21">
        <v>991.62</v>
      </c>
      <c r="U912" s="60" t="s">
        <v>371</v>
      </c>
      <c r="V912" s="22">
        <v>45950</v>
      </c>
      <c r="W912" s="54" t="s">
        <v>91</v>
      </c>
      <c r="X912" s="23"/>
      <c r="Y912" s="23" t="s">
        <v>92</v>
      </c>
      <c r="Z912" s="56" t="s">
        <v>1338</v>
      </c>
      <c r="AA912" s="24">
        <v>862410</v>
      </c>
      <c r="AB912" s="19"/>
      <c r="AC912" s="46" t="s">
        <v>94</v>
      </c>
      <c r="AD912" s="15" t="str">
        <f ca="1">IF(AND($D912&lt;&gt;"",COUNTIF(OFFSET(UFS!$E$2,MATCH($D912&amp;"",UFS!$A$2:$A$175,0)-1,0,COUNTIF(UFS!$A$2:$A$175,$D912&amp;""),1),M912)&gt;0),"Valide","Invalide")</f>
        <v>Valide</v>
      </c>
      <c r="AH912" s="15" t="str">
        <f t="shared" si="14"/>
        <v>En attente</v>
      </c>
    </row>
    <row r="913" spans="1:34" s="15" customFormat="1" ht="45" hidden="1" customHeight="1" x14ac:dyDescent="0.3">
      <c r="A913" s="42">
        <v>914</v>
      </c>
      <c r="B913" s="19" t="s">
        <v>709</v>
      </c>
      <c r="C913" s="19" t="s">
        <v>23</v>
      </c>
      <c r="D913" s="20" t="s">
        <v>1090</v>
      </c>
      <c r="E913" s="20" t="s">
        <v>79</v>
      </c>
      <c r="F913" s="21" t="s">
        <v>80</v>
      </c>
      <c r="G913" s="38" t="s">
        <v>241</v>
      </c>
      <c r="H913" s="39" t="s">
        <v>643</v>
      </c>
      <c r="I913" s="39" t="s">
        <v>644</v>
      </c>
      <c r="J913" s="21" t="s">
        <v>144</v>
      </c>
      <c r="K913" s="21" t="s">
        <v>145</v>
      </c>
      <c r="L913" s="21" t="s">
        <v>636</v>
      </c>
      <c r="M913" s="21" t="s">
        <v>1091</v>
      </c>
      <c r="N913" s="21" t="s">
        <v>102</v>
      </c>
      <c r="O913" s="20" t="s">
        <v>3153</v>
      </c>
      <c r="P913" s="45">
        <v>45950</v>
      </c>
      <c r="Q913" s="39" t="s">
        <v>3154</v>
      </c>
      <c r="R913" s="19">
        <v>236.48</v>
      </c>
      <c r="S913" s="21">
        <v>0.1</v>
      </c>
      <c r="T913" s="21">
        <v>260.13</v>
      </c>
      <c r="U913" s="60" t="s">
        <v>3155</v>
      </c>
      <c r="V913" s="22">
        <v>45950</v>
      </c>
      <c r="W913" s="54" t="s">
        <v>91</v>
      </c>
      <c r="X913" s="23"/>
      <c r="Y913" s="23" t="s">
        <v>92</v>
      </c>
      <c r="Z913" s="56" t="s">
        <v>1338</v>
      </c>
      <c r="AA913" s="24">
        <v>862413</v>
      </c>
      <c r="AB913" s="19"/>
      <c r="AC913" s="19"/>
      <c r="AD913" s="15" t="str">
        <f ca="1">IF(AND($D913&lt;&gt;"",COUNTIF(OFFSET(UFS!$E$2,MATCH($D913&amp;"",UFS!$A$2:$A$175,0)-1,0,COUNTIF(UFS!$A$2:$A$175,$D913&amp;""),1),M913)&gt;0),"Valide","Invalide")</f>
        <v>Valide</v>
      </c>
      <c r="AH913" s="15" t="str">
        <f t="shared" si="14"/>
        <v>En attente</v>
      </c>
    </row>
    <row r="914" spans="1:34" s="15" customFormat="1" ht="45" hidden="1" customHeight="1" x14ac:dyDescent="0.3">
      <c r="A914" s="42">
        <v>915</v>
      </c>
      <c r="B914" s="19" t="s">
        <v>425</v>
      </c>
      <c r="C914" s="19" t="s">
        <v>35</v>
      </c>
      <c r="D914" s="20" t="s">
        <v>1740</v>
      </c>
      <c r="E914" s="20" t="s">
        <v>79</v>
      </c>
      <c r="F914" s="21" t="s">
        <v>80</v>
      </c>
      <c r="G914" s="38" t="s">
        <v>182</v>
      </c>
      <c r="H914" s="39" t="s">
        <v>426</v>
      </c>
      <c r="I914" s="39" t="s">
        <v>83</v>
      </c>
      <c r="J914" s="21" t="s">
        <v>144</v>
      </c>
      <c r="K914" s="21" t="s">
        <v>145</v>
      </c>
      <c r="L914" s="21" t="s">
        <v>342</v>
      </c>
      <c r="M914" s="21" t="s">
        <v>1741</v>
      </c>
      <c r="N914" s="21" t="s">
        <v>87</v>
      </c>
      <c r="O914" s="20" t="s">
        <v>3156</v>
      </c>
      <c r="P914" s="45">
        <v>45951</v>
      </c>
      <c r="Q914" s="39" t="s">
        <v>3157</v>
      </c>
      <c r="R914" s="19">
        <v>8107.55</v>
      </c>
      <c r="S914" s="21">
        <v>0.2</v>
      </c>
      <c r="T914" s="21">
        <v>9729.06</v>
      </c>
      <c r="U914" s="44" t="s">
        <v>3158</v>
      </c>
      <c r="V914" s="22">
        <v>45951</v>
      </c>
      <c r="W914" s="54" t="s">
        <v>91</v>
      </c>
      <c r="X914" s="23"/>
      <c r="Y914" s="23" t="s">
        <v>347</v>
      </c>
      <c r="Z914" s="56" t="s">
        <v>431</v>
      </c>
      <c r="AA914" s="24"/>
      <c r="AB914" s="19"/>
      <c r="AC914" s="19"/>
      <c r="AD914" s="15" t="str">
        <f ca="1">IF(AND($D914&lt;&gt;"",COUNTIF(OFFSET(UFS!$E$2,MATCH($D914&amp;"",UFS!$A$2:$A$175,0)-1,0,COUNTIF(UFS!$A$2:$A$175,$D914&amp;""),1),M914)&gt;0),"Valide","Invalide")</f>
        <v>Valide</v>
      </c>
      <c r="AH914" s="15" t="str">
        <f t="shared" si="14"/>
        <v>En attente</v>
      </c>
    </row>
    <row r="915" spans="1:34" s="15" customFormat="1" ht="45" hidden="1" customHeight="1" x14ac:dyDescent="0.3">
      <c r="A915" s="42">
        <v>916</v>
      </c>
      <c r="B915" s="19" t="s">
        <v>709</v>
      </c>
      <c r="C915" s="19" t="s">
        <v>23</v>
      </c>
      <c r="D915" s="20" t="s">
        <v>3159</v>
      </c>
      <c r="E915" s="20" t="s">
        <v>79</v>
      </c>
      <c r="F915" s="21" t="s">
        <v>80</v>
      </c>
      <c r="G915" s="38" t="s">
        <v>241</v>
      </c>
      <c r="H915" s="39" t="s">
        <v>643</v>
      </c>
      <c r="I915" s="39" t="s">
        <v>644</v>
      </c>
      <c r="J915" s="21" t="s">
        <v>144</v>
      </c>
      <c r="K915" s="21" t="s">
        <v>145</v>
      </c>
      <c r="L915" s="21" t="s">
        <v>203</v>
      </c>
      <c r="M915" s="21" t="s">
        <v>109</v>
      </c>
      <c r="N915" s="21" t="s">
        <v>109</v>
      </c>
      <c r="O915" s="20" t="s">
        <v>3160</v>
      </c>
      <c r="P915" s="45">
        <v>45951</v>
      </c>
      <c r="Q915" s="39" t="s">
        <v>3161</v>
      </c>
      <c r="R915" s="19">
        <v>525</v>
      </c>
      <c r="S915" s="21">
        <v>0.2</v>
      </c>
      <c r="T915" s="21">
        <v>630</v>
      </c>
      <c r="U915" s="60" t="s">
        <v>3162</v>
      </c>
      <c r="V915" s="22">
        <v>45951</v>
      </c>
      <c r="W915" s="54" t="s">
        <v>91</v>
      </c>
      <c r="X915" s="23"/>
      <c r="Y915" s="23" t="s">
        <v>92</v>
      </c>
      <c r="Z915" s="56" t="s">
        <v>1338</v>
      </c>
      <c r="AA915" s="24">
        <v>862415</v>
      </c>
      <c r="AB915" s="19"/>
      <c r="AC915" s="19"/>
      <c r="AD915" s="15" t="str">
        <f ca="1">IF(AND($D915&lt;&gt;"",COUNTIF(OFFSET(UFS!$E$2,MATCH($D915&amp;"",UFS!$A$2:$A$175,0)-1,0,COUNTIF(UFS!$A$2:$A$175,$D915&amp;""),1),M915)&gt;0),"Valide","Invalide")</f>
        <v>Invalide</v>
      </c>
      <c r="AH915" s="15" t="str">
        <f t="shared" si="14"/>
        <v>En attente</v>
      </c>
    </row>
    <row r="916" spans="1:34" s="15" customFormat="1" ht="45" hidden="1" customHeight="1" x14ac:dyDescent="0.3">
      <c r="A916" s="42">
        <v>917</v>
      </c>
      <c r="B916" s="19" t="s">
        <v>24</v>
      </c>
      <c r="C916" s="19" t="s">
        <v>15</v>
      </c>
      <c r="D916" s="20" t="s">
        <v>460</v>
      </c>
      <c r="E916" s="20" t="s">
        <v>79</v>
      </c>
      <c r="F916" s="21" t="s">
        <v>80</v>
      </c>
      <c r="G916" s="38" t="s">
        <v>182</v>
      </c>
      <c r="H916" s="39" t="s">
        <v>139</v>
      </c>
      <c r="I916" s="39"/>
      <c r="J916" s="21" t="s">
        <v>461</v>
      </c>
      <c r="K916" s="21" t="s">
        <v>145</v>
      </c>
      <c r="L916" s="21" t="s">
        <v>120</v>
      </c>
      <c r="M916" s="21" t="s">
        <v>343</v>
      </c>
      <c r="N916" s="21" t="s">
        <v>87</v>
      </c>
      <c r="O916" s="20" t="s">
        <v>3163</v>
      </c>
      <c r="P916" s="45">
        <v>45818</v>
      </c>
      <c r="Q916" s="39" t="s">
        <v>3164</v>
      </c>
      <c r="R916" s="19">
        <v>3473.89</v>
      </c>
      <c r="S916" s="21">
        <v>0.2</v>
      </c>
      <c r="T916" s="21">
        <v>4168.6679999999997</v>
      </c>
      <c r="U916" s="44" t="s">
        <v>3165</v>
      </c>
      <c r="V916" s="22">
        <v>45952</v>
      </c>
      <c r="W916" s="54" t="s">
        <v>91</v>
      </c>
      <c r="X916" s="23"/>
      <c r="Y916" s="23" t="s">
        <v>92</v>
      </c>
      <c r="Z916" s="56" t="s">
        <v>1338</v>
      </c>
      <c r="AA916" s="24">
        <v>862416</v>
      </c>
      <c r="AB916" s="47">
        <v>45976</v>
      </c>
      <c r="AC916" s="46" t="s">
        <v>94</v>
      </c>
      <c r="AD916" s="15" t="str">
        <f ca="1">IF(AND($D916&lt;&gt;"",COUNTIF(OFFSET(UFS!$E$2,MATCH($D916&amp;"",UFS!$A$2:$A$175,0)-1,0,COUNTIF(UFS!$A$2:$A$175,$D916&amp;""),1),M916)&gt;0),"Valide","Invalide")</f>
        <v>Valide</v>
      </c>
      <c r="AH916" s="15" t="str">
        <f t="shared" si="14"/>
        <v>En attente</v>
      </c>
    </row>
    <row r="917" spans="1:34" s="15" customFormat="1" ht="45" hidden="1" customHeight="1" x14ac:dyDescent="0.3">
      <c r="A917" s="42">
        <v>918</v>
      </c>
      <c r="B917" s="19" t="s">
        <v>16</v>
      </c>
      <c r="C917" s="19" t="s">
        <v>35</v>
      </c>
      <c r="D917" s="20" t="s">
        <v>633</v>
      </c>
      <c r="E917" s="20" t="s">
        <v>79</v>
      </c>
      <c r="F917" s="21" t="s">
        <v>80</v>
      </c>
      <c r="G917" s="38" t="s">
        <v>81</v>
      </c>
      <c r="H917" s="39" t="s">
        <v>426</v>
      </c>
      <c r="I917" s="39"/>
      <c r="J917" s="21" t="s">
        <v>634</v>
      </c>
      <c r="K917" s="21" t="s">
        <v>635</v>
      </c>
      <c r="L917" s="21" t="s">
        <v>636</v>
      </c>
      <c r="M917" s="21" t="s">
        <v>637</v>
      </c>
      <c r="N917" s="21" t="s">
        <v>151</v>
      </c>
      <c r="O917" s="20" t="s">
        <v>3166</v>
      </c>
      <c r="P917" s="45">
        <v>45951</v>
      </c>
      <c r="Q917" s="39" t="s">
        <v>3167</v>
      </c>
      <c r="R917" s="19">
        <v>4072.45</v>
      </c>
      <c r="S917" s="21">
        <v>0.2</v>
      </c>
      <c r="T917" s="21">
        <v>4886.9399999999996</v>
      </c>
      <c r="U917" s="44" t="s">
        <v>3168</v>
      </c>
      <c r="V917" s="22">
        <v>45952</v>
      </c>
      <c r="W917" s="54" t="s">
        <v>91</v>
      </c>
      <c r="X917" s="23"/>
      <c r="Y917" s="23" t="s">
        <v>92</v>
      </c>
      <c r="Z917" s="56"/>
      <c r="AA917" s="24">
        <v>862417</v>
      </c>
      <c r="AB917" s="45">
        <v>45971</v>
      </c>
      <c r="AC917" s="46" t="s">
        <v>94</v>
      </c>
      <c r="AD917" s="15" t="str">
        <f ca="1">IF(AND($D917&lt;&gt;"",COUNTIF(OFFSET(UFS!$E$2,MATCH($D917&amp;"",UFS!$A$2:$A$175,0)-1,0,COUNTIF(UFS!$A$2:$A$175,$D917&amp;""),1),M917)&gt;0),"Valide","Invalide")</f>
        <v>Valide</v>
      </c>
      <c r="AH917" s="15" t="str">
        <f t="shared" si="14"/>
        <v>En attente</v>
      </c>
    </row>
    <row r="918" spans="1:34" s="15" customFormat="1" ht="45" hidden="1" customHeight="1" x14ac:dyDescent="0.3">
      <c r="A918" s="42">
        <v>919</v>
      </c>
      <c r="B918" s="19" t="s">
        <v>709</v>
      </c>
      <c r="C918" s="19" t="s">
        <v>23</v>
      </c>
      <c r="D918" s="20" t="s">
        <v>251</v>
      </c>
      <c r="E918" s="20" t="s">
        <v>79</v>
      </c>
      <c r="F918" s="21" t="s">
        <v>80</v>
      </c>
      <c r="G918" s="38" t="s">
        <v>241</v>
      </c>
      <c r="H918" s="39" t="s">
        <v>643</v>
      </c>
      <c r="I918" s="39" t="s">
        <v>644</v>
      </c>
      <c r="J918" s="21" t="s">
        <v>144</v>
      </c>
      <c r="K918" s="21" t="s">
        <v>145</v>
      </c>
      <c r="L918" s="21" t="s">
        <v>203</v>
      </c>
      <c r="M918" s="21" t="s">
        <v>3169</v>
      </c>
      <c r="N918" s="21" t="s">
        <v>254</v>
      </c>
      <c r="O918" s="20" t="s">
        <v>3170</v>
      </c>
      <c r="P918" s="45">
        <v>45952</v>
      </c>
      <c r="Q918" s="39" t="s">
        <v>3171</v>
      </c>
      <c r="R918" s="19" t="s">
        <v>3172</v>
      </c>
      <c r="S918" s="21">
        <v>0.2</v>
      </c>
      <c r="T918" s="21" t="s">
        <v>3173</v>
      </c>
      <c r="U918" s="60" t="s">
        <v>3174</v>
      </c>
      <c r="V918" s="22">
        <v>45953</v>
      </c>
      <c r="W918" s="54" t="s">
        <v>91</v>
      </c>
      <c r="X918" s="23"/>
      <c r="Y918" s="23" t="s">
        <v>92</v>
      </c>
      <c r="Z918" s="56" t="s">
        <v>1338</v>
      </c>
      <c r="AA918" s="24">
        <v>862418</v>
      </c>
      <c r="AB918" s="47"/>
      <c r="AC918" s="19"/>
      <c r="AD918" s="15" t="str">
        <f ca="1">IF(AND($D918&lt;&gt;"",COUNTIF(OFFSET(UFS!$E$2,MATCH($D918&amp;"",UFS!$A$2:$A$175,0)-1,0,COUNTIF(UFS!$A$2:$A$175,$D918&amp;""),1),M918)&gt;0),"Valide","Invalide")</f>
        <v>Invalide</v>
      </c>
      <c r="AH918" s="15" t="str">
        <f t="shared" si="14"/>
        <v>En attente</v>
      </c>
    </row>
    <row r="919" spans="1:34" s="15" customFormat="1" ht="45" hidden="1" customHeight="1" x14ac:dyDescent="0.3">
      <c r="A919" s="42">
        <v>920</v>
      </c>
      <c r="B919" s="19" t="s">
        <v>24</v>
      </c>
      <c r="C919" s="19" t="s">
        <v>15</v>
      </c>
      <c r="D919" s="20" t="s">
        <v>587</v>
      </c>
      <c r="E919" s="20" t="s">
        <v>96</v>
      </c>
      <c r="F919" s="21" t="s">
        <v>80</v>
      </c>
      <c r="G919" s="38"/>
      <c r="H919" s="39"/>
      <c r="I919" s="39"/>
      <c r="J919" s="21" t="s">
        <v>144</v>
      </c>
      <c r="K919" s="21" t="s">
        <v>145</v>
      </c>
      <c r="L919" s="21" t="s">
        <v>203</v>
      </c>
      <c r="M919" s="21" t="s">
        <v>589</v>
      </c>
      <c r="N919" s="21" t="s">
        <v>589</v>
      </c>
      <c r="O919" s="20" t="s">
        <v>3175</v>
      </c>
      <c r="P919" s="45">
        <v>45951</v>
      </c>
      <c r="Q919" s="39" t="s">
        <v>3176</v>
      </c>
      <c r="R919" s="19">
        <v>2731.56</v>
      </c>
      <c r="S919" s="21">
        <v>0.2</v>
      </c>
      <c r="T919" s="21">
        <v>3277.8719999999998</v>
      </c>
      <c r="U919" s="44" t="s">
        <v>3177</v>
      </c>
      <c r="V919" s="22">
        <v>45953</v>
      </c>
      <c r="W919" s="54" t="s">
        <v>91</v>
      </c>
      <c r="X919" s="23"/>
      <c r="Y919" s="23" t="s">
        <v>92</v>
      </c>
      <c r="Z919" s="56" t="s">
        <v>1338</v>
      </c>
      <c r="AA919" s="24">
        <v>862419</v>
      </c>
      <c r="AB919" s="47">
        <v>45959</v>
      </c>
      <c r="AC919" s="46" t="s">
        <v>94</v>
      </c>
      <c r="AD919" s="15" t="str">
        <f ca="1">IF(AND($D919&lt;&gt;"",COUNTIF(OFFSET(UFS!$E$2,MATCH($D919&amp;"",UFS!$A$2:$A$175,0)-1,0,COUNTIF(UFS!$A$2:$A$175,$D919&amp;""),1),M919)&gt;0),"Valide","Invalide")</f>
        <v>Valide</v>
      </c>
      <c r="AH919" s="15" t="str">
        <f t="shared" si="14"/>
        <v>En attente</v>
      </c>
    </row>
    <row r="920" spans="1:34" s="15" customFormat="1" ht="45" customHeight="1" x14ac:dyDescent="0.3">
      <c r="A920" s="42">
        <v>921</v>
      </c>
      <c r="B920" s="19" t="s">
        <v>24</v>
      </c>
      <c r="C920" s="19" t="s">
        <v>30</v>
      </c>
      <c r="D920" s="20" t="s">
        <v>628</v>
      </c>
      <c r="E920" s="20" t="s">
        <v>79</v>
      </c>
      <c r="F920" s="21" t="s">
        <v>80</v>
      </c>
      <c r="G920" s="38" t="s">
        <v>182</v>
      </c>
      <c r="H920" s="39"/>
      <c r="I920" s="39"/>
      <c r="J920" s="21" t="s">
        <v>124</v>
      </c>
      <c r="K920" s="21" t="s">
        <v>125</v>
      </c>
      <c r="L920" s="21" t="s">
        <v>629</v>
      </c>
      <c r="M920" s="21" t="s">
        <v>136</v>
      </c>
      <c r="N920" s="21" t="s">
        <v>102</v>
      </c>
      <c r="O920" s="20" t="s">
        <v>3178</v>
      </c>
      <c r="P920" s="45">
        <v>45953</v>
      </c>
      <c r="Q920" s="39" t="s">
        <v>3179</v>
      </c>
      <c r="R920" s="19">
        <v>4601.54</v>
      </c>
      <c r="S920" s="21">
        <v>0.1</v>
      </c>
      <c r="T920" s="21">
        <v>5061.6940000000004</v>
      </c>
      <c r="U920" s="44" t="s">
        <v>3180</v>
      </c>
      <c r="V920" s="22">
        <v>45954</v>
      </c>
      <c r="W920" s="54" t="s">
        <v>91</v>
      </c>
      <c r="X920" s="23"/>
      <c r="Y920" s="23" t="s">
        <v>92</v>
      </c>
      <c r="Z920" s="56" t="s">
        <v>3181</v>
      </c>
      <c r="AA920" s="24">
        <v>862737</v>
      </c>
      <c r="AB920" s="47">
        <v>45978</v>
      </c>
      <c r="AC920" s="49" t="s">
        <v>161</v>
      </c>
      <c r="AD920" s="15" t="str">
        <f ca="1">IF(AND($D920&lt;&gt;"",COUNTIF(OFFSET(UFS!$E$2,MATCH($D920&amp;"",UFS!$A$2:$A$175,0)-1,0,COUNTIF(UFS!$A$2:$A$175,$D920&amp;""),1),M920)&gt;0),"Valide","Invalide")</f>
        <v>Valide</v>
      </c>
      <c r="AH920" s="15" t="str">
        <f t="shared" si="14"/>
        <v>En attente</v>
      </c>
    </row>
    <row r="921" spans="1:34" s="15" customFormat="1" ht="45" customHeight="1" x14ac:dyDescent="0.3">
      <c r="A921" s="42">
        <v>922</v>
      </c>
      <c r="B921" s="19" t="s">
        <v>24</v>
      </c>
      <c r="C921" s="19" t="s">
        <v>15</v>
      </c>
      <c r="D921" s="20" t="s">
        <v>628</v>
      </c>
      <c r="E921" s="20" t="s">
        <v>79</v>
      </c>
      <c r="F921" s="21" t="s">
        <v>80</v>
      </c>
      <c r="G921" s="38" t="s">
        <v>182</v>
      </c>
      <c r="H921" s="39" t="s">
        <v>139</v>
      </c>
      <c r="I921" s="39"/>
      <c r="J921" s="21" t="s">
        <v>124</v>
      </c>
      <c r="K921" s="21" t="s">
        <v>125</v>
      </c>
      <c r="L921" s="21" t="s">
        <v>629</v>
      </c>
      <c r="M921" s="21" t="s">
        <v>136</v>
      </c>
      <c r="N921" s="21" t="s">
        <v>102</v>
      </c>
      <c r="O921" s="20" t="s">
        <v>3182</v>
      </c>
      <c r="P921" s="45">
        <v>45952</v>
      </c>
      <c r="Q921" s="39" t="s">
        <v>3183</v>
      </c>
      <c r="R921" s="19">
        <v>4998.8</v>
      </c>
      <c r="S921" s="21">
        <v>0.1</v>
      </c>
      <c r="T921" s="21">
        <v>5498.68</v>
      </c>
      <c r="U921" s="44" t="s">
        <v>3184</v>
      </c>
      <c r="V921" s="22">
        <v>45954</v>
      </c>
      <c r="W921" s="54" t="s">
        <v>91</v>
      </c>
      <c r="X921" s="23"/>
      <c r="Y921" s="23" t="s">
        <v>92</v>
      </c>
      <c r="Z921" s="56" t="s">
        <v>3181</v>
      </c>
      <c r="AA921" s="24">
        <v>862741</v>
      </c>
      <c r="AB921" s="47">
        <v>45978</v>
      </c>
      <c r="AC921" s="49" t="s">
        <v>161</v>
      </c>
      <c r="AD921" s="15" t="str">
        <f ca="1">IF(AND($D921&lt;&gt;"",COUNTIF(OFFSET(UFS!$E$2,MATCH($D921&amp;"",UFS!$A$2:$A$175,0)-1,0,COUNTIF(UFS!$A$2:$A$175,$D921&amp;""),1),M921)&gt;0),"Valide","Invalide")</f>
        <v>Valide</v>
      </c>
      <c r="AH921" s="15" t="str">
        <f t="shared" si="14"/>
        <v>En attente</v>
      </c>
    </row>
    <row r="922" spans="1:34" s="15" customFormat="1" ht="45" hidden="1" customHeight="1" x14ac:dyDescent="0.3">
      <c r="A922" s="42">
        <v>923</v>
      </c>
      <c r="B922" s="19" t="s">
        <v>14</v>
      </c>
      <c r="C922" s="19" t="s">
        <v>15</v>
      </c>
      <c r="D922" s="20" t="s">
        <v>200</v>
      </c>
      <c r="E922" s="20" t="s">
        <v>96</v>
      </c>
      <c r="F922" s="21" t="s">
        <v>80</v>
      </c>
      <c r="G922" s="38" t="s">
        <v>2054</v>
      </c>
      <c r="H922" s="39"/>
      <c r="I922" s="39"/>
      <c r="J922" s="21" t="s">
        <v>144</v>
      </c>
      <c r="K922" s="21" t="s">
        <v>145</v>
      </c>
      <c r="L922" s="21" t="s">
        <v>203</v>
      </c>
      <c r="M922" s="21" t="s">
        <v>109</v>
      </c>
      <c r="N922" s="21" t="s">
        <v>109</v>
      </c>
      <c r="O922" s="20" t="s">
        <v>3185</v>
      </c>
      <c r="P922" s="45">
        <v>45939</v>
      </c>
      <c r="Q922" s="39" t="s">
        <v>3186</v>
      </c>
      <c r="R922" s="19">
        <v>2883.42</v>
      </c>
      <c r="S922" s="21">
        <v>0.2</v>
      </c>
      <c r="T922" s="21">
        <v>3460.1040000000003</v>
      </c>
      <c r="U922" s="44" t="s">
        <v>3187</v>
      </c>
      <c r="V922" s="22">
        <v>45954</v>
      </c>
      <c r="W922" s="54" t="s">
        <v>91</v>
      </c>
      <c r="X922" s="23"/>
      <c r="Y922" s="23" t="s">
        <v>92</v>
      </c>
      <c r="Z922" s="56" t="s">
        <v>1338</v>
      </c>
      <c r="AA922" s="24">
        <v>862420</v>
      </c>
      <c r="AB922" s="19"/>
      <c r="AC922" s="49" t="s">
        <v>161</v>
      </c>
      <c r="AD922" s="15" t="e">
        <f ca="1">IF(AND($D922&lt;&gt;"",COUNTIF(OFFSET(UFS!$E$2,MATCH($D922&amp;"",UFS!$A$2:$A$175,0)-1,0,COUNTIF(UFS!$A$2:$A$175,$D922&amp;""),1),M922)&gt;0),"Valide","Invalide")</f>
        <v>#N/A</v>
      </c>
      <c r="AH922" s="15" t="str">
        <f t="shared" si="14"/>
        <v>En attente</v>
      </c>
    </row>
    <row r="923" spans="1:34" s="15" customFormat="1" ht="45" hidden="1" customHeight="1" x14ac:dyDescent="0.3">
      <c r="A923" s="42">
        <v>924</v>
      </c>
      <c r="B923" s="19" t="s">
        <v>4</v>
      </c>
      <c r="C923" s="19" t="s">
        <v>17</v>
      </c>
      <c r="D923" s="20" t="s">
        <v>516</v>
      </c>
      <c r="E923" s="20" t="s">
        <v>79</v>
      </c>
      <c r="F923" s="21" t="s">
        <v>80</v>
      </c>
      <c r="G923" s="38" t="s">
        <v>241</v>
      </c>
      <c r="H923" s="39" t="s">
        <v>252</v>
      </c>
      <c r="I923" s="39" t="s">
        <v>1480</v>
      </c>
      <c r="J923" s="21" t="s">
        <v>497</v>
      </c>
      <c r="K923" s="21" t="s">
        <v>498</v>
      </c>
      <c r="L923" s="21" t="s">
        <v>499</v>
      </c>
      <c r="M923" s="21" t="s">
        <v>498</v>
      </c>
      <c r="N923" s="21" t="s">
        <v>151</v>
      </c>
      <c r="O923" s="20" t="s">
        <v>3188</v>
      </c>
      <c r="P923" s="45">
        <v>45950</v>
      </c>
      <c r="Q923" s="39" t="s">
        <v>3189</v>
      </c>
      <c r="R923" s="19">
        <v>4611.7299999999996</v>
      </c>
      <c r="S923" s="21">
        <v>0.2</v>
      </c>
      <c r="T923" s="21">
        <v>5534.0759999999991</v>
      </c>
      <c r="U923" s="44" t="s">
        <v>3190</v>
      </c>
      <c r="V923" s="22">
        <v>45954</v>
      </c>
      <c r="W923" s="54" t="s">
        <v>91</v>
      </c>
      <c r="X923" s="23"/>
      <c r="Y923" s="23" t="s">
        <v>92</v>
      </c>
      <c r="Z923" s="56" t="s">
        <v>1338</v>
      </c>
      <c r="AA923" s="24">
        <v>862456</v>
      </c>
      <c r="AB923" s="19"/>
      <c r="AC923" s="19"/>
      <c r="AD923" s="15" t="str">
        <f ca="1">IF(AND($D923&lt;&gt;"",COUNTIF(OFFSET(UFS!$E$2,MATCH($D923&amp;"",UFS!$A$2:$A$175,0)-1,0,COUNTIF(UFS!$A$2:$A$175,$D923&amp;""),1),M923)&gt;0),"Valide","Invalide")</f>
        <v>Valide</v>
      </c>
      <c r="AH923" s="15" t="str">
        <f t="shared" si="14"/>
        <v>En attente</v>
      </c>
    </row>
    <row r="924" spans="1:34" s="15" customFormat="1" ht="45" hidden="1" customHeight="1" x14ac:dyDescent="0.3">
      <c r="A924" s="42">
        <v>925</v>
      </c>
      <c r="B924" s="122" t="s">
        <v>6</v>
      </c>
      <c r="C924" s="19" t="s">
        <v>31</v>
      </c>
      <c r="D924" s="20" t="s">
        <v>260</v>
      </c>
      <c r="E924" s="20" t="s">
        <v>79</v>
      </c>
      <c r="F924" s="21" t="s">
        <v>80</v>
      </c>
      <c r="G924" s="38" t="s">
        <v>241</v>
      </c>
      <c r="H924" s="39" t="s">
        <v>242</v>
      </c>
      <c r="I924" s="39"/>
      <c r="J924" s="21" t="s">
        <v>84</v>
      </c>
      <c r="K924" s="21" t="s">
        <v>113</v>
      </c>
      <c r="L924" s="21" t="s">
        <v>86</v>
      </c>
      <c r="M924" s="21" t="s">
        <v>109</v>
      </c>
      <c r="N924" s="21" t="s">
        <v>109</v>
      </c>
      <c r="O924" s="20" t="s">
        <v>3191</v>
      </c>
      <c r="P924" s="45">
        <v>45943</v>
      </c>
      <c r="Q924" s="39" t="s">
        <v>3192</v>
      </c>
      <c r="R924" s="19">
        <v>236</v>
      </c>
      <c r="S924" s="21">
        <v>0.1</v>
      </c>
      <c r="T924" s="21">
        <v>259.60000000000002</v>
      </c>
      <c r="U924" s="44" t="s">
        <v>3193</v>
      </c>
      <c r="V924" s="22">
        <v>45954</v>
      </c>
      <c r="W924" s="54" t="s">
        <v>91</v>
      </c>
      <c r="X924" s="23"/>
      <c r="Y924" s="23" t="s">
        <v>92</v>
      </c>
      <c r="Z924" s="56" t="s">
        <v>1338</v>
      </c>
      <c r="AA924" s="24">
        <v>862459</v>
      </c>
      <c r="AB924" s="19"/>
      <c r="AC924" s="19"/>
      <c r="AD924" s="15" t="str">
        <f ca="1">IF(AND($D924&lt;&gt;"",COUNTIF(OFFSET(UFS!$E$2,MATCH($D924&amp;"",UFS!$A$2:$A$175,0)-1,0,COUNTIF(UFS!$A$2:$A$175,$D924&amp;""),1),M924)&gt;0),"Valide","Invalide")</f>
        <v>Valide</v>
      </c>
      <c r="AH924" s="15" t="str">
        <f t="shared" si="14"/>
        <v>En attente</v>
      </c>
    </row>
    <row r="925" spans="1:34" s="15" customFormat="1" ht="45" hidden="1" customHeight="1" x14ac:dyDescent="0.3">
      <c r="A925" s="42">
        <v>926</v>
      </c>
      <c r="B925" s="19" t="s">
        <v>6</v>
      </c>
      <c r="C925" s="19" t="s">
        <v>31</v>
      </c>
      <c r="D925" s="20" t="s">
        <v>123</v>
      </c>
      <c r="E925" s="20" t="s">
        <v>79</v>
      </c>
      <c r="F925" s="21" t="s">
        <v>80</v>
      </c>
      <c r="G925" s="38" t="s">
        <v>241</v>
      </c>
      <c r="H925" s="39" t="s">
        <v>242</v>
      </c>
      <c r="I925" s="39"/>
      <c r="J925" s="21" t="s">
        <v>124</v>
      </c>
      <c r="K925" s="21" t="s">
        <v>125</v>
      </c>
      <c r="L925" s="21" t="s">
        <v>126</v>
      </c>
      <c r="M925" s="21" t="s">
        <v>109</v>
      </c>
      <c r="N925" s="21" t="s">
        <v>109</v>
      </c>
      <c r="O925" s="20" t="s">
        <v>3194</v>
      </c>
      <c r="P925" s="45">
        <v>45943</v>
      </c>
      <c r="Q925" s="39" t="s">
        <v>3195</v>
      </c>
      <c r="R925" s="19">
        <v>236</v>
      </c>
      <c r="S925" s="21">
        <v>0.1</v>
      </c>
      <c r="T925" s="21">
        <v>259.60000000000002</v>
      </c>
      <c r="U925" s="44" t="s">
        <v>3196</v>
      </c>
      <c r="V925" s="22">
        <v>45954</v>
      </c>
      <c r="W925" s="54" t="s">
        <v>91</v>
      </c>
      <c r="X925" s="23"/>
      <c r="Y925" s="23" t="s">
        <v>92</v>
      </c>
      <c r="Z925" s="56" t="s">
        <v>1338</v>
      </c>
      <c r="AA925" s="24">
        <v>862460</v>
      </c>
      <c r="AB925" s="19"/>
      <c r="AC925" s="19"/>
      <c r="AD925" s="15" t="str">
        <f ca="1">IF(AND($D925&lt;&gt;"",COUNTIF(OFFSET(UFS!$E$2,MATCH($D925&amp;"",UFS!$A$2:$A$175,0)-1,0,COUNTIF(UFS!$A$2:$A$175,$D925&amp;""),1),M925)&gt;0),"Valide","Invalide")</f>
        <v>Valide</v>
      </c>
      <c r="AH925" s="15" t="str">
        <f t="shared" si="14"/>
        <v>En attente</v>
      </c>
    </row>
    <row r="926" spans="1:34" s="15" customFormat="1" ht="45" hidden="1" customHeight="1" x14ac:dyDescent="0.3">
      <c r="A926" s="42">
        <v>927</v>
      </c>
      <c r="B926" s="19" t="s">
        <v>6</v>
      </c>
      <c r="C926" s="19" t="s">
        <v>1357</v>
      </c>
      <c r="D926" s="20" t="s">
        <v>858</v>
      </c>
      <c r="E926" s="20" t="s">
        <v>79</v>
      </c>
      <c r="F926" s="21" t="s">
        <v>80</v>
      </c>
      <c r="G926" s="38" t="s">
        <v>241</v>
      </c>
      <c r="H926" s="39" t="s">
        <v>381</v>
      </c>
      <c r="I926" s="39" t="s">
        <v>382</v>
      </c>
      <c r="J926" s="21" t="s">
        <v>98</v>
      </c>
      <c r="K926" s="21" t="s">
        <v>859</v>
      </c>
      <c r="L926" s="21" t="s">
        <v>100</v>
      </c>
      <c r="M926" s="21" t="s">
        <v>860</v>
      </c>
      <c r="N926" s="21" t="s">
        <v>87</v>
      </c>
      <c r="O926" s="20" t="s">
        <v>3197</v>
      </c>
      <c r="P926" s="45">
        <v>45952</v>
      </c>
      <c r="Q926" s="15" t="s">
        <v>3198</v>
      </c>
      <c r="R926" s="19">
        <v>300</v>
      </c>
      <c r="S926" s="21">
        <v>0.2</v>
      </c>
      <c r="T926" s="21">
        <v>360</v>
      </c>
      <c r="U926" s="44" t="s">
        <v>3199</v>
      </c>
      <c r="V926" s="22">
        <v>45957</v>
      </c>
      <c r="W926" s="54" t="s">
        <v>91</v>
      </c>
      <c r="X926" s="23"/>
      <c r="Y926" s="23" t="s">
        <v>92</v>
      </c>
      <c r="Z926" s="56" t="s">
        <v>928</v>
      </c>
      <c r="AA926" s="24">
        <v>862467</v>
      </c>
      <c r="AB926" s="19"/>
      <c r="AC926" s="19"/>
      <c r="AD926" s="15" t="str">
        <f ca="1">IF(AND($D926&lt;&gt;"",COUNTIF(OFFSET(UFS!$E$2,MATCH($D926&amp;"",UFS!$A$2:$A$175,0)-1,0,COUNTIF(UFS!$A$2:$A$175,$D926&amp;""),1),M926)&gt;0),"Valide","Invalide")</f>
        <v>Valide</v>
      </c>
      <c r="AH926" s="15" t="str">
        <f t="shared" si="14"/>
        <v>En attente</v>
      </c>
    </row>
    <row r="927" spans="1:34" s="15" customFormat="1" ht="45" hidden="1" customHeight="1" x14ac:dyDescent="0.3">
      <c r="A927" s="42">
        <v>928</v>
      </c>
      <c r="B927" s="19" t="s">
        <v>26</v>
      </c>
      <c r="C927" s="19" t="s">
        <v>28</v>
      </c>
      <c r="D927" s="20" t="s">
        <v>325</v>
      </c>
      <c r="E927" s="20" t="s">
        <v>79</v>
      </c>
      <c r="F927" s="21" t="s">
        <v>80</v>
      </c>
      <c r="G927" s="38" t="s">
        <v>182</v>
      </c>
      <c r="H927" s="39" t="s">
        <v>82</v>
      </c>
      <c r="I927" s="39"/>
      <c r="J927" s="21" t="s">
        <v>98</v>
      </c>
      <c r="K927" s="21" t="s">
        <v>327</v>
      </c>
      <c r="L927" s="21" t="s">
        <v>328</v>
      </c>
      <c r="M927" s="21" t="s">
        <v>2528</v>
      </c>
      <c r="N927" s="21" t="s">
        <v>330</v>
      </c>
      <c r="O927" s="20" t="s">
        <v>3200</v>
      </c>
      <c r="P927" s="45">
        <v>45932</v>
      </c>
      <c r="Q927" s="39" t="s">
        <v>3201</v>
      </c>
      <c r="R927" s="19">
        <v>8364.5499999999993</v>
      </c>
      <c r="S927" s="21">
        <v>0.2</v>
      </c>
      <c r="T927" s="21">
        <v>10037.459999999999</v>
      </c>
      <c r="U927" s="44" t="s">
        <v>3202</v>
      </c>
      <c r="V927" s="22">
        <v>45957</v>
      </c>
      <c r="W927" s="54" t="s">
        <v>91</v>
      </c>
      <c r="X927" s="23"/>
      <c r="Y927" s="23" t="s">
        <v>92</v>
      </c>
      <c r="Z927" s="56" t="s">
        <v>928</v>
      </c>
      <c r="AA927" s="24">
        <v>862470</v>
      </c>
      <c r="AB927" s="45">
        <v>46006</v>
      </c>
      <c r="AC927" s="19"/>
      <c r="AD927" s="15" t="str">
        <f ca="1">IF(AND($D927&lt;&gt;"",COUNTIF(OFFSET(UFS!$E$2,MATCH($D927&amp;"",UFS!$A$2:$A$175,0)-1,0,COUNTIF(UFS!$A$2:$A$175,$D927&amp;""),1),M927)&gt;0),"Valide","Invalide")</f>
        <v>Invalide</v>
      </c>
      <c r="AH927" s="15" t="str">
        <f t="shared" si="14"/>
        <v>En attente</v>
      </c>
    </row>
    <row r="928" spans="1:34" s="15" customFormat="1" ht="45" hidden="1" customHeight="1" x14ac:dyDescent="0.3">
      <c r="A928" s="42">
        <v>929</v>
      </c>
      <c r="B928" s="19" t="s">
        <v>26</v>
      </c>
      <c r="C928" s="19" t="s">
        <v>28</v>
      </c>
      <c r="D928" s="20" t="s">
        <v>325</v>
      </c>
      <c r="E928" s="20" t="s">
        <v>79</v>
      </c>
      <c r="F928" s="21" t="s">
        <v>80</v>
      </c>
      <c r="G928" s="38" t="s">
        <v>182</v>
      </c>
      <c r="H928" s="39" t="s">
        <v>82</v>
      </c>
      <c r="I928" s="39"/>
      <c r="J928" s="21" t="s">
        <v>98</v>
      </c>
      <c r="K928" s="21" t="s">
        <v>327</v>
      </c>
      <c r="L928" s="21" t="s">
        <v>328</v>
      </c>
      <c r="M928" s="21" t="s">
        <v>2528</v>
      </c>
      <c r="N928" s="21" t="s">
        <v>330</v>
      </c>
      <c r="O928" s="20" t="s">
        <v>3203</v>
      </c>
      <c r="P928" s="45">
        <v>45932</v>
      </c>
      <c r="Q928" s="39" t="s">
        <v>3204</v>
      </c>
      <c r="R928" s="19">
        <v>5998.83</v>
      </c>
      <c r="S928" s="21">
        <v>0.2</v>
      </c>
      <c r="T928" s="21">
        <v>7198.5959999999995</v>
      </c>
      <c r="U928" s="44" t="s">
        <v>3205</v>
      </c>
      <c r="V928" s="22">
        <v>45957</v>
      </c>
      <c r="W928" s="54" t="s">
        <v>91</v>
      </c>
      <c r="X928" s="23"/>
      <c r="Y928" s="23" t="s">
        <v>92</v>
      </c>
      <c r="Z928" s="56" t="s">
        <v>928</v>
      </c>
      <c r="AA928" s="151">
        <v>862532</v>
      </c>
      <c r="AB928" s="45">
        <v>46006</v>
      </c>
      <c r="AC928" s="19"/>
      <c r="AD928" s="15" t="str">
        <f ca="1">IF(AND($D928&lt;&gt;"",COUNTIF(OFFSET(UFS!$E$2,MATCH($D928&amp;"",UFS!$A$2:$A$175,0)-1,0,COUNTIF(UFS!$A$2:$A$175,$D928&amp;""),1),M928)&gt;0),"Valide","Invalide")</f>
        <v>Invalide</v>
      </c>
      <c r="AH928" s="15" t="str">
        <f t="shared" si="14"/>
        <v>En attente</v>
      </c>
    </row>
    <row r="929" spans="1:34" s="15" customFormat="1" ht="45" hidden="1" customHeight="1" x14ac:dyDescent="0.3">
      <c r="A929" s="42">
        <v>930</v>
      </c>
      <c r="B929" s="19" t="s">
        <v>26</v>
      </c>
      <c r="C929" s="19" t="s">
        <v>5</v>
      </c>
      <c r="D929" s="20" t="s">
        <v>516</v>
      </c>
      <c r="E929" s="20" t="s">
        <v>96</v>
      </c>
      <c r="F929" s="21" t="s">
        <v>80</v>
      </c>
      <c r="G929" s="38" t="s">
        <v>288</v>
      </c>
      <c r="H929" s="39"/>
      <c r="I929" s="39" t="s">
        <v>3125</v>
      </c>
      <c r="J929" s="21" t="s">
        <v>497</v>
      </c>
      <c r="K929" s="21" t="s">
        <v>498</v>
      </c>
      <c r="L929" s="21" t="s">
        <v>499</v>
      </c>
      <c r="M929" s="21" t="s">
        <v>498</v>
      </c>
      <c r="N929" s="21" t="s">
        <v>151</v>
      </c>
      <c r="O929" s="20" t="s">
        <v>3206</v>
      </c>
      <c r="P929" s="45">
        <v>45958</v>
      </c>
      <c r="Q929" s="39" t="s">
        <v>3207</v>
      </c>
      <c r="R929" s="19">
        <v>898.62</v>
      </c>
      <c r="S929" s="21">
        <v>0.2</v>
      </c>
      <c r="T929" s="21">
        <v>1078.3440000000001</v>
      </c>
      <c r="U929" s="44" t="s">
        <v>3208</v>
      </c>
      <c r="V929" s="22">
        <v>45958</v>
      </c>
      <c r="W929" s="54" t="s">
        <v>91</v>
      </c>
      <c r="X929" s="23"/>
      <c r="Y929" s="23" t="s">
        <v>92</v>
      </c>
      <c r="Z929" s="146" t="s">
        <v>1338</v>
      </c>
      <c r="AA929" s="24">
        <v>862561</v>
      </c>
      <c r="AB929" s="19"/>
      <c r="AC929" s="46" t="s">
        <v>94</v>
      </c>
      <c r="AD929" s="15" t="str">
        <f ca="1">IF(AND($D929&lt;&gt;"",COUNTIF(OFFSET(UFS!$E$2,MATCH($D929&amp;"",UFS!$A$2:$A$175,0)-1,0,COUNTIF(UFS!$A$2:$A$175,$D929&amp;""),1),M929)&gt;0),"Valide","Invalide")</f>
        <v>Valide</v>
      </c>
      <c r="AH929" s="15" t="str">
        <f t="shared" si="14"/>
        <v>En attente</v>
      </c>
    </row>
    <row r="930" spans="1:34" s="15" customFormat="1" ht="45" hidden="1" customHeight="1" x14ac:dyDescent="0.3">
      <c r="A930" s="42">
        <v>931</v>
      </c>
      <c r="B930" s="19" t="s">
        <v>425</v>
      </c>
      <c r="C930" s="19" t="s">
        <v>23</v>
      </c>
      <c r="D930" s="20" t="s">
        <v>130</v>
      </c>
      <c r="E930" s="20" t="s">
        <v>79</v>
      </c>
      <c r="F930" s="21" t="s">
        <v>80</v>
      </c>
      <c r="G930" s="38" t="s">
        <v>426</v>
      </c>
      <c r="H930" s="39" t="s">
        <v>3209</v>
      </c>
      <c r="I930" s="39"/>
      <c r="J930" s="21" t="s">
        <v>124</v>
      </c>
      <c r="K930" s="21" t="s">
        <v>125</v>
      </c>
      <c r="L930" s="21" t="s">
        <v>126</v>
      </c>
      <c r="M930" s="21" t="s">
        <v>131</v>
      </c>
      <c r="N930" s="21" t="s">
        <v>102</v>
      </c>
      <c r="O930" s="20" t="s">
        <v>3210</v>
      </c>
      <c r="P930" s="45">
        <v>45940</v>
      </c>
      <c r="Q930" s="39" t="s">
        <v>3211</v>
      </c>
      <c r="R930" s="19">
        <v>9189.6</v>
      </c>
      <c r="S930" s="21">
        <v>0.1</v>
      </c>
      <c r="T930" s="21">
        <v>10108.560000000001</v>
      </c>
      <c r="U930" s="44" t="s">
        <v>3212</v>
      </c>
      <c r="V930" s="22">
        <v>45958</v>
      </c>
      <c r="W930" s="54" t="s">
        <v>91</v>
      </c>
      <c r="X930" s="23"/>
      <c r="Y930" s="23" t="s">
        <v>92</v>
      </c>
      <c r="Z930" s="56" t="s">
        <v>3213</v>
      </c>
      <c r="AA930" s="24" t="s">
        <v>3214</v>
      </c>
      <c r="AB930" s="19"/>
      <c r="AC930" s="19"/>
      <c r="AD930" s="15" t="str">
        <f ca="1">IF(AND($D930&lt;&gt;"",COUNTIF(OFFSET(UFS!$E$2,MATCH($D930&amp;"",UFS!$A$2:$A$175,0)-1,0,COUNTIF(UFS!$A$2:$A$175,$D930&amp;""),1),M930)&gt;0),"Valide","Invalide")</f>
        <v>Valide</v>
      </c>
      <c r="AH930" s="15" t="str">
        <f t="shared" si="14"/>
        <v>En attente</v>
      </c>
    </row>
    <row r="931" spans="1:34" s="15" customFormat="1" ht="45" hidden="1" customHeight="1" x14ac:dyDescent="0.3">
      <c r="A931" s="42">
        <v>932</v>
      </c>
      <c r="B931" s="19" t="s">
        <v>16</v>
      </c>
      <c r="C931" s="19" t="s">
        <v>28</v>
      </c>
      <c r="D931" s="20" t="s">
        <v>2831</v>
      </c>
      <c r="E931" s="20" t="s">
        <v>79</v>
      </c>
      <c r="F931" s="21" t="s">
        <v>80</v>
      </c>
      <c r="G931" s="38" t="s">
        <v>182</v>
      </c>
      <c r="H931" s="39" t="s">
        <v>82</v>
      </c>
      <c r="I931" s="39" t="s">
        <v>83</v>
      </c>
      <c r="J931" s="21" t="s">
        <v>183</v>
      </c>
      <c r="K931" s="21" t="s">
        <v>2456</v>
      </c>
      <c r="L931" s="21" t="s">
        <v>342</v>
      </c>
      <c r="M931" s="21" t="s">
        <v>2456</v>
      </c>
      <c r="N931" s="21" t="s">
        <v>151</v>
      </c>
      <c r="O931" s="20" t="s">
        <v>3215</v>
      </c>
      <c r="P931" s="45">
        <v>45958</v>
      </c>
      <c r="Q931" s="39" t="s">
        <v>3216</v>
      </c>
      <c r="R931" s="19">
        <v>4457.7700000000004</v>
      </c>
      <c r="S931" s="21">
        <v>0.2</v>
      </c>
      <c r="T931" s="21">
        <v>5349.3240000000005</v>
      </c>
      <c r="U931" s="44" t="s">
        <v>3217</v>
      </c>
      <c r="V931" s="22">
        <v>45958</v>
      </c>
      <c r="W931" s="54" t="s">
        <v>91</v>
      </c>
      <c r="X931" s="23"/>
      <c r="Y931" s="23" t="s">
        <v>92</v>
      </c>
      <c r="Z931" s="56" t="s">
        <v>1338</v>
      </c>
      <c r="AA931" s="24">
        <v>862743</v>
      </c>
      <c r="AB931" s="45">
        <v>46013</v>
      </c>
      <c r="AC931" s="46" t="s">
        <v>94</v>
      </c>
      <c r="AD931" s="15" t="str">
        <f ca="1">IF(AND($D931&lt;&gt;"",COUNTIF(OFFSET(UFS!$E$2,MATCH($D931&amp;"",UFS!$A$2:$A$175,0)-1,0,COUNTIF(UFS!$A$2:$A$175,$D931&amp;""),1),M931)&gt;0),"Valide","Invalide")</f>
        <v>Valide</v>
      </c>
      <c r="AH931" s="15" t="str">
        <f t="shared" si="14"/>
        <v>En attente</v>
      </c>
    </row>
    <row r="932" spans="1:34" s="15" customFormat="1" ht="45" hidden="1" customHeight="1" x14ac:dyDescent="0.3">
      <c r="A932" s="42">
        <v>933</v>
      </c>
      <c r="B932" s="19" t="s">
        <v>16</v>
      </c>
      <c r="C932" s="19" t="s">
        <v>28</v>
      </c>
      <c r="D932" s="20" t="s">
        <v>3218</v>
      </c>
      <c r="E932" s="20" t="s">
        <v>79</v>
      </c>
      <c r="F932" s="21" t="s">
        <v>80</v>
      </c>
      <c r="G932" s="38" t="s">
        <v>81</v>
      </c>
      <c r="H932" s="39" t="s">
        <v>82</v>
      </c>
      <c r="I932" s="39"/>
      <c r="J932" s="21" t="s">
        <v>3219</v>
      </c>
      <c r="K932" s="21" t="s">
        <v>3220</v>
      </c>
      <c r="L932" s="21" t="s">
        <v>342</v>
      </c>
      <c r="M932" s="21" t="s">
        <v>3220</v>
      </c>
      <c r="N932" s="21" t="s">
        <v>151</v>
      </c>
      <c r="O932" s="20" t="s">
        <v>3221</v>
      </c>
      <c r="P932" s="45">
        <v>45958</v>
      </c>
      <c r="Q932" s="39" t="s">
        <v>3216</v>
      </c>
      <c r="R932" s="19">
        <v>2459.6999999999998</v>
      </c>
      <c r="S932" s="21">
        <v>0.2</v>
      </c>
      <c r="T932" s="21">
        <v>2951.64</v>
      </c>
      <c r="U932" s="44" t="s">
        <v>3222</v>
      </c>
      <c r="V932" s="22">
        <v>45958</v>
      </c>
      <c r="W932" s="54" t="s">
        <v>91</v>
      </c>
      <c r="X932" s="23"/>
      <c r="Y932" s="23" t="s">
        <v>92</v>
      </c>
      <c r="Z932" s="56" t="s">
        <v>3223</v>
      </c>
      <c r="AA932" s="24">
        <v>862746</v>
      </c>
      <c r="AB932" s="45">
        <v>45960</v>
      </c>
      <c r="AC932" s="46" t="s">
        <v>94</v>
      </c>
      <c r="AD932" s="15" t="str">
        <f ca="1">IF(AND($D932&lt;&gt;"",COUNTIF(OFFSET(UFS!$E$2,MATCH($D932&amp;"",UFS!$A$2:$A$175,0)-1,0,COUNTIF(UFS!$A$2:$A$175,$D932&amp;""),1),M932)&gt;0),"Valide","Invalide")</f>
        <v>Valide</v>
      </c>
      <c r="AH932" s="15" t="str">
        <f t="shared" si="14"/>
        <v>En attente</v>
      </c>
    </row>
    <row r="933" spans="1:34" s="15" customFormat="1" ht="45" hidden="1" customHeight="1" x14ac:dyDescent="0.3">
      <c r="A933" s="42">
        <v>934</v>
      </c>
      <c r="B933" s="19" t="s">
        <v>16</v>
      </c>
      <c r="C933" s="19" t="s">
        <v>28</v>
      </c>
      <c r="D933" s="20" t="s">
        <v>1090</v>
      </c>
      <c r="E933" s="20" t="s">
        <v>79</v>
      </c>
      <c r="F933" s="21" t="s">
        <v>80</v>
      </c>
      <c r="G933" s="38" t="s">
        <v>182</v>
      </c>
      <c r="H933" s="39" t="s">
        <v>82</v>
      </c>
      <c r="I933" s="39" t="s">
        <v>83</v>
      </c>
      <c r="J933" s="21" t="s">
        <v>144</v>
      </c>
      <c r="K933" s="21" t="s">
        <v>145</v>
      </c>
      <c r="L933" s="21" t="s">
        <v>636</v>
      </c>
      <c r="M933" s="21" t="s">
        <v>1091</v>
      </c>
      <c r="N933" s="21" t="s">
        <v>102</v>
      </c>
      <c r="O933" s="20" t="s">
        <v>3224</v>
      </c>
      <c r="P933" s="45">
        <v>45958</v>
      </c>
      <c r="Q933" s="39" t="s">
        <v>3225</v>
      </c>
      <c r="R933" s="19">
        <v>4559.7</v>
      </c>
      <c r="S933" s="21">
        <v>0.1</v>
      </c>
      <c r="T933" s="21">
        <v>5015.67</v>
      </c>
      <c r="U933" s="44" t="s">
        <v>3226</v>
      </c>
      <c r="V933" s="22">
        <v>45958</v>
      </c>
      <c r="W933" s="54" t="s">
        <v>91</v>
      </c>
      <c r="X933" s="23"/>
      <c r="Y933" s="23" t="s">
        <v>92</v>
      </c>
      <c r="Z933" s="56" t="s">
        <v>3227</v>
      </c>
      <c r="AA933" s="24">
        <v>862748</v>
      </c>
      <c r="AB933" s="45">
        <v>45993</v>
      </c>
      <c r="AC933" s="49" t="s">
        <v>161</v>
      </c>
      <c r="AD933" s="15" t="str">
        <f ca="1">IF(AND($D933&lt;&gt;"",COUNTIF(OFFSET(UFS!$E$2,MATCH($D933&amp;"",UFS!$A$2:$A$175,0)-1,0,COUNTIF(UFS!$A$2:$A$175,$D933&amp;""),1),M933)&gt;0),"Valide","Invalide")</f>
        <v>Valide</v>
      </c>
      <c r="AH933" s="15" t="str">
        <f t="shared" si="14"/>
        <v>En attente</v>
      </c>
    </row>
    <row r="934" spans="1:34" s="15" customFormat="1" ht="45" hidden="1" customHeight="1" x14ac:dyDescent="0.3">
      <c r="A934" s="42">
        <v>935</v>
      </c>
      <c r="B934" s="19" t="s">
        <v>6</v>
      </c>
      <c r="C934" s="19" t="s">
        <v>9</v>
      </c>
      <c r="D934" s="20" t="s">
        <v>587</v>
      </c>
      <c r="E934" s="20" t="s">
        <v>79</v>
      </c>
      <c r="F934" s="21" t="s">
        <v>80</v>
      </c>
      <c r="G934" s="38" t="s">
        <v>163</v>
      </c>
      <c r="H934" s="39" t="s">
        <v>1085</v>
      </c>
      <c r="I934" s="39"/>
      <c r="J934" s="21" t="s">
        <v>144</v>
      </c>
      <c r="K934" s="21" t="s">
        <v>145</v>
      </c>
      <c r="L934" s="21" t="s">
        <v>203</v>
      </c>
      <c r="M934" s="21" t="s">
        <v>589</v>
      </c>
      <c r="N934" s="21" t="s">
        <v>589</v>
      </c>
      <c r="O934" s="20" t="s">
        <v>3228</v>
      </c>
      <c r="P934" s="45">
        <v>45958</v>
      </c>
      <c r="Q934" s="39" t="s">
        <v>3229</v>
      </c>
      <c r="R934" s="19">
        <v>4487.5600000000004</v>
      </c>
      <c r="S934" s="21">
        <v>0.2</v>
      </c>
      <c r="T934" s="21">
        <v>5385.0720000000001</v>
      </c>
      <c r="U934" s="44" t="s">
        <v>3230</v>
      </c>
      <c r="V934" s="22">
        <v>45958</v>
      </c>
      <c r="W934" s="54" t="s">
        <v>91</v>
      </c>
      <c r="X934" s="23"/>
      <c r="Y934" s="23" t="s">
        <v>92</v>
      </c>
      <c r="Z934" s="56" t="s">
        <v>1338</v>
      </c>
      <c r="AA934" s="24">
        <v>863035</v>
      </c>
      <c r="AB934" s="19"/>
      <c r="AC934" s="19"/>
      <c r="AD934" s="15" t="str">
        <f ca="1">IF(AND($D934&lt;&gt;"",COUNTIF(OFFSET(UFS!$E$2,MATCH($D934&amp;"",UFS!$A$2:$A$175,0)-1,0,COUNTIF(UFS!$A$2:$A$175,$D934&amp;""),1),M934)&gt;0),"Valide","Invalide")</f>
        <v>Valide</v>
      </c>
      <c r="AH934" s="15" t="str">
        <f t="shared" si="14"/>
        <v>En attente</v>
      </c>
    </row>
    <row r="935" spans="1:34" s="15" customFormat="1" ht="45" hidden="1" customHeight="1" x14ac:dyDescent="0.3">
      <c r="A935" s="42">
        <v>936</v>
      </c>
      <c r="B935" s="19" t="s">
        <v>24</v>
      </c>
      <c r="C935" s="19" t="s">
        <v>28</v>
      </c>
      <c r="D935" s="20" t="s">
        <v>360</v>
      </c>
      <c r="E935" s="20" t="s">
        <v>79</v>
      </c>
      <c r="F935" s="21" t="s">
        <v>80</v>
      </c>
      <c r="G935" s="38" t="s">
        <v>182</v>
      </c>
      <c r="H935" s="39" t="s">
        <v>82</v>
      </c>
      <c r="I935" s="39" t="s">
        <v>83</v>
      </c>
      <c r="J935" s="21" t="s">
        <v>361</v>
      </c>
      <c r="K935" s="21" t="s">
        <v>362</v>
      </c>
      <c r="L935" s="21" t="s">
        <v>114</v>
      </c>
      <c r="M935" s="21" t="s">
        <v>363</v>
      </c>
      <c r="N935" s="21" t="s">
        <v>151</v>
      </c>
      <c r="O935" s="20" t="s">
        <v>3231</v>
      </c>
      <c r="P935" s="45">
        <v>45958</v>
      </c>
      <c r="Q935" s="39" t="s">
        <v>3232</v>
      </c>
      <c r="R935" s="53">
        <v>2627.76</v>
      </c>
      <c r="S935" s="21">
        <v>0.2</v>
      </c>
      <c r="T935" s="21">
        <v>3153.3120000000004</v>
      </c>
      <c r="U935" s="44" t="s">
        <v>3233</v>
      </c>
      <c r="V935" s="22">
        <v>45959</v>
      </c>
      <c r="W935" s="54" t="s">
        <v>91</v>
      </c>
      <c r="X935" s="23"/>
      <c r="Y935" s="23" t="s">
        <v>92</v>
      </c>
      <c r="Z935" s="56" t="s">
        <v>1338</v>
      </c>
      <c r="AA935" s="24">
        <v>862751</v>
      </c>
      <c r="AB935" s="47">
        <v>45958</v>
      </c>
      <c r="AC935" s="46" t="s">
        <v>94</v>
      </c>
      <c r="AD935" s="15" t="str">
        <f ca="1">IF(AND($D935&lt;&gt;"",COUNTIF(OFFSET(UFS!$E$2,MATCH($D935&amp;"",UFS!$A$2:$A$175,0)-1,0,COUNTIF(UFS!$A$2:$A$175,$D935&amp;""),1),M935)&gt;0),"Valide","Invalide")</f>
        <v>Valide</v>
      </c>
      <c r="AH935" s="15" t="str">
        <f t="shared" si="14"/>
        <v>En attente</v>
      </c>
    </row>
    <row r="936" spans="1:34" s="15" customFormat="1" ht="45" hidden="1" customHeight="1" x14ac:dyDescent="0.3">
      <c r="A936" s="42">
        <v>937</v>
      </c>
      <c r="B936" s="19" t="s">
        <v>24</v>
      </c>
      <c r="C936" s="19" t="s">
        <v>11</v>
      </c>
      <c r="D936" s="20" t="s">
        <v>628</v>
      </c>
      <c r="E936" s="20" t="s">
        <v>79</v>
      </c>
      <c r="F936" s="21" t="s">
        <v>80</v>
      </c>
      <c r="G936" s="38" t="s">
        <v>81</v>
      </c>
      <c r="H936" s="39" t="s">
        <v>82</v>
      </c>
      <c r="I936" s="39"/>
      <c r="J936" s="21" t="s">
        <v>124</v>
      </c>
      <c r="K936" s="21" t="s">
        <v>125</v>
      </c>
      <c r="L936" s="21" t="s">
        <v>629</v>
      </c>
      <c r="M936" s="21" t="s">
        <v>136</v>
      </c>
      <c r="N936" s="21" t="s">
        <v>102</v>
      </c>
      <c r="O936" s="20" t="s">
        <v>3234</v>
      </c>
      <c r="P936" s="45">
        <v>45958</v>
      </c>
      <c r="Q936" s="39" t="s">
        <v>3235</v>
      </c>
      <c r="R936" s="19">
        <v>397.47</v>
      </c>
      <c r="S936" s="21">
        <v>0.1</v>
      </c>
      <c r="T936" s="21">
        <v>437.21700000000004</v>
      </c>
      <c r="U936" s="44" t="s">
        <v>3236</v>
      </c>
      <c r="V936" s="22">
        <v>45959</v>
      </c>
      <c r="W936" s="54" t="s">
        <v>91</v>
      </c>
      <c r="X936" s="23"/>
      <c r="Y936" s="23" t="s">
        <v>92</v>
      </c>
      <c r="Z936" s="56" t="s">
        <v>1338</v>
      </c>
      <c r="AA936" s="24">
        <v>862753</v>
      </c>
      <c r="AB936" s="47">
        <v>45989</v>
      </c>
      <c r="AC936" s="46" t="s">
        <v>94</v>
      </c>
      <c r="AD936" s="15" t="str">
        <f ca="1">IF(AND($D936&lt;&gt;"",COUNTIF(OFFSET(UFS!$E$2,MATCH($D936&amp;"",UFS!$A$2:$A$175,0)-1,0,COUNTIF(UFS!$A$2:$A$175,$D936&amp;""),1),M936)&gt;0),"Valide","Invalide")</f>
        <v>Valide</v>
      </c>
      <c r="AH936" s="15" t="str">
        <f t="shared" si="14"/>
        <v>En attente</v>
      </c>
    </row>
    <row r="937" spans="1:34" s="15" customFormat="1" ht="45" customHeight="1" x14ac:dyDescent="0.3">
      <c r="A937" s="42">
        <v>938</v>
      </c>
      <c r="B937" s="19" t="s">
        <v>24</v>
      </c>
      <c r="C937" s="19" t="s">
        <v>11</v>
      </c>
      <c r="D937" s="20" t="s">
        <v>123</v>
      </c>
      <c r="E937" s="20" t="s">
        <v>79</v>
      </c>
      <c r="F937" s="21" t="s">
        <v>80</v>
      </c>
      <c r="G937" s="38" t="s">
        <v>81</v>
      </c>
      <c r="H937" s="39" t="s">
        <v>82</v>
      </c>
      <c r="I937" s="39"/>
      <c r="J937" s="21" t="s">
        <v>124</v>
      </c>
      <c r="K937" s="21" t="s">
        <v>125</v>
      </c>
      <c r="L937" s="21" t="s">
        <v>126</v>
      </c>
      <c r="M937" s="21" t="s">
        <v>109</v>
      </c>
      <c r="N937" s="21" t="s">
        <v>109</v>
      </c>
      <c r="O937" s="20" t="s">
        <v>3237</v>
      </c>
      <c r="P937" s="45">
        <v>45957</v>
      </c>
      <c r="Q937" s="39" t="s">
        <v>3238</v>
      </c>
      <c r="R937" s="53">
        <v>12618.67</v>
      </c>
      <c r="S937" s="21">
        <v>0.1</v>
      </c>
      <c r="T937" s="21">
        <v>13880.537</v>
      </c>
      <c r="U937" s="44" t="s">
        <v>3239</v>
      </c>
      <c r="V937" s="22">
        <v>45959</v>
      </c>
      <c r="W937" s="54" t="s">
        <v>91</v>
      </c>
      <c r="X937" s="23"/>
      <c r="Y937" s="23" t="s">
        <v>376</v>
      </c>
      <c r="Z937" s="56" t="s">
        <v>3240</v>
      </c>
      <c r="AA937" s="24"/>
      <c r="AB937" s="47">
        <v>46037</v>
      </c>
      <c r="AC937" s="49" t="s">
        <v>161</v>
      </c>
      <c r="AD937" s="15" t="str">
        <f ca="1">IF(AND($D937&lt;&gt;"",COUNTIF(OFFSET(UFS!$E$2,MATCH($D937&amp;"",UFS!$A$2:$A$175,0)-1,0,COUNTIF(UFS!$A$2:$A$175,$D937&amp;""),1),M937)&gt;0),"Valide","Invalide")</f>
        <v>Valide</v>
      </c>
      <c r="AH937" s="15" t="str">
        <f t="shared" si="14"/>
        <v>En attente</v>
      </c>
    </row>
    <row r="938" spans="1:34" s="15" customFormat="1" ht="45" hidden="1" customHeight="1" x14ac:dyDescent="0.3">
      <c r="A938" s="42">
        <v>939</v>
      </c>
      <c r="B938" s="19" t="s">
        <v>24</v>
      </c>
      <c r="C938" s="19" t="s">
        <v>28</v>
      </c>
      <c r="D938" s="20" t="s">
        <v>460</v>
      </c>
      <c r="E938" s="20" t="s">
        <v>79</v>
      </c>
      <c r="F938" s="21" t="s">
        <v>80</v>
      </c>
      <c r="G938" s="38" t="s">
        <v>182</v>
      </c>
      <c r="H938" s="39" t="s">
        <v>82</v>
      </c>
      <c r="I938" s="39" t="s">
        <v>83</v>
      </c>
      <c r="J938" s="21" t="s">
        <v>461</v>
      </c>
      <c r="K938" s="21" t="s">
        <v>145</v>
      </c>
      <c r="L938" s="21" t="s">
        <v>120</v>
      </c>
      <c r="M938" s="21" t="s">
        <v>343</v>
      </c>
      <c r="N938" s="21" t="s">
        <v>87</v>
      </c>
      <c r="O938" s="20" t="s">
        <v>3241</v>
      </c>
      <c r="P938" s="45">
        <v>45954</v>
      </c>
      <c r="Q938" s="39" t="s">
        <v>3242</v>
      </c>
      <c r="R938" s="53">
        <v>1445.73</v>
      </c>
      <c r="S938" s="21">
        <v>0.2</v>
      </c>
      <c r="T938" s="21">
        <v>1734.876</v>
      </c>
      <c r="U938" s="44" t="s">
        <v>3243</v>
      </c>
      <c r="V938" s="22">
        <v>45959</v>
      </c>
      <c r="W938" s="54" t="s">
        <v>91</v>
      </c>
      <c r="X938" s="23"/>
      <c r="Y938" s="23" t="s">
        <v>92</v>
      </c>
      <c r="Z938" s="56" t="s">
        <v>1338</v>
      </c>
      <c r="AA938" s="24">
        <v>862754</v>
      </c>
      <c r="AB938" s="47">
        <v>45981</v>
      </c>
      <c r="AC938" s="46" t="s">
        <v>94</v>
      </c>
      <c r="AD938" s="15" t="str">
        <f ca="1">IF(AND($D938&lt;&gt;"",COUNTIF(OFFSET(UFS!$E$2,MATCH($D938&amp;"",UFS!$A$2:$A$175,0)-1,0,COUNTIF(UFS!$A$2:$A$175,$D938&amp;""),1),M938)&gt;0),"Valide","Invalide")</f>
        <v>Valide</v>
      </c>
      <c r="AH938" s="15" t="str">
        <f t="shared" si="14"/>
        <v>En attente</v>
      </c>
    </row>
    <row r="939" spans="1:34" s="15" customFormat="1" ht="45" hidden="1" customHeight="1" x14ac:dyDescent="0.3">
      <c r="A939" s="42">
        <v>940</v>
      </c>
      <c r="B939" s="19" t="s">
        <v>16</v>
      </c>
      <c r="C939" s="19" t="s">
        <v>30</v>
      </c>
      <c r="D939" s="20" t="s">
        <v>2763</v>
      </c>
      <c r="E939" s="20" t="s">
        <v>79</v>
      </c>
      <c r="F939" s="21" t="s">
        <v>80</v>
      </c>
      <c r="G939" s="38" t="s">
        <v>182</v>
      </c>
      <c r="H939" s="39"/>
      <c r="I939" s="39" t="s">
        <v>83</v>
      </c>
      <c r="J939" s="21" t="s">
        <v>144</v>
      </c>
      <c r="K939" s="21" t="s">
        <v>145</v>
      </c>
      <c r="L939" s="21" t="s">
        <v>636</v>
      </c>
      <c r="M939" s="21" t="s">
        <v>2764</v>
      </c>
      <c r="N939" s="21" t="s">
        <v>271</v>
      </c>
      <c r="O939" s="20" t="s">
        <v>3244</v>
      </c>
      <c r="P939" s="45">
        <v>45954</v>
      </c>
      <c r="Q939" s="39" t="s">
        <v>3245</v>
      </c>
      <c r="R939" s="19">
        <v>1628.06</v>
      </c>
      <c r="S939" s="21">
        <v>0.2</v>
      </c>
      <c r="T939" s="21">
        <v>1953.672</v>
      </c>
      <c r="U939" s="60" t="s">
        <v>3246</v>
      </c>
      <c r="V939" s="22">
        <v>45959</v>
      </c>
      <c r="W939" s="54" t="s">
        <v>91</v>
      </c>
      <c r="X939" s="23"/>
      <c r="Y939" s="23" t="s">
        <v>92</v>
      </c>
      <c r="Z939" s="56" t="s">
        <v>3247</v>
      </c>
      <c r="AA939" s="24">
        <v>862911</v>
      </c>
      <c r="AB939" s="45">
        <v>45959</v>
      </c>
      <c r="AC939" s="46" t="s">
        <v>94</v>
      </c>
      <c r="AD939" s="15" t="str">
        <f ca="1">IF(AND($D939&lt;&gt;"",COUNTIF(OFFSET(UFS!$E$2,MATCH($D939&amp;"",UFS!$A$2:$A$175,0)-1,0,COUNTIF(UFS!$A$2:$A$175,$D939&amp;""),1),M939)&gt;0),"Valide","Invalide")</f>
        <v>Valide</v>
      </c>
      <c r="AH939" s="15" t="str">
        <f t="shared" si="14"/>
        <v>En attente</v>
      </c>
    </row>
    <row r="940" spans="1:34" s="15" customFormat="1" ht="45" hidden="1" customHeight="1" x14ac:dyDescent="0.3">
      <c r="A940" s="42">
        <v>941</v>
      </c>
      <c r="B940" s="19" t="s">
        <v>26</v>
      </c>
      <c r="C940" s="19" t="s">
        <v>15</v>
      </c>
      <c r="D940" s="20" t="s">
        <v>582</v>
      </c>
      <c r="E940" s="20" t="s">
        <v>79</v>
      </c>
      <c r="F940" s="21" t="s">
        <v>80</v>
      </c>
      <c r="G940" s="38" t="s">
        <v>182</v>
      </c>
      <c r="H940" s="39" t="s">
        <v>577</v>
      </c>
      <c r="I940" s="39" t="s">
        <v>83</v>
      </c>
      <c r="J940" s="21" t="s">
        <v>144</v>
      </c>
      <c r="K940" s="21" t="s">
        <v>145</v>
      </c>
      <c r="L940" s="21" t="s">
        <v>328</v>
      </c>
      <c r="M940" s="21" t="s">
        <v>2528</v>
      </c>
      <c r="N940" s="21" t="s">
        <v>102</v>
      </c>
      <c r="O940" s="20" t="s">
        <v>3248</v>
      </c>
      <c r="P940" s="45">
        <v>45901</v>
      </c>
      <c r="Q940" s="39" t="s">
        <v>3249</v>
      </c>
      <c r="R940" s="19">
        <v>1701.36</v>
      </c>
      <c r="S940" s="21">
        <v>0.1</v>
      </c>
      <c r="T940" s="21">
        <v>1871.4959999999999</v>
      </c>
      <c r="U940" s="44" t="s">
        <v>3250</v>
      </c>
      <c r="V940" s="22">
        <v>45959</v>
      </c>
      <c r="W940" s="54" t="s">
        <v>91</v>
      </c>
      <c r="X940" s="23"/>
      <c r="Y940" s="23" t="s">
        <v>92</v>
      </c>
      <c r="Z940" s="56" t="s">
        <v>1338</v>
      </c>
      <c r="AA940" s="24">
        <v>862756</v>
      </c>
      <c r="AB940" s="19"/>
      <c r="AC940" s="46" t="s">
        <v>94</v>
      </c>
      <c r="AD940" s="15" t="str">
        <f ca="1">IF(AND($D940&lt;&gt;"",COUNTIF(OFFSET(UFS!$E$2,MATCH($D940&amp;"",UFS!$A$2:$A$175,0)-1,0,COUNTIF(UFS!$A$2:$A$175,$D940&amp;""),1),M940)&gt;0),"Valide","Invalide")</f>
        <v>Valide</v>
      </c>
      <c r="AH940" s="15" t="str">
        <f t="shared" si="14"/>
        <v>En attente</v>
      </c>
    </row>
    <row r="941" spans="1:34" s="15" customFormat="1" ht="45" hidden="1" customHeight="1" x14ac:dyDescent="0.3">
      <c r="A941" s="42">
        <v>942</v>
      </c>
      <c r="B941" s="19" t="s">
        <v>20</v>
      </c>
      <c r="C941" s="19" t="s">
        <v>1</v>
      </c>
      <c r="D941" s="20" t="s">
        <v>181</v>
      </c>
      <c r="E941" s="20" t="s">
        <v>79</v>
      </c>
      <c r="F941" s="21" t="s">
        <v>80</v>
      </c>
      <c r="G941" s="38" t="s">
        <v>182</v>
      </c>
      <c r="H941" s="39" t="s">
        <v>82</v>
      </c>
      <c r="I941" s="39" t="s">
        <v>83</v>
      </c>
      <c r="J941" s="21" t="s">
        <v>183</v>
      </c>
      <c r="K941" s="21" t="s">
        <v>184</v>
      </c>
      <c r="L941" s="21" t="s">
        <v>185</v>
      </c>
      <c r="M941" s="21" t="s">
        <v>186</v>
      </c>
      <c r="N941" s="21" t="s">
        <v>102</v>
      </c>
      <c r="O941" s="20" t="s">
        <v>3251</v>
      </c>
      <c r="P941" s="45">
        <v>45951</v>
      </c>
      <c r="Q941" s="39" t="s">
        <v>3252</v>
      </c>
      <c r="R941" s="19">
        <v>2469.48</v>
      </c>
      <c r="S941" s="21">
        <v>0.1</v>
      </c>
      <c r="T941" s="21">
        <v>2716.4279999999999</v>
      </c>
      <c r="U941" s="44" t="s">
        <v>439</v>
      </c>
      <c r="V941" s="22">
        <v>45959</v>
      </c>
      <c r="W941" s="54" t="s">
        <v>91</v>
      </c>
      <c r="X941" s="23"/>
      <c r="Y941" s="23" t="s">
        <v>92</v>
      </c>
      <c r="Z941" s="56" t="s">
        <v>1338</v>
      </c>
      <c r="AA941" s="24">
        <v>862562</v>
      </c>
      <c r="AB941" s="19"/>
      <c r="AC941" s="46" t="s">
        <v>94</v>
      </c>
      <c r="AD941" s="15" t="str">
        <f ca="1">IF(AND($D941&lt;&gt;"",COUNTIF(OFFSET(UFS!$E$2,MATCH($D941&amp;"",UFS!$A$2:$A$175,0)-1,0,COUNTIF(UFS!$A$2:$A$175,$D941&amp;""),1),M941)&gt;0),"Valide","Invalide")</f>
        <v>Valide</v>
      </c>
      <c r="AH941" s="15" t="str">
        <f t="shared" si="14"/>
        <v>En attente</v>
      </c>
    </row>
    <row r="942" spans="1:34" s="15" customFormat="1" ht="45" hidden="1" customHeight="1" x14ac:dyDescent="0.3">
      <c r="A942" s="42">
        <v>943</v>
      </c>
      <c r="B942" s="19" t="s">
        <v>16</v>
      </c>
      <c r="C942" s="19" t="s">
        <v>11</v>
      </c>
      <c r="D942" s="20" t="s">
        <v>340</v>
      </c>
      <c r="E942" s="20" t="s">
        <v>79</v>
      </c>
      <c r="F942" s="21" t="s">
        <v>80</v>
      </c>
      <c r="G942" s="38" t="s">
        <v>81</v>
      </c>
      <c r="H942" s="39" t="s">
        <v>82</v>
      </c>
      <c r="I942" s="39"/>
      <c r="J942" s="21" t="s">
        <v>341</v>
      </c>
      <c r="K942" s="21" t="s">
        <v>145</v>
      </c>
      <c r="L942" s="21" t="s">
        <v>342</v>
      </c>
      <c r="M942" s="21" t="s">
        <v>343</v>
      </c>
      <c r="N942" s="21" t="s">
        <v>151</v>
      </c>
      <c r="O942" s="20" t="s">
        <v>3253</v>
      </c>
      <c r="P942" s="45">
        <v>45960</v>
      </c>
      <c r="Q942" s="39" t="s">
        <v>3254</v>
      </c>
      <c r="R942" s="19">
        <v>4100.4799999999996</v>
      </c>
      <c r="S942" s="21">
        <v>0.2</v>
      </c>
      <c r="T942" s="21">
        <v>4920.5759999999991</v>
      </c>
      <c r="U942" s="44" t="s">
        <v>3255</v>
      </c>
      <c r="V942" s="22">
        <v>45961</v>
      </c>
      <c r="W942" s="54" t="s">
        <v>91</v>
      </c>
      <c r="X942" s="23"/>
      <c r="Y942" s="23" t="s">
        <v>92</v>
      </c>
      <c r="Z942" s="150" t="s">
        <v>1338</v>
      </c>
      <c r="AA942" s="24">
        <v>863282</v>
      </c>
      <c r="AB942" s="19" t="s">
        <v>3256</v>
      </c>
      <c r="AC942" s="19"/>
      <c r="AD942" s="15" t="str">
        <f ca="1">IF(AND($D942&lt;&gt;"",COUNTIF(OFFSET(UFS!$E$2,MATCH($D942&amp;"",UFS!$A$2:$A$175,0)-1,0,COUNTIF(UFS!$A$2:$A$175,$D942&amp;""),1),M942)&gt;0),"Valide","Invalide")</f>
        <v>Valide</v>
      </c>
      <c r="AH942" s="15" t="str">
        <f t="shared" si="14"/>
        <v>En attente</v>
      </c>
    </row>
    <row r="943" spans="1:34" s="15" customFormat="1" ht="45" hidden="1" customHeight="1" x14ac:dyDescent="0.3">
      <c r="A943" s="42">
        <v>944</v>
      </c>
      <c r="B943" s="19" t="s">
        <v>14</v>
      </c>
      <c r="C943" s="19" t="s">
        <v>1334</v>
      </c>
      <c r="D943" s="20" t="s">
        <v>200</v>
      </c>
      <c r="E943" s="20" t="s">
        <v>96</v>
      </c>
      <c r="F943" s="21" t="s">
        <v>80</v>
      </c>
      <c r="G943" s="38" t="s">
        <v>681</v>
      </c>
      <c r="H943" s="39"/>
      <c r="I943" s="39" t="s">
        <v>2851</v>
      </c>
      <c r="J943" s="21" t="s">
        <v>144</v>
      </c>
      <c r="K943" s="21" t="s">
        <v>145</v>
      </c>
      <c r="L943" s="21" t="s">
        <v>203</v>
      </c>
      <c r="M943" s="21" t="s">
        <v>109</v>
      </c>
      <c r="N943" s="21" t="s">
        <v>109</v>
      </c>
      <c r="O943" s="20" t="s">
        <v>3257</v>
      </c>
      <c r="P943" s="45">
        <v>45946</v>
      </c>
      <c r="Q943" s="39" t="s">
        <v>3258</v>
      </c>
      <c r="R943" s="53">
        <v>33643.5</v>
      </c>
      <c r="S943" s="21">
        <v>0.2</v>
      </c>
      <c r="T943" s="21">
        <v>40372.199999999997</v>
      </c>
      <c r="U943" s="44" t="s">
        <v>3259</v>
      </c>
      <c r="V943" s="22">
        <v>45961</v>
      </c>
      <c r="W943" s="54" t="s">
        <v>91</v>
      </c>
      <c r="X943" s="23"/>
      <c r="Y943" s="23" t="s">
        <v>92</v>
      </c>
      <c r="Z943" s="56" t="s">
        <v>3260</v>
      </c>
      <c r="AA943" s="24">
        <v>863030</v>
      </c>
      <c r="AB943" s="19"/>
      <c r="AC943" s="19"/>
      <c r="AD943" s="15" t="e">
        <f ca="1">IF(AND($D943&lt;&gt;"",COUNTIF(OFFSET(UFS!$E$2,MATCH($D943&amp;"",UFS!$A$2:$A$175,0)-1,0,COUNTIF(UFS!$A$2:$A$175,$D943&amp;""),1),M943)&gt;0),"Valide","Invalide")</f>
        <v>#N/A</v>
      </c>
      <c r="AH943" s="15" t="str">
        <f t="shared" si="14"/>
        <v>En attente</v>
      </c>
    </row>
    <row r="944" spans="1:34" s="15" customFormat="1" ht="45" hidden="1" customHeight="1" x14ac:dyDescent="0.3">
      <c r="A944" s="42">
        <v>945</v>
      </c>
      <c r="B944" s="19" t="s">
        <v>4</v>
      </c>
      <c r="C944" s="19" t="s">
        <v>17</v>
      </c>
      <c r="D944" s="20" t="s">
        <v>516</v>
      </c>
      <c r="E944" s="20" t="s">
        <v>79</v>
      </c>
      <c r="F944" s="21" t="s">
        <v>80</v>
      </c>
      <c r="G944" s="38" t="s">
        <v>241</v>
      </c>
      <c r="H944" s="39" t="s">
        <v>517</v>
      </c>
      <c r="I944" s="39" t="s">
        <v>518</v>
      </c>
      <c r="J944" s="21" t="s">
        <v>497</v>
      </c>
      <c r="K944" s="21" t="s">
        <v>498</v>
      </c>
      <c r="L944" s="21" t="s">
        <v>499</v>
      </c>
      <c r="M944" s="21" t="s">
        <v>498</v>
      </c>
      <c r="N944" s="21" t="s">
        <v>151</v>
      </c>
      <c r="O944" s="20" t="s">
        <v>3261</v>
      </c>
      <c r="P944" s="45">
        <v>45936</v>
      </c>
      <c r="Q944" s="39" t="s">
        <v>3262</v>
      </c>
      <c r="R944" s="19">
        <v>4704.46</v>
      </c>
      <c r="S944" s="21">
        <v>0.2</v>
      </c>
      <c r="T944" s="21">
        <v>5645.3519999999999</v>
      </c>
      <c r="U944" s="44" t="s">
        <v>1484</v>
      </c>
      <c r="V944" s="22">
        <v>45964</v>
      </c>
      <c r="W944" s="54" t="s">
        <v>91</v>
      </c>
      <c r="X944" s="23"/>
      <c r="Y944" s="23" t="s">
        <v>92</v>
      </c>
      <c r="Z944" s="56" t="s">
        <v>3263</v>
      </c>
      <c r="AA944" s="24"/>
      <c r="AB944" s="19"/>
      <c r="AC944" s="19"/>
      <c r="AD944" s="15" t="str">
        <f ca="1">IF(AND($D944&lt;&gt;"",COUNTIF(OFFSET(UFS!$E$2,MATCH($D944&amp;"",UFS!$A$2:$A$175,0)-1,0,COUNTIF(UFS!$A$2:$A$175,$D944&amp;""),1),M944)&gt;0),"Valide","Invalide")</f>
        <v>Valide</v>
      </c>
      <c r="AH944" s="15" t="str">
        <f t="shared" si="14"/>
        <v>En attente</v>
      </c>
    </row>
    <row r="945" spans="1:34" s="15" customFormat="1" ht="45" hidden="1" customHeight="1" x14ac:dyDescent="0.3">
      <c r="A945" s="42">
        <v>946</v>
      </c>
      <c r="B945" s="19" t="s">
        <v>4</v>
      </c>
      <c r="C945" s="19" t="s">
        <v>36</v>
      </c>
      <c r="D945" s="20" t="s">
        <v>1899</v>
      </c>
      <c r="E945" s="20" t="s">
        <v>79</v>
      </c>
      <c r="F945" s="21" t="s">
        <v>80</v>
      </c>
      <c r="G945" s="38" t="s">
        <v>241</v>
      </c>
      <c r="H945" s="39" t="s">
        <v>252</v>
      </c>
      <c r="I945" s="39" t="s">
        <v>253</v>
      </c>
      <c r="J945" s="21" t="s">
        <v>144</v>
      </c>
      <c r="K945" s="21" t="s">
        <v>145</v>
      </c>
      <c r="L945" s="21" t="s">
        <v>192</v>
      </c>
      <c r="M945" s="21" t="s">
        <v>1900</v>
      </c>
      <c r="N945" s="21" t="s">
        <v>102</v>
      </c>
      <c r="O945" s="20" t="s">
        <v>3264</v>
      </c>
      <c r="P945" s="45">
        <v>45961</v>
      </c>
      <c r="Q945" s="39" t="s">
        <v>2746</v>
      </c>
      <c r="R945" s="53">
        <v>6565</v>
      </c>
      <c r="S945" s="21">
        <v>0.1</v>
      </c>
      <c r="T945" s="21">
        <v>7221.5</v>
      </c>
      <c r="U945" s="44" t="s">
        <v>399</v>
      </c>
      <c r="V945" s="22">
        <v>45964</v>
      </c>
      <c r="W945" s="54" t="s">
        <v>91</v>
      </c>
      <c r="X945" s="23"/>
      <c r="Y945" s="23" t="s">
        <v>92</v>
      </c>
      <c r="Z945" s="56" t="s">
        <v>1338</v>
      </c>
      <c r="AA945" s="24">
        <v>862786</v>
      </c>
      <c r="AB945" s="19"/>
      <c r="AC945" s="19"/>
      <c r="AD945" s="15" t="str">
        <f ca="1">IF(AND($D945&lt;&gt;"",COUNTIF(OFFSET(UFS!$E$2,MATCH($D945&amp;"",UFS!$A$2:$A$175,0)-1,0,COUNTIF(UFS!$A$2:$A$175,$D945&amp;""),1),M945)&gt;0),"Valide","Invalide")</f>
        <v>Valide</v>
      </c>
      <c r="AH945" s="15" t="str">
        <f t="shared" si="14"/>
        <v>En attente</v>
      </c>
    </row>
    <row r="946" spans="1:34" s="15" customFormat="1" ht="34.200000000000003" hidden="1" customHeight="1" x14ac:dyDescent="0.3">
      <c r="A946" s="42">
        <v>947</v>
      </c>
      <c r="B946" s="19" t="s">
        <v>14</v>
      </c>
      <c r="C946" s="19" t="s">
        <v>13</v>
      </c>
      <c r="D946" s="20" t="s">
        <v>200</v>
      </c>
      <c r="E946" s="20" t="s">
        <v>96</v>
      </c>
      <c r="F946" s="21" t="s">
        <v>80</v>
      </c>
      <c r="G946" s="38" t="s">
        <v>681</v>
      </c>
      <c r="H946" s="39"/>
      <c r="I946" s="39" t="s">
        <v>2851</v>
      </c>
      <c r="J946" s="21" t="s">
        <v>144</v>
      </c>
      <c r="K946" s="21" t="s">
        <v>145</v>
      </c>
      <c r="L946" s="21" t="s">
        <v>203</v>
      </c>
      <c r="M946" s="21" t="s">
        <v>109</v>
      </c>
      <c r="N946" s="21" t="s">
        <v>109</v>
      </c>
      <c r="O946" s="152" t="s">
        <v>3265</v>
      </c>
      <c r="P946" s="45">
        <v>45964</v>
      </c>
      <c r="Q946" s="39" t="s">
        <v>3266</v>
      </c>
      <c r="R946" s="19">
        <v>24788.37</v>
      </c>
      <c r="S946" s="21">
        <v>0.2</v>
      </c>
      <c r="T946" s="21">
        <v>29746.043999999998</v>
      </c>
      <c r="U946" s="60" t="s">
        <v>3267</v>
      </c>
      <c r="V946" s="22">
        <v>45964</v>
      </c>
      <c r="W946" s="54" t="s">
        <v>91</v>
      </c>
      <c r="X946" s="23"/>
      <c r="Y946" s="23" t="s">
        <v>92</v>
      </c>
      <c r="Z946" s="56" t="s">
        <v>3268</v>
      </c>
      <c r="AA946" s="24">
        <v>863031</v>
      </c>
      <c r="AB946" s="19"/>
      <c r="AC946" s="19"/>
      <c r="AD946" s="15" t="e">
        <f ca="1">IF(AND($D946&lt;&gt;"",COUNTIF(OFFSET(UFS!$E$2,MATCH($D946&amp;"",UFS!$A$2:$A$175,0)-1,0,COUNTIF(UFS!$A$2:$A$175,$D946&amp;""),1),M946)&gt;0),"Valide","Invalide")</f>
        <v>#N/A</v>
      </c>
      <c r="AH946" s="15" t="str">
        <f t="shared" si="14"/>
        <v>En attente</v>
      </c>
    </row>
    <row r="947" spans="1:34" s="15" customFormat="1" ht="30" hidden="1" customHeight="1" x14ac:dyDescent="0.3">
      <c r="A947" s="42">
        <v>948</v>
      </c>
      <c r="B947" s="19" t="s">
        <v>16</v>
      </c>
      <c r="C947" s="19" t="s">
        <v>30</v>
      </c>
      <c r="D947" s="20" t="s">
        <v>340</v>
      </c>
      <c r="E947" s="20" t="s">
        <v>79</v>
      </c>
      <c r="F947" s="21" t="s">
        <v>80</v>
      </c>
      <c r="G947" s="38" t="s">
        <v>81</v>
      </c>
      <c r="H947" s="39" t="s">
        <v>82</v>
      </c>
      <c r="I947" s="39" t="s">
        <v>83</v>
      </c>
      <c r="J947" s="21" t="s">
        <v>341</v>
      </c>
      <c r="K947" s="21" t="s">
        <v>145</v>
      </c>
      <c r="L947" s="21" t="s">
        <v>342</v>
      </c>
      <c r="M947" s="21" t="s">
        <v>343</v>
      </c>
      <c r="N947" s="21" t="s">
        <v>151</v>
      </c>
      <c r="O947" s="20" t="s">
        <v>3269</v>
      </c>
      <c r="P947" s="45">
        <v>45964</v>
      </c>
      <c r="Q947" s="39" t="s">
        <v>3270</v>
      </c>
      <c r="R947" s="19">
        <v>5959.01</v>
      </c>
      <c r="S947" s="21">
        <v>0.2</v>
      </c>
      <c r="T947" s="21">
        <v>7150.8119999999999</v>
      </c>
      <c r="U947" s="44" t="s">
        <v>3271</v>
      </c>
      <c r="V947" s="22">
        <v>45964</v>
      </c>
      <c r="W947" s="54" t="s">
        <v>91</v>
      </c>
      <c r="X947" s="23"/>
      <c r="Y947" s="23" t="s">
        <v>92</v>
      </c>
      <c r="Z947" s="56" t="s">
        <v>1338</v>
      </c>
      <c r="AA947" s="24">
        <v>862745</v>
      </c>
      <c r="AB947" s="19"/>
      <c r="AC947" s="46" t="s">
        <v>94</v>
      </c>
      <c r="AD947" s="15" t="str">
        <f ca="1">IF(AND($D947&lt;&gt;"",COUNTIF(OFFSET(UFS!$E$2,MATCH($D947&amp;"",UFS!$A$2:$A$175,0)-1,0,COUNTIF(UFS!$A$2:$A$175,$D947&amp;""),1),M947)&gt;0),"Valide","Invalide")</f>
        <v>Valide</v>
      </c>
      <c r="AH947" s="15" t="str">
        <f t="shared" si="14"/>
        <v>En attente</v>
      </c>
    </row>
    <row r="948" spans="1:34" s="15" customFormat="1" ht="57.6" hidden="1" customHeight="1" x14ac:dyDescent="0.3">
      <c r="A948" s="42">
        <v>949</v>
      </c>
      <c r="B948" s="19" t="s">
        <v>20</v>
      </c>
      <c r="C948" s="19" t="s">
        <v>37</v>
      </c>
      <c r="D948" s="20" t="s">
        <v>413</v>
      </c>
      <c r="E948" s="20" t="s">
        <v>79</v>
      </c>
      <c r="F948" s="21" t="s">
        <v>80</v>
      </c>
      <c r="G948" s="38" t="s">
        <v>241</v>
      </c>
      <c r="H948" s="39" t="s">
        <v>367</v>
      </c>
      <c r="I948" s="39" t="s">
        <v>368</v>
      </c>
      <c r="J948" s="21" t="s">
        <v>183</v>
      </c>
      <c r="K948" s="21" t="s">
        <v>184</v>
      </c>
      <c r="L948" s="21" t="s">
        <v>185</v>
      </c>
      <c r="M948" s="21" t="s">
        <v>109</v>
      </c>
      <c r="N948" s="21" t="s">
        <v>109</v>
      </c>
      <c r="O948" s="20" t="s">
        <v>3272</v>
      </c>
      <c r="P948" s="45">
        <v>45959</v>
      </c>
      <c r="Q948" s="39" t="s">
        <v>3273</v>
      </c>
      <c r="R948" s="19">
        <v>419.72</v>
      </c>
      <c r="S948" s="21">
        <v>0.1</v>
      </c>
      <c r="T948" s="21">
        <v>461.69200000000001</v>
      </c>
      <c r="U948" s="60" t="s">
        <v>371</v>
      </c>
      <c r="V948" s="22">
        <v>45964</v>
      </c>
      <c r="W948" s="54" t="s">
        <v>91</v>
      </c>
      <c r="X948" s="23"/>
      <c r="Y948" s="23" t="s">
        <v>92</v>
      </c>
      <c r="Z948" s="56" t="s">
        <v>1338</v>
      </c>
      <c r="AA948" s="24">
        <v>862740</v>
      </c>
      <c r="AB948" s="19"/>
      <c r="AC948" s="46" t="s">
        <v>94</v>
      </c>
      <c r="AD948" s="15" t="str">
        <f ca="1">IF(AND($D948&lt;&gt;"",COUNTIF(OFFSET(UFS!$E$2,MATCH($D948&amp;"",UFS!$A$2:$A$175,0)-1,0,COUNTIF(UFS!$A$2:$A$175,$D948&amp;""),1),M948)&gt;0),"Valide","Invalide")</f>
        <v>Valide</v>
      </c>
      <c r="AH948" s="15" t="str">
        <f t="shared" si="14"/>
        <v>En attente</v>
      </c>
    </row>
    <row r="949" spans="1:34" s="15" customFormat="1" ht="117.6" hidden="1" customHeight="1" x14ac:dyDescent="0.3">
      <c r="A949" s="42">
        <v>950</v>
      </c>
      <c r="B949" s="19" t="s">
        <v>16</v>
      </c>
      <c r="C949" s="19" t="s">
        <v>35</v>
      </c>
      <c r="D949" s="20" t="s">
        <v>468</v>
      </c>
      <c r="E949" s="20" t="s">
        <v>79</v>
      </c>
      <c r="F949" s="21" t="s">
        <v>80</v>
      </c>
      <c r="G949" s="38" t="s">
        <v>81</v>
      </c>
      <c r="H949" s="39"/>
      <c r="I949" s="39" t="s">
        <v>83</v>
      </c>
      <c r="J949" s="21" t="s">
        <v>144</v>
      </c>
      <c r="K949" s="21" t="s">
        <v>145</v>
      </c>
      <c r="L949" s="21" t="s">
        <v>278</v>
      </c>
      <c r="M949" s="21" t="s">
        <v>469</v>
      </c>
      <c r="N949" s="21" t="s">
        <v>87</v>
      </c>
      <c r="O949" s="20" t="s">
        <v>3274</v>
      </c>
      <c r="P949" s="45">
        <v>45964</v>
      </c>
      <c r="Q949" s="39" t="s">
        <v>3275</v>
      </c>
      <c r="R949" s="19">
        <v>902.01</v>
      </c>
      <c r="S949" s="21">
        <v>0.2</v>
      </c>
      <c r="T949" s="21">
        <v>1082.412</v>
      </c>
      <c r="U949" s="44" t="s">
        <v>3276</v>
      </c>
      <c r="V949" s="22">
        <v>45964</v>
      </c>
      <c r="W949" s="54" t="s">
        <v>91</v>
      </c>
      <c r="X949" s="23"/>
      <c r="Y949" s="23" t="s">
        <v>92</v>
      </c>
      <c r="Z949" s="56" t="s">
        <v>1338</v>
      </c>
      <c r="AA949" s="24">
        <v>862738</v>
      </c>
      <c r="AB949" s="19"/>
      <c r="AC949" s="46" t="s">
        <v>94</v>
      </c>
      <c r="AD949" s="15" t="str">
        <f ca="1">IF(AND($D949&lt;&gt;"",COUNTIF(OFFSET(UFS!$E$2,MATCH($D949&amp;"",UFS!$A$2:$A$175,0)-1,0,COUNTIF(UFS!$A$2:$A$175,$D949&amp;""),1),M949)&gt;0),"Valide","Invalide")</f>
        <v>Valide</v>
      </c>
      <c r="AH949" s="15" t="str">
        <f t="shared" si="14"/>
        <v>En attente</v>
      </c>
    </row>
    <row r="950" spans="1:34" s="15" customFormat="1" ht="45" hidden="1" customHeight="1" x14ac:dyDescent="0.3">
      <c r="A950" s="42">
        <v>951</v>
      </c>
      <c r="B950" s="19" t="s">
        <v>26</v>
      </c>
      <c r="C950" s="19" t="s">
        <v>35</v>
      </c>
      <c r="D950" s="20" t="s">
        <v>95</v>
      </c>
      <c r="E950" s="20" t="s">
        <v>96</v>
      </c>
      <c r="F950" s="21" t="s">
        <v>80</v>
      </c>
      <c r="G950" s="38" t="s">
        <v>175</v>
      </c>
      <c r="H950" s="39"/>
      <c r="I950" s="39" t="s">
        <v>3277</v>
      </c>
      <c r="J950" s="21" t="s">
        <v>98</v>
      </c>
      <c r="K950" s="21" t="s">
        <v>99</v>
      </c>
      <c r="L950" s="21" t="s">
        <v>100</v>
      </c>
      <c r="M950" s="21" t="s">
        <v>101</v>
      </c>
      <c r="N950" s="21" t="s">
        <v>102</v>
      </c>
      <c r="O950" s="20" t="s">
        <v>3278</v>
      </c>
      <c r="P950" s="45">
        <v>45964</v>
      </c>
      <c r="Q950" s="39" t="s">
        <v>3279</v>
      </c>
      <c r="R950" s="19">
        <v>1353.65</v>
      </c>
      <c r="S950" s="21">
        <v>0.1</v>
      </c>
      <c r="T950" s="21">
        <v>1489.0150000000001</v>
      </c>
      <c r="U950" s="44" t="s">
        <v>3280</v>
      </c>
      <c r="V950" s="22">
        <v>45965</v>
      </c>
      <c r="W950" s="54" t="s">
        <v>91</v>
      </c>
      <c r="X950" s="23"/>
      <c r="Y950" s="23" t="s">
        <v>92</v>
      </c>
      <c r="Z950" s="56" t="s">
        <v>1338</v>
      </c>
      <c r="AA950" s="24">
        <v>862917</v>
      </c>
      <c r="AB950" s="19"/>
      <c r="AC950" s="46" t="s">
        <v>94</v>
      </c>
      <c r="AD950" s="15" t="str">
        <f ca="1">IF(AND($D950&lt;&gt;"",COUNTIF(OFFSET(UFS!$E$2,MATCH($D950&amp;"",UFS!$A$2:$A$175,0)-1,0,COUNTIF(UFS!$A$2:$A$175,$D950&amp;""),1),M950)&gt;0),"Valide","Invalide")</f>
        <v>Valide</v>
      </c>
      <c r="AH950" s="15" t="str">
        <f t="shared" si="14"/>
        <v>En attente</v>
      </c>
    </row>
    <row r="951" spans="1:34" s="15" customFormat="1" ht="45" hidden="1" customHeight="1" x14ac:dyDescent="0.3">
      <c r="A951" s="42">
        <v>952</v>
      </c>
      <c r="B951" s="19" t="s">
        <v>2</v>
      </c>
      <c r="C951" s="19" t="s">
        <v>1757</v>
      </c>
      <c r="D951" s="20" t="s">
        <v>200</v>
      </c>
      <c r="E951" s="20" t="s">
        <v>79</v>
      </c>
      <c r="F951" s="21" t="s">
        <v>80</v>
      </c>
      <c r="G951" s="38" t="s">
        <v>1169</v>
      </c>
      <c r="H951" s="39" t="s">
        <v>1085</v>
      </c>
      <c r="I951" s="39"/>
      <c r="J951" s="21" t="s">
        <v>144</v>
      </c>
      <c r="K951" s="21" t="s">
        <v>145</v>
      </c>
      <c r="L951" s="21" t="s">
        <v>203</v>
      </c>
      <c r="M951" s="21" t="s">
        <v>109</v>
      </c>
      <c r="N951" s="21" t="s">
        <v>109</v>
      </c>
      <c r="O951" s="20" t="s">
        <v>3281</v>
      </c>
      <c r="P951" s="45">
        <v>45965</v>
      </c>
      <c r="Q951" s="39" t="s">
        <v>2562</v>
      </c>
      <c r="R951" s="19">
        <v>1280</v>
      </c>
      <c r="S951" s="21">
        <v>0.2</v>
      </c>
      <c r="T951" s="21">
        <v>1536</v>
      </c>
      <c r="U951" s="60" t="s">
        <v>2563</v>
      </c>
      <c r="V951" s="22">
        <v>45965</v>
      </c>
      <c r="W951" s="54" t="s">
        <v>91</v>
      </c>
      <c r="X951" s="23"/>
      <c r="Y951" s="23" t="s">
        <v>92</v>
      </c>
      <c r="Z951" s="56" t="s">
        <v>2564</v>
      </c>
      <c r="AA951" s="24">
        <v>862923</v>
      </c>
      <c r="AB951" s="19"/>
      <c r="AC951" s="19"/>
      <c r="AD951" s="15" t="e">
        <f ca="1">IF(AND($D951&lt;&gt;"",COUNTIF(OFFSET(UFS!$E$2,MATCH($D951&amp;"",UFS!$A$2:$A$175,0)-1,0,COUNTIF(UFS!$A$2:$A$175,$D951&amp;""),1),M951)&gt;0),"Valide","Invalide")</f>
        <v>#N/A</v>
      </c>
      <c r="AH951" s="15" t="str">
        <f t="shared" si="14"/>
        <v>En attente</v>
      </c>
    </row>
    <row r="952" spans="1:34" s="15" customFormat="1" ht="45" hidden="1" customHeight="1" x14ac:dyDescent="0.3">
      <c r="A952" s="42">
        <v>953</v>
      </c>
      <c r="B952" s="19" t="s">
        <v>26</v>
      </c>
      <c r="C952" s="19" t="s">
        <v>35</v>
      </c>
      <c r="D952" s="20" t="s">
        <v>1669</v>
      </c>
      <c r="E952" s="20" t="s">
        <v>96</v>
      </c>
      <c r="F952" s="21" t="s">
        <v>80</v>
      </c>
      <c r="G952" s="38" t="s">
        <v>201</v>
      </c>
      <c r="H952" s="39"/>
      <c r="I952" s="39" t="s">
        <v>2311</v>
      </c>
      <c r="J952" s="21" t="s">
        <v>144</v>
      </c>
      <c r="K952" s="21" t="s">
        <v>145</v>
      </c>
      <c r="L952" s="21" t="s">
        <v>146</v>
      </c>
      <c r="M952" s="21" t="s">
        <v>1671</v>
      </c>
      <c r="N952" s="21" t="s">
        <v>813</v>
      </c>
      <c r="O952" s="20" t="s">
        <v>3282</v>
      </c>
      <c r="P952" s="45">
        <v>45964</v>
      </c>
      <c r="Q952" s="39" t="s">
        <v>3283</v>
      </c>
      <c r="R952" s="19">
        <v>1734.74</v>
      </c>
      <c r="S952" s="21">
        <v>0.1</v>
      </c>
      <c r="T952" s="21">
        <v>1908.2139999999999</v>
      </c>
      <c r="U952" s="44" t="s">
        <v>3284</v>
      </c>
      <c r="V952" s="22">
        <v>45965</v>
      </c>
      <c r="W952" s="54" t="s">
        <v>91</v>
      </c>
      <c r="X952" s="23"/>
      <c r="Y952" s="23" t="s">
        <v>92</v>
      </c>
      <c r="Z952" s="56" t="s">
        <v>1338</v>
      </c>
      <c r="AA952" s="24">
        <v>862927</v>
      </c>
      <c r="AB952" s="19"/>
      <c r="AC952" s="46" t="s">
        <v>94</v>
      </c>
      <c r="AD952" s="15" t="str">
        <f ca="1">IF(AND($D952&lt;&gt;"",COUNTIF(OFFSET(UFS!$E$2,MATCH($D952&amp;"",UFS!$A$2:$A$175,0)-1,0,COUNTIF(UFS!$A$2:$A$175,$D952&amp;""),1),M952)&gt;0),"Valide","Invalide")</f>
        <v>Valide</v>
      </c>
      <c r="AH952" s="15" t="str">
        <f t="shared" si="14"/>
        <v>En attente</v>
      </c>
    </row>
    <row r="953" spans="1:34" s="15" customFormat="1" ht="55.95" customHeight="1" x14ac:dyDescent="0.3">
      <c r="A953" s="42">
        <v>954</v>
      </c>
      <c r="B953" s="19" t="s">
        <v>24</v>
      </c>
      <c r="C953" s="19" t="s">
        <v>35</v>
      </c>
      <c r="D953" s="20" t="s">
        <v>174</v>
      </c>
      <c r="E953" s="20" t="s">
        <v>79</v>
      </c>
      <c r="F953" s="21" t="s">
        <v>80</v>
      </c>
      <c r="G953" s="38" t="s">
        <v>81</v>
      </c>
      <c r="H953" s="39" t="s">
        <v>426</v>
      </c>
      <c r="I953" s="39" t="s">
        <v>83</v>
      </c>
      <c r="J953" s="21" t="s">
        <v>124</v>
      </c>
      <c r="K953" s="21" t="s">
        <v>125</v>
      </c>
      <c r="L953" s="21" t="s">
        <v>177</v>
      </c>
      <c r="M953" s="21" t="s">
        <v>136</v>
      </c>
      <c r="N953" s="21" t="s">
        <v>102</v>
      </c>
      <c r="O953" s="20" t="s">
        <v>3285</v>
      </c>
      <c r="P953" s="45">
        <v>45965</v>
      </c>
      <c r="Q953" s="39" t="s">
        <v>3286</v>
      </c>
      <c r="R953" s="19">
        <v>759.01</v>
      </c>
      <c r="S953" s="21">
        <v>0.1</v>
      </c>
      <c r="T953" s="21">
        <v>834.91099999999994</v>
      </c>
      <c r="U953" s="44" t="s">
        <v>3287</v>
      </c>
      <c r="V953" s="22">
        <v>45965</v>
      </c>
      <c r="W953" s="54" t="s">
        <v>91</v>
      </c>
      <c r="X953" s="23"/>
      <c r="Y953" s="23" t="s">
        <v>92</v>
      </c>
      <c r="Z953" s="56" t="s">
        <v>1338</v>
      </c>
      <c r="AA953" s="24">
        <v>862934</v>
      </c>
      <c r="AB953" s="47">
        <v>45985</v>
      </c>
      <c r="AC953" s="49" t="s">
        <v>161</v>
      </c>
      <c r="AD953" s="15" t="str">
        <f ca="1">IF(AND($D953&lt;&gt;"",COUNTIF(OFFSET(UFS!$E$2,MATCH($D953&amp;"",UFS!$A$2:$A$175,0)-1,0,COUNTIF(UFS!$A$2:$A$175,$D953&amp;""),1),M953)&gt;0),"Valide","Invalide")</f>
        <v>Valide</v>
      </c>
      <c r="AH953" s="15" t="str">
        <f t="shared" si="14"/>
        <v>En attente</v>
      </c>
    </row>
    <row r="954" spans="1:34" s="15" customFormat="1" ht="45" hidden="1" customHeight="1" x14ac:dyDescent="0.3">
      <c r="A954" s="42">
        <v>955</v>
      </c>
      <c r="B954" s="19" t="s">
        <v>26</v>
      </c>
      <c r="C954" s="19" t="s">
        <v>28</v>
      </c>
      <c r="D954" s="20" t="s">
        <v>432</v>
      </c>
      <c r="E954" s="20" t="s">
        <v>79</v>
      </c>
      <c r="F954" s="21" t="s">
        <v>433</v>
      </c>
      <c r="G954" s="38" t="s">
        <v>182</v>
      </c>
      <c r="H954" s="39" t="s">
        <v>82</v>
      </c>
      <c r="I954" s="39" t="s">
        <v>83</v>
      </c>
      <c r="J954" s="21" t="s">
        <v>144</v>
      </c>
      <c r="K954" s="21" t="s">
        <v>145</v>
      </c>
      <c r="L954" s="21" t="s">
        <v>434</v>
      </c>
      <c r="M954" s="21" t="s">
        <v>435</v>
      </c>
      <c r="N954" s="21" t="s">
        <v>436</v>
      </c>
      <c r="O954" s="20" t="s">
        <v>3288</v>
      </c>
      <c r="P954" s="45">
        <v>45922</v>
      </c>
      <c r="Q954" s="39" t="s">
        <v>3289</v>
      </c>
      <c r="R954" s="19">
        <v>5716.59</v>
      </c>
      <c r="S954" s="21">
        <v>0.1</v>
      </c>
      <c r="T954" s="21">
        <v>6288.2489999999998</v>
      </c>
      <c r="U954" s="60" t="s">
        <v>3290</v>
      </c>
      <c r="V954" s="22">
        <v>45965</v>
      </c>
      <c r="W954" s="54" t="s">
        <v>91</v>
      </c>
      <c r="X954" s="23"/>
      <c r="Y954" s="23" t="s">
        <v>376</v>
      </c>
      <c r="Z954" s="56" t="s">
        <v>3124</v>
      </c>
      <c r="AA954" s="24"/>
      <c r="AB954" s="19"/>
      <c r="AC954" s="19"/>
      <c r="AD954" s="15" t="str">
        <f ca="1">IF(AND($D954&lt;&gt;"",COUNTIF(OFFSET(UFS!$E$2,MATCH($D954&amp;"",UFS!$A$2:$A$175,0)-1,0,COUNTIF(UFS!$A$2:$A$175,$D954&amp;""),1),M954)&gt;0),"Valide","Invalide")</f>
        <v>Valide</v>
      </c>
      <c r="AH954" s="15" t="str">
        <f t="shared" si="14"/>
        <v>En attente</v>
      </c>
    </row>
    <row r="955" spans="1:34" s="15" customFormat="1" ht="45" hidden="1" customHeight="1" x14ac:dyDescent="0.3">
      <c r="A955" s="42">
        <v>956</v>
      </c>
      <c r="B955" s="19" t="s">
        <v>2</v>
      </c>
      <c r="C955" s="19" t="s">
        <v>3291</v>
      </c>
      <c r="D955" s="20" t="s">
        <v>200</v>
      </c>
      <c r="E955" s="20" t="s">
        <v>79</v>
      </c>
      <c r="F955" s="21" t="s">
        <v>80</v>
      </c>
      <c r="G955" s="38" t="s">
        <v>1169</v>
      </c>
      <c r="H955" s="39" t="s">
        <v>1085</v>
      </c>
      <c r="I955" s="39"/>
      <c r="J955" s="21" t="s">
        <v>144</v>
      </c>
      <c r="K955" s="21" t="s">
        <v>145</v>
      </c>
      <c r="L955" s="21" t="s">
        <v>203</v>
      </c>
      <c r="M955" s="21" t="s">
        <v>109</v>
      </c>
      <c r="N955" s="21" t="s">
        <v>109</v>
      </c>
      <c r="O955" s="20" t="s">
        <v>3292</v>
      </c>
      <c r="P955" s="45">
        <v>45965</v>
      </c>
      <c r="Q955" s="39" t="s">
        <v>3293</v>
      </c>
      <c r="R955" s="19">
        <v>3000</v>
      </c>
      <c r="S955" s="21">
        <v>0.2</v>
      </c>
      <c r="T955" s="21">
        <v>3600</v>
      </c>
      <c r="U955" s="44" t="s">
        <v>3294</v>
      </c>
      <c r="V955" s="22">
        <v>45965</v>
      </c>
      <c r="W955" s="54" t="s">
        <v>91</v>
      </c>
      <c r="X955" s="23"/>
      <c r="Y955" s="23" t="s">
        <v>92</v>
      </c>
      <c r="Z955" s="56" t="s">
        <v>3295</v>
      </c>
      <c r="AA955" s="24">
        <v>863224</v>
      </c>
      <c r="AB955" s="19"/>
      <c r="AC955" s="19"/>
      <c r="AD955" s="15" t="e">
        <f ca="1">IF(AND($D955&lt;&gt;"",COUNTIF(OFFSET(UFS!$E$2,MATCH($D955&amp;"",UFS!$A$2:$A$175,0)-1,0,COUNTIF(UFS!$A$2:$A$175,$D955&amp;""),1),M955)&gt;0),"Valide","Invalide")</f>
        <v>#N/A</v>
      </c>
      <c r="AH955" s="15" t="str">
        <f t="shared" si="14"/>
        <v>En attente</v>
      </c>
    </row>
    <row r="956" spans="1:34" s="15" customFormat="1" ht="45" hidden="1" customHeight="1" x14ac:dyDescent="0.3">
      <c r="A956" s="42">
        <v>957</v>
      </c>
      <c r="B956" s="19" t="s">
        <v>2</v>
      </c>
      <c r="C956" s="19" t="s">
        <v>1168</v>
      </c>
      <c r="D956" s="20" t="s">
        <v>156</v>
      </c>
      <c r="E956" s="20" t="s">
        <v>79</v>
      </c>
      <c r="F956" s="21" t="s">
        <v>80</v>
      </c>
      <c r="G956" s="38" t="s">
        <v>1169</v>
      </c>
      <c r="H956" s="39" t="s">
        <v>1085</v>
      </c>
      <c r="I956" s="39"/>
      <c r="J956" s="21" t="s">
        <v>144</v>
      </c>
      <c r="K956" s="21" t="s">
        <v>145</v>
      </c>
      <c r="L956" s="21" t="s">
        <v>146</v>
      </c>
      <c r="M956" s="21" t="s">
        <v>146</v>
      </c>
      <c r="N956" s="21" t="s">
        <v>157</v>
      </c>
      <c r="O956" s="20" t="s">
        <v>3296</v>
      </c>
      <c r="P956" s="45">
        <v>45922</v>
      </c>
      <c r="Q956" s="20" t="s">
        <v>3296</v>
      </c>
      <c r="R956" s="19">
        <v>931.5</v>
      </c>
      <c r="S956" s="21">
        <v>0.2</v>
      </c>
      <c r="T956" s="21">
        <v>1117.8</v>
      </c>
      <c r="U956" s="60" t="s">
        <v>1172</v>
      </c>
      <c r="V956" s="22">
        <v>45966</v>
      </c>
      <c r="W956" s="54" t="s">
        <v>91</v>
      </c>
      <c r="X956" s="23"/>
      <c r="Y956" s="23" t="s">
        <v>92</v>
      </c>
      <c r="Z956" s="103" t="s">
        <v>3297</v>
      </c>
      <c r="AA956" s="24">
        <v>863033</v>
      </c>
      <c r="AB956" s="19"/>
      <c r="AC956" s="19"/>
      <c r="AD956" s="15" t="str">
        <f ca="1">IF(AND($D956&lt;&gt;"",COUNTIF(OFFSET(UFS!$E$2,MATCH($D956&amp;"",UFS!$A$2:$A$175,0)-1,0,COUNTIF(UFS!$A$2:$A$175,$D956&amp;""),1),M956)&gt;0),"Valide","Invalide")</f>
        <v>Valide</v>
      </c>
      <c r="AH956" s="15" t="str">
        <f t="shared" si="14"/>
        <v>En attente</v>
      </c>
    </row>
    <row r="957" spans="1:34" s="15" customFormat="1" ht="45" hidden="1" customHeight="1" x14ac:dyDescent="0.3">
      <c r="A957" s="42">
        <v>958</v>
      </c>
      <c r="B957" s="19" t="s">
        <v>18</v>
      </c>
      <c r="C957" s="19" t="s">
        <v>5</v>
      </c>
      <c r="D957" s="20" t="s">
        <v>200</v>
      </c>
      <c r="E957" s="20" t="s">
        <v>96</v>
      </c>
      <c r="F957" s="21" t="s">
        <v>80</v>
      </c>
      <c r="G957" s="38" t="s">
        <v>3298</v>
      </c>
      <c r="H957" s="39"/>
      <c r="I957" s="39" t="s">
        <v>658</v>
      </c>
      <c r="J957" s="21" t="s">
        <v>144</v>
      </c>
      <c r="K957" s="21" t="s">
        <v>145</v>
      </c>
      <c r="L957" s="21" t="s">
        <v>203</v>
      </c>
      <c r="M957" s="21" t="s">
        <v>109</v>
      </c>
      <c r="N957" s="21" t="s">
        <v>109</v>
      </c>
      <c r="O957" s="20" t="s">
        <v>3299</v>
      </c>
      <c r="P957" s="45">
        <v>45959</v>
      </c>
      <c r="Q957" s="39" t="s">
        <v>3300</v>
      </c>
      <c r="R957" s="19">
        <v>1512.67</v>
      </c>
      <c r="S957" s="21">
        <v>0.2</v>
      </c>
      <c r="T957" s="21">
        <v>1815.2040000000002</v>
      </c>
      <c r="U957" s="60" t="s">
        <v>3301</v>
      </c>
      <c r="V957" s="22">
        <v>45966</v>
      </c>
      <c r="W957" s="54" t="s">
        <v>91</v>
      </c>
      <c r="X957" s="23"/>
      <c r="Y957" s="23" t="s">
        <v>92</v>
      </c>
      <c r="Z957" s="56"/>
      <c r="AA957" s="24">
        <v>863034</v>
      </c>
      <c r="AB957" s="45">
        <v>45966</v>
      </c>
      <c r="AC957" s="49" t="s">
        <v>161</v>
      </c>
      <c r="AD957" s="15" t="e">
        <f ca="1">IF(AND($D957&lt;&gt;"",COUNTIF(OFFSET(UFS!$E$2,MATCH($D957&amp;"",UFS!$A$2:$A$175,0)-1,0,COUNTIF(UFS!$A$2:$A$175,$D957&amp;""),1),M957)&gt;0),"Valide","Invalide")</f>
        <v>#N/A</v>
      </c>
      <c r="AH957" s="15" t="str">
        <f t="shared" si="14"/>
        <v>En attente</v>
      </c>
    </row>
    <row r="958" spans="1:34" s="15" customFormat="1" ht="45" hidden="1" customHeight="1" x14ac:dyDescent="0.3">
      <c r="A958" s="42">
        <v>959</v>
      </c>
      <c r="B958" s="19" t="s">
        <v>709</v>
      </c>
      <c r="C958" s="19" t="s">
        <v>23</v>
      </c>
      <c r="D958" s="20" t="s">
        <v>174</v>
      </c>
      <c r="E958" s="20" t="s">
        <v>79</v>
      </c>
      <c r="F958" s="21" t="s">
        <v>80</v>
      </c>
      <c r="G958" s="38" t="s">
        <v>241</v>
      </c>
      <c r="H958" s="39" t="s">
        <v>643</v>
      </c>
      <c r="I958" s="39" t="s">
        <v>644</v>
      </c>
      <c r="J958" s="21" t="s">
        <v>124</v>
      </c>
      <c r="K958" s="21" t="s">
        <v>125</v>
      </c>
      <c r="L958" s="21" t="s">
        <v>177</v>
      </c>
      <c r="M958" s="21" t="s">
        <v>136</v>
      </c>
      <c r="N958" s="21" t="s">
        <v>711</v>
      </c>
      <c r="O958" s="20" t="s">
        <v>3302</v>
      </c>
      <c r="P958" s="45">
        <v>45966</v>
      </c>
      <c r="Q958" s="39" t="s">
        <v>3303</v>
      </c>
      <c r="R958" s="19">
        <v>126.6</v>
      </c>
      <c r="S958" s="21">
        <v>0.1</v>
      </c>
      <c r="T958" s="21">
        <v>139.26</v>
      </c>
      <c r="U958" s="60" t="s">
        <v>3304</v>
      </c>
      <c r="V958" s="22">
        <v>45967</v>
      </c>
      <c r="W958" s="54" t="s">
        <v>91</v>
      </c>
      <c r="X958" s="23"/>
      <c r="Y958" s="23" t="s">
        <v>92</v>
      </c>
      <c r="Z958" s="56" t="s">
        <v>1338</v>
      </c>
      <c r="AA958" s="24">
        <v>863225</v>
      </c>
      <c r="AB958" s="19"/>
      <c r="AC958" s="19"/>
      <c r="AD958" s="15" t="str">
        <f ca="1">IF(AND($D958&lt;&gt;"",COUNTIF(OFFSET(UFS!$E$2,MATCH($D958&amp;"",UFS!$A$2:$A$175,0)-1,0,COUNTIF(UFS!$A$2:$A$175,$D958&amp;""),1),M958)&gt;0),"Valide","Invalide")</f>
        <v>Valide</v>
      </c>
      <c r="AH958" s="15" t="str">
        <f t="shared" si="14"/>
        <v>En attente</v>
      </c>
    </row>
    <row r="959" spans="1:34" s="15" customFormat="1" ht="45" hidden="1" customHeight="1" x14ac:dyDescent="0.3">
      <c r="A959" s="42">
        <v>960</v>
      </c>
      <c r="B959" s="19" t="s">
        <v>709</v>
      </c>
      <c r="C959" s="19" t="s">
        <v>23</v>
      </c>
      <c r="D959" s="20" t="s">
        <v>174</v>
      </c>
      <c r="E959" s="20" t="s">
        <v>79</v>
      </c>
      <c r="F959" s="21" t="s">
        <v>80</v>
      </c>
      <c r="G959" s="38" t="s">
        <v>241</v>
      </c>
      <c r="H959" s="39" t="s">
        <v>643</v>
      </c>
      <c r="I959" s="39" t="s">
        <v>644</v>
      </c>
      <c r="J959" s="21" t="s">
        <v>124</v>
      </c>
      <c r="K959" s="21" t="s">
        <v>125</v>
      </c>
      <c r="L959" s="21" t="s">
        <v>177</v>
      </c>
      <c r="M959" s="21" t="s">
        <v>136</v>
      </c>
      <c r="N959" s="21" t="s">
        <v>711</v>
      </c>
      <c r="O959" s="20" t="s">
        <v>3305</v>
      </c>
      <c r="P959" s="45">
        <v>45966</v>
      </c>
      <c r="Q959" s="39" t="s">
        <v>3303</v>
      </c>
      <c r="R959" s="19">
        <v>126.6</v>
      </c>
      <c r="S959" s="21">
        <v>0.1</v>
      </c>
      <c r="T959" s="21">
        <v>139.26</v>
      </c>
      <c r="U959" s="60" t="s">
        <v>3306</v>
      </c>
      <c r="V959" s="22">
        <v>45967</v>
      </c>
      <c r="W959" s="54" t="s">
        <v>91</v>
      </c>
      <c r="X959" s="23"/>
      <c r="Y959" s="23" t="s">
        <v>92</v>
      </c>
      <c r="Z959" s="56" t="s">
        <v>1338</v>
      </c>
      <c r="AA959" s="24">
        <v>863228</v>
      </c>
      <c r="AB959" s="19"/>
      <c r="AC959" s="19"/>
      <c r="AD959" s="15" t="str">
        <f ca="1">IF(AND($D959&lt;&gt;"",COUNTIF(OFFSET(UFS!$E$2,MATCH($D959&amp;"",UFS!$A$2:$A$175,0)-1,0,COUNTIF(UFS!$A$2:$A$175,$D959&amp;""),1),M959)&gt;0),"Valide","Invalide")</f>
        <v>Valide</v>
      </c>
      <c r="AH959" s="15" t="str">
        <f t="shared" si="14"/>
        <v>En attente</v>
      </c>
    </row>
    <row r="960" spans="1:34" s="15" customFormat="1" ht="45" hidden="1" customHeight="1" x14ac:dyDescent="0.3">
      <c r="A960" s="42">
        <v>961</v>
      </c>
      <c r="B960" s="19" t="s">
        <v>24</v>
      </c>
      <c r="C960" s="19" t="s">
        <v>11</v>
      </c>
      <c r="D960" s="20" t="s">
        <v>587</v>
      </c>
      <c r="E960" s="20" t="s">
        <v>96</v>
      </c>
      <c r="F960" s="21" t="s">
        <v>80</v>
      </c>
      <c r="G960" s="38"/>
      <c r="H960" s="39"/>
      <c r="I960" s="39"/>
      <c r="J960" s="21" t="s">
        <v>144</v>
      </c>
      <c r="K960" s="21" t="s">
        <v>145</v>
      </c>
      <c r="L960" s="21" t="s">
        <v>203</v>
      </c>
      <c r="M960" s="21" t="s">
        <v>589</v>
      </c>
      <c r="N960" s="21" t="s">
        <v>589</v>
      </c>
      <c r="O960" s="20" t="s">
        <v>3307</v>
      </c>
      <c r="P960" s="45">
        <v>45967</v>
      </c>
      <c r="Q960" s="39" t="s">
        <v>3308</v>
      </c>
      <c r="R960" s="53">
        <v>4632.57</v>
      </c>
      <c r="S960" s="21">
        <v>0.2</v>
      </c>
      <c r="T960" s="21">
        <v>5559.0839999999998</v>
      </c>
      <c r="U960" s="60" t="s">
        <v>3309</v>
      </c>
      <c r="V960" s="22">
        <v>45968</v>
      </c>
      <c r="W960" s="54" t="s">
        <v>91</v>
      </c>
      <c r="X960" s="23"/>
      <c r="Y960" s="23" t="s">
        <v>92</v>
      </c>
      <c r="Z960" s="56" t="s">
        <v>1338</v>
      </c>
      <c r="AA960" s="24">
        <v>863139</v>
      </c>
      <c r="AB960" s="47">
        <v>45978</v>
      </c>
      <c r="AC960" s="46" t="s">
        <v>94</v>
      </c>
      <c r="AD960" s="15" t="str">
        <f ca="1">IF(AND($D960&lt;&gt;"",COUNTIF(OFFSET(UFS!$E$2,MATCH($D960&amp;"",UFS!$A$2:$A$175,0)-1,0,COUNTIF(UFS!$A$2:$A$175,$D960&amp;""),1),M960)&gt;0),"Valide","Invalide")</f>
        <v>Valide</v>
      </c>
      <c r="AH960" s="15" t="str">
        <f t="shared" si="14"/>
        <v>En attente</v>
      </c>
    </row>
    <row r="961" spans="1:34" s="15" customFormat="1" ht="45" hidden="1" customHeight="1" x14ac:dyDescent="0.3">
      <c r="A961" s="42">
        <v>962</v>
      </c>
      <c r="B961" s="19" t="s">
        <v>16</v>
      </c>
      <c r="C961" s="19" t="s">
        <v>11</v>
      </c>
      <c r="D961" s="20" t="s">
        <v>810</v>
      </c>
      <c r="E961" s="20" t="s">
        <v>96</v>
      </c>
      <c r="F961" s="21" t="s">
        <v>80</v>
      </c>
      <c r="G961" s="38" t="s">
        <v>169</v>
      </c>
      <c r="H961" s="39"/>
      <c r="I961" s="39" t="s">
        <v>3310</v>
      </c>
      <c r="J961" s="21" t="s">
        <v>144</v>
      </c>
      <c r="K961" s="21" t="s">
        <v>145</v>
      </c>
      <c r="L961" s="21" t="s">
        <v>146</v>
      </c>
      <c r="M961" s="21" t="s">
        <v>812</v>
      </c>
      <c r="N961" s="21" t="s">
        <v>813</v>
      </c>
      <c r="O961" s="20" t="s">
        <v>3311</v>
      </c>
      <c r="P961" s="45">
        <v>45967</v>
      </c>
      <c r="Q961" s="39" t="s">
        <v>3312</v>
      </c>
      <c r="R961" s="19">
        <v>439.08</v>
      </c>
      <c r="S961" s="21">
        <v>0.1</v>
      </c>
      <c r="T961" s="21">
        <v>482.988</v>
      </c>
      <c r="U961" s="60" t="s">
        <v>2321</v>
      </c>
      <c r="V961" s="22">
        <v>45968</v>
      </c>
      <c r="W961" s="54" t="s">
        <v>91</v>
      </c>
      <c r="X961" s="23"/>
      <c r="Y961" s="23" t="s">
        <v>92</v>
      </c>
      <c r="Z961" s="56" t="s">
        <v>1338</v>
      </c>
      <c r="AA961" s="24">
        <v>863275</v>
      </c>
      <c r="AB961" s="19"/>
      <c r="AC961" s="46" t="s">
        <v>94</v>
      </c>
      <c r="AD961" s="15" t="str">
        <f ca="1">IF(AND($D961&lt;&gt;"",COUNTIF(OFFSET(UFS!$E$2,MATCH($D961&amp;"",UFS!$A$2:$A$175,0)-1,0,COUNTIF(UFS!$A$2:$A$175,$D961&amp;""),1),M961)&gt;0),"Valide","Invalide")</f>
        <v>Valide</v>
      </c>
      <c r="AH961" s="15" t="str">
        <f t="shared" si="14"/>
        <v>En attente</v>
      </c>
    </row>
    <row r="962" spans="1:34" s="15" customFormat="1" ht="45" hidden="1" customHeight="1" x14ac:dyDescent="0.3">
      <c r="A962" s="42">
        <v>963</v>
      </c>
      <c r="B962" s="19" t="s">
        <v>26</v>
      </c>
      <c r="C962" s="19" t="s">
        <v>35</v>
      </c>
      <c r="D962" s="20" t="s">
        <v>2033</v>
      </c>
      <c r="E962" s="20" t="s">
        <v>96</v>
      </c>
      <c r="F962" s="21" t="s">
        <v>80</v>
      </c>
      <c r="G962" s="38" t="s">
        <v>201</v>
      </c>
      <c r="H962" s="39"/>
      <c r="I962" s="39" t="s">
        <v>3313</v>
      </c>
      <c r="J962" s="21" t="s">
        <v>144</v>
      </c>
      <c r="K962" s="21" t="s">
        <v>145</v>
      </c>
      <c r="L962" s="21" t="s">
        <v>254</v>
      </c>
      <c r="M962" s="21" t="s">
        <v>255</v>
      </c>
      <c r="N962" s="21" t="s">
        <v>2035</v>
      </c>
      <c r="O962" s="20" t="s">
        <v>3314</v>
      </c>
      <c r="P962" s="45">
        <v>45967</v>
      </c>
      <c r="Q962" s="39" t="s">
        <v>3315</v>
      </c>
      <c r="R962" s="19">
        <v>2357.6</v>
      </c>
      <c r="S962" s="21">
        <v>0.2</v>
      </c>
      <c r="T962" s="21">
        <v>2829.12</v>
      </c>
      <c r="U962" s="44" t="s">
        <v>3316</v>
      </c>
      <c r="V962" s="22">
        <v>45968</v>
      </c>
      <c r="W962" s="54" t="s">
        <v>91</v>
      </c>
      <c r="X962" s="23"/>
      <c r="Y962" s="23" t="s">
        <v>92</v>
      </c>
      <c r="Z962" s="56" t="s">
        <v>1338</v>
      </c>
      <c r="AA962" s="24">
        <v>863279</v>
      </c>
      <c r="AB962" s="19"/>
      <c r="AC962" s="46" t="s">
        <v>94</v>
      </c>
      <c r="AD962" s="15" t="str">
        <f ca="1">IF(AND($D962&lt;&gt;"",COUNTIF(OFFSET(UFS!$E$2,MATCH($D962&amp;"",UFS!$A$2:$A$175,0)-1,0,COUNTIF(UFS!$A$2:$A$175,$D962&amp;""),1),M962)&gt;0),"Valide","Invalide")</f>
        <v>Valide</v>
      </c>
      <c r="AH962" s="15" t="str">
        <f t="shared" si="14"/>
        <v>En attente</v>
      </c>
    </row>
    <row r="963" spans="1:34" s="15" customFormat="1" ht="45" hidden="1" customHeight="1" x14ac:dyDescent="0.3">
      <c r="A963" s="42">
        <v>964</v>
      </c>
      <c r="B963" s="19" t="s">
        <v>425</v>
      </c>
      <c r="C963" s="19" t="s">
        <v>35</v>
      </c>
      <c r="D963" s="20" t="s">
        <v>604</v>
      </c>
      <c r="E963" s="20" t="s">
        <v>79</v>
      </c>
      <c r="F963" s="21" t="s">
        <v>80</v>
      </c>
      <c r="G963" s="38" t="s">
        <v>182</v>
      </c>
      <c r="H963" s="39" t="s">
        <v>426</v>
      </c>
      <c r="I963" s="39" t="s">
        <v>83</v>
      </c>
      <c r="J963" s="21" t="s">
        <v>144</v>
      </c>
      <c r="K963" s="21" t="s">
        <v>145</v>
      </c>
      <c r="L963" s="21" t="s">
        <v>146</v>
      </c>
      <c r="M963" s="21" t="s">
        <v>146</v>
      </c>
      <c r="N963" s="21" t="s">
        <v>605</v>
      </c>
      <c r="O963" s="20" t="s">
        <v>3317</v>
      </c>
      <c r="P963" s="45">
        <v>45968</v>
      </c>
      <c r="Q963" s="39" t="s">
        <v>3318</v>
      </c>
      <c r="R963" s="19">
        <v>457.99</v>
      </c>
      <c r="S963" s="21">
        <v>0.2</v>
      </c>
      <c r="T963" s="21">
        <v>549.58799999999997</v>
      </c>
      <c r="U963" s="44" t="s">
        <v>3319</v>
      </c>
      <c r="V963" s="22">
        <v>45968</v>
      </c>
      <c r="W963" s="54" t="s">
        <v>91</v>
      </c>
      <c r="X963" s="23"/>
      <c r="Y963" s="23" t="s">
        <v>92</v>
      </c>
      <c r="Z963" s="56" t="s">
        <v>1338</v>
      </c>
      <c r="AA963" s="24">
        <v>863231</v>
      </c>
      <c r="AB963" s="19"/>
      <c r="AC963" s="19"/>
      <c r="AD963" s="15" t="str">
        <f ca="1">IF(AND($D963&lt;&gt;"",COUNTIF(OFFSET(UFS!$E$2,MATCH($D963&amp;"",UFS!$A$2:$A$175,0)-1,0,COUNTIF(UFS!$A$2:$A$175,$D963&amp;""),1),M963)&gt;0),"Valide","Invalide")</f>
        <v>Valide</v>
      </c>
      <c r="AH963" s="15" t="str">
        <f t="shared" ref="AH963:AH1026" si="15">IF(T963&lt;&gt;"","En attente","")</f>
        <v>En attente</v>
      </c>
    </row>
    <row r="964" spans="1:34" s="15" customFormat="1" ht="45" hidden="1" customHeight="1" x14ac:dyDescent="0.3">
      <c r="A964" s="42">
        <v>965</v>
      </c>
      <c r="B964" s="19" t="s">
        <v>16</v>
      </c>
      <c r="C964" s="19" t="s">
        <v>15</v>
      </c>
      <c r="D964" s="20" t="s">
        <v>810</v>
      </c>
      <c r="E964" s="20" t="s">
        <v>96</v>
      </c>
      <c r="F964" s="21" t="s">
        <v>80</v>
      </c>
      <c r="G964" s="38" t="s">
        <v>1029</v>
      </c>
      <c r="H964" s="39"/>
      <c r="I964" s="39" t="s">
        <v>2441</v>
      </c>
      <c r="J964" s="21" t="s">
        <v>144</v>
      </c>
      <c r="K964" s="21" t="s">
        <v>145</v>
      </c>
      <c r="L964" s="21" t="s">
        <v>146</v>
      </c>
      <c r="M964" s="21" t="s">
        <v>812</v>
      </c>
      <c r="N964" s="21" t="s">
        <v>813</v>
      </c>
      <c r="O964" s="20" t="s">
        <v>3320</v>
      </c>
      <c r="P964" s="45">
        <v>45968</v>
      </c>
      <c r="Q964" s="39" t="s">
        <v>3321</v>
      </c>
      <c r="R964" s="19">
        <v>6697.02</v>
      </c>
      <c r="S964" s="21">
        <v>0.1</v>
      </c>
      <c r="T964" s="21">
        <v>7366.7220000000007</v>
      </c>
      <c r="U964" s="60" t="s">
        <v>2181</v>
      </c>
      <c r="V964" s="22">
        <v>45968</v>
      </c>
      <c r="W964" s="54" t="s">
        <v>91</v>
      </c>
      <c r="X964" s="23"/>
      <c r="Y964" s="23" t="s">
        <v>92</v>
      </c>
      <c r="Z964" s="56" t="s">
        <v>1338</v>
      </c>
      <c r="AA964" s="24">
        <v>863232</v>
      </c>
      <c r="AB964" s="19"/>
      <c r="AC964" s="49" t="s">
        <v>161</v>
      </c>
      <c r="AD964" s="15" t="str">
        <f ca="1">IF(AND($D964&lt;&gt;"",COUNTIF(OFFSET(UFS!$E$2,MATCH($D964&amp;"",UFS!$A$2:$A$175,0)-1,0,COUNTIF(UFS!$A$2:$A$175,$D964&amp;""),1),M964)&gt;0),"Valide","Invalide")</f>
        <v>Valide</v>
      </c>
      <c r="AH964" s="15" t="str">
        <f t="shared" si="15"/>
        <v>En attente</v>
      </c>
    </row>
    <row r="965" spans="1:34" s="15" customFormat="1" ht="45" hidden="1" customHeight="1" x14ac:dyDescent="0.3">
      <c r="A965" s="42">
        <v>966</v>
      </c>
      <c r="B965" s="19" t="s">
        <v>4</v>
      </c>
      <c r="C965" s="19" t="s">
        <v>19</v>
      </c>
      <c r="D965" s="20" t="s">
        <v>143</v>
      </c>
      <c r="E965" s="20" t="s">
        <v>79</v>
      </c>
      <c r="F965" s="21" t="s">
        <v>80</v>
      </c>
      <c r="G965" s="38" t="s">
        <v>81</v>
      </c>
      <c r="H965" s="39" t="s">
        <v>211</v>
      </c>
      <c r="I965" s="39" t="s">
        <v>83</v>
      </c>
      <c r="J965" s="21" t="s">
        <v>144</v>
      </c>
      <c r="K965" s="21" t="s">
        <v>145</v>
      </c>
      <c r="L965" s="21" t="s">
        <v>146</v>
      </c>
      <c r="M965" s="21" t="s">
        <v>146</v>
      </c>
      <c r="N965" s="21" t="s">
        <v>147</v>
      </c>
      <c r="O965" s="20" t="s">
        <v>3322</v>
      </c>
      <c r="P965" s="45">
        <v>45967</v>
      </c>
      <c r="Q965" s="39" t="s">
        <v>3323</v>
      </c>
      <c r="R965" s="19">
        <v>3134.8</v>
      </c>
      <c r="S965" s="21">
        <v>0.2</v>
      </c>
      <c r="T965" s="21">
        <v>3761.76</v>
      </c>
      <c r="U965" s="44" t="s">
        <v>3324</v>
      </c>
      <c r="V965" s="22">
        <v>45973</v>
      </c>
      <c r="W965" s="54" t="s">
        <v>91</v>
      </c>
      <c r="X965" s="23"/>
      <c r="Y965" s="23" t="s">
        <v>92</v>
      </c>
      <c r="Z965" s="56" t="s">
        <v>928</v>
      </c>
      <c r="AA965" s="24">
        <v>863944</v>
      </c>
      <c r="AB965" s="19"/>
      <c r="AC965" s="19"/>
      <c r="AD965" s="15" t="str">
        <f ca="1">IF(AND($D965&lt;&gt;"",COUNTIF(OFFSET(UFS!$E$2,MATCH($D965&amp;"",UFS!$A$2:$A$175,0)-1,0,COUNTIF(UFS!$A$2:$A$175,$D965&amp;""),1),M965)&gt;0),"Valide","Invalide")</f>
        <v>Valide</v>
      </c>
      <c r="AH965" s="15" t="str">
        <f t="shared" si="15"/>
        <v>En attente</v>
      </c>
    </row>
    <row r="966" spans="1:34" s="15" customFormat="1" ht="45" hidden="1" customHeight="1" x14ac:dyDescent="0.3">
      <c r="A966" s="42">
        <v>967</v>
      </c>
      <c r="B966" s="19" t="s">
        <v>425</v>
      </c>
      <c r="C966" s="19" t="s">
        <v>35</v>
      </c>
      <c r="D966" s="20" t="s">
        <v>260</v>
      </c>
      <c r="E966" s="20" t="s">
        <v>79</v>
      </c>
      <c r="F966" s="21" t="s">
        <v>80</v>
      </c>
      <c r="G966" s="38" t="s">
        <v>182</v>
      </c>
      <c r="H966" s="39" t="s">
        <v>426</v>
      </c>
      <c r="I966" s="39" t="s">
        <v>83</v>
      </c>
      <c r="J966" s="21" t="s">
        <v>84</v>
      </c>
      <c r="K966" s="21" t="s">
        <v>113</v>
      </c>
      <c r="L966" s="21" t="s">
        <v>86</v>
      </c>
      <c r="M966" s="21" t="s">
        <v>109</v>
      </c>
      <c r="N966" s="21" t="s">
        <v>109</v>
      </c>
      <c r="O966" s="20" t="s">
        <v>3325</v>
      </c>
      <c r="P966" s="45">
        <v>45973</v>
      </c>
      <c r="Q966" s="39" t="s">
        <v>3326</v>
      </c>
      <c r="R966" s="19">
        <v>9107.23</v>
      </c>
      <c r="S966" s="21">
        <v>0.1</v>
      </c>
      <c r="T966" s="21">
        <v>10017.953</v>
      </c>
      <c r="U966" s="60" t="s">
        <v>3327</v>
      </c>
      <c r="V966" s="22">
        <v>45973</v>
      </c>
      <c r="W966" s="54" t="s">
        <v>91</v>
      </c>
      <c r="X966" s="23"/>
      <c r="Y966" s="23" t="s">
        <v>347</v>
      </c>
      <c r="Z966" s="56" t="s">
        <v>3328</v>
      </c>
      <c r="AA966" s="24"/>
      <c r="AB966" s="19"/>
      <c r="AC966" s="19"/>
      <c r="AD966" s="15" t="str">
        <f ca="1">IF(AND($D966&lt;&gt;"",COUNTIF(OFFSET(UFS!$E$2,MATCH($D966&amp;"",UFS!$A$2:$A$175,0)-1,0,COUNTIF(UFS!$A$2:$A$175,$D966&amp;""),1),M966)&gt;0),"Valide","Invalide")</f>
        <v>Valide</v>
      </c>
      <c r="AH966" s="15" t="str">
        <f t="shared" si="15"/>
        <v>En attente</v>
      </c>
    </row>
    <row r="967" spans="1:34" s="15" customFormat="1" ht="45" hidden="1" customHeight="1" x14ac:dyDescent="0.3">
      <c r="A967" s="42">
        <v>968</v>
      </c>
      <c r="B967" s="19" t="s">
        <v>6</v>
      </c>
      <c r="C967" s="19" t="s">
        <v>31</v>
      </c>
      <c r="D967" s="20" t="s">
        <v>260</v>
      </c>
      <c r="E967" s="20" t="s">
        <v>79</v>
      </c>
      <c r="F967" s="21" t="s">
        <v>80</v>
      </c>
      <c r="G967" s="38" t="s">
        <v>241</v>
      </c>
      <c r="H967" s="39" t="s">
        <v>242</v>
      </c>
      <c r="I967" s="39"/>
      <c r="J967" s="21" t="s">
        <v>84</v>
      </c>
      <c r="K967" s="21" t="s">
        <v>113</v>
      </c>
      <c r="L967" s="21" t="s">
        <v>86</v>
      </c>
      <c r="M967" s="21" t="s">
        <v>109</v>
      </c>
      <c r="N967" s="21" t="s">
        <v>109</v>
      </c>
      <c r="O967" s="20" t="s">
        <v>3329</v>
      </c>
      <c r="P967" s="45">
        <v>45959</v>
      </c>
      <c r="Q967" s="39" t="s">
        <v>3330</v>
      </c>
      <c r="R967" s="19">
        <v>1300</v>
      </c>
      <c r="S967" s="21">
        <v>0.1</v>
      </c>
      <c r="T967" s="21">
        <v>1430</v>
      </c>
      <c r="U967" s="60" t="s">
        <v>3331</v>
      </c>
      <c r="V967" s="22">
        <v>45974</v>
      </c>
      <c r="W967" s="54" t="s">
        <v>91</v>
      </c>
      <c r="X967" s="23"/>
      <c r="Y967" s="23" t="s">
        <v>92</v>
      </c>
      <c r="Z967" s="56" t="s">
        <v>1338</v>
      </c>
      <c r="AA967" s="24">
        <v>863625</v>
      </c>
      <c r="AB967" s="19"/>
      <c r="AC967" s="19"/>
      <c r="AD967" s="15" t="str">
        <f ca="1">IF(AND($D967&lt;&gt;"",COUNTIF(OFFSET(UFS!$E$2,MATCH($D967&amp;"",UFS!$A$2:$A$175,0)-1,0,COUNTIF(UFS!$A$2:$A$175,$D967&amp;""),1),M967)&gt;0),"Valide","Invalide")</f>
        <v>Valide</v>
      </c>
      <c r="AH967" s="15" t="str">
        <f t="shared" si="15"/>
        <v>En attente</v>
      </c>
    </row>
    <row r="968" spans="1:34" s="15" customFormat="1" ht="45" hidden="1" customHeight="1" x14ac:dyDescent="0.3">
      <c r="A968" s="42">
        <v>969</v>
      </c>
      <c r="B968" s="19" t="s">
        <v>6</v>
      </c>
      <c r="C968" s="19" t="s">
        <v>31</v>
      </c>
      <c r="D968" s="20" t="s">
        <v>260</v>
      </c>
      <c r="E968" s="20" t="s">
        <v>79</v>
      </c>
      <c r="F968" s="21" t="s">
        <v>80</v>
      </c>
      <c r="G968" s="38" t="s">
        <v>241</v>
      </c>
      <c r="H968" s="39" t="s">
        <v>242</v>
      </c>
      <c r="I968" s="39"/>
      <c r="J968" s="21" t="s">
        <v>84</v>
      </c>
      <c r="K968" s="21" t="s">
        <v>113</v>
      </c>
      <c r="L968" s="21" t="s">
        <v>86</v>
      </c>
      <c r="M968" s="21" t="s">
        <v>109</v>
      </c>
      <c r="N968" s="21" t="s">
        <v>109</v>
      </c>
      <c r="O968" s="20" t="s">
        <v>3332</v>
      </c>
      <c r="P968" s="45">
        <v>45959</v>
      </c>
      <c r="Q968" s="39" t="s">
        <v>3333</v>
      </c>
      <c r="R968" s="19">
        <v>1300</v>
      </c>
      <c r="S968" s="21">
        <v>0.1</v>
      </c>
      <c r="T968" s="21">
        <v>1430</v>
      </c>
      <c r="U968" s="60" t="s">
        <v>3334</v>
      </c>
      <c r="V968" s="22">
        <v>45974</v>
      </c>
      <c r="W968" s="54" t="s">
        <v>91</v>
      </c>
      <c r="X968" s="23"/>
      <c r="Y968" s="23" t="s">
        <v>92</v>
      </c>
      <c r="Z968" s="56" t="s">
        <v>1338</v>
      </c>
      <c r="AA968" s="24">
        <v>863627</v>
      </c>
      <c r="AB968" s="19"/>
      <c r="AC968" s="19"/>
      <c r="AD968" s="15" t="str">
        <f ca="1">IF(AND($D968&lt;&gt;"",COUNTIF(OFFSET(UFS!$E$2,MATCH($D968&amp;"",UFS!$A$2:$A$175,0)-1,0,COUNTIF(UFS!$A$2:$A$175,$D968&amp;""),1),M968)&gt;0),"Valide","Invalide")</f>
        <v>Valide</v>
      </c>
      <c r="AH968" s="15" t="str">
        <f t="shared" si="15"/>
        <v>En attente</v>
      </c>
    </row>
    <row r="969" spans="1:34" s="15" customFormat="1" ht="45" hidden="1" customHeight="1" x14ac:dyDescent="0.3">
      <c r="A969" s="42">
        <v>970</v>
      </c>
      <c r="B969" s="19" t="s">
        <v>6</v>
      </c>
      <c r="C969" s="19" t="s">
        <v>31</v>
      </c>
      <c r="D969" s="20" t="s">
        <v>260</v>
      </c>
      <c r="E969" s="20" t="s">
        <v>79</v>
      </c>
      <c r="F969" s="21" t="s">
        <v>80</v>
      </c>
      <c r="G969" s="38" t="s">
        <v>241</v>
      </c>
      <c r="H969" s="39" t="s">
        <v>242</v>
      </c>
      <c r="I969" s="39"/>
      <c r="J969" s="21" t="s">
        <v>84</v>
      </c>
      <c r="K969" s="21" t="s">
        <v>113</v>
      </c>
      <c r="L969" s="21" t="s">
        <v>86</v>
      </c>
      <c r="M969" s="21" t="s">
        <v>109</v>
      </c>
      <c r="N969" s="21" t="s">
        <v>109</v>
      </c>
      <c r="O969" s="20" t="s">
        <v>3335</v>
      </c>
      <c r="P969" s="45">
        <v>45959</v>
      </c>
      <c r="Q969" s="39" t="s">
        <v>3336</v>
      </c>
      <c r="R969" s="19">
        <v>1300</v>
      </c>
      <c r="S969" s="21">
        <v>0.1</v>
      </c>
      <c r="T969" s="21">
        <v>1430</v>
      </c>
      <c r="U969" s="60" t="s">
        <v>3337</v>
      </c>
      <c r="V969" s="22">
        <v>45974</v>
      </c>
      <c r="W969" s="54" t="s">
        <v>91</v>
      </c>
      <c r="X969" s="23"/>
      <c r="Y969" s="23" t="s">
        <v>92</v>
      </c>
      <c r="Z969" s="56" t="s">
        <v>1338</v>
      </c>
      <c r="AA969" s="24">
        <v>863629</v>
      </c>
      <c r="AB969" s="19"/>
      <c r="AC969" s="19"/>
      <c r="AD969" s="15" t="str">
        <f ca="1">IF(AND($D969&lt;&gt;"",COUNTIF(OFFSET(UFS!$E$2,MATCH($D969&amp;"",UFS!$A$2:$A$175,0)-1,0,COUNTIF(UFS!$A$2:$A$175,$D969&amp;""),1),M969)&gt;0),"Valide","Invalide")</f>
        <v>Valide</v>
      </c>
      <c r="AH969" s="15" t="str">
        <f t="shared" si="15"/>
        <v>En attente</v>
      </c>
    </row>
    <row r="970" spans="1:34" s="15" customFormat="1" ht="45" hidden="1" customHeight="1" x14ac:dyDescent="0.3">
      <c r="A970" s="42">
        <v>971</v>
      </c>
      <c r="B970" s="19" t="s">
        <v>6</v>
      </c>
      <c r="C970" s="19" t="s">
        <v>21</v>
      </c>
      <c r="D970" s="20" t="s">
        <v>200</v>
      </c>
      <c r="E970" s="20" t="s">
        <v>853</v>
      </c>
      <c r="F970" s="21" t="s">
        <v>80</v>
      </c>
      <c r="G970" s="38" t="s">
        <v>854</v>
      </c>
      <c r="H970" s="39" t="s">
        <v>534</v>
      </c>
      <c r="I970" s="39"/>
      <c r="J970" s="21" t="s">
        <v>144</v>
      </c>
      <c r="K970" s="21" t="s">
        <v>145</v>
      </c>
      <c r="L970" s="21" t="s">
        <v>203</v>
      </c>
      <c r="M970" s="21" t="s">
        <v>109</v>
      </c>
      <c r="N970" s="21" t="s">
        <v>109</v>
      </c>
      <c r="O970" s="20" t="s">
        <v>3338</v>
      </c>
      <c r="P970" s="45">
        <v>45952</v>
      </c>
      <c r="Q970" s="39" t="s">
        <v>3339</v>
      </c>
      <c r="R970" s="19">
        <v>898.7</v>
      </c>
      <c r="S970" s="21">
        <v>0.2</v>
      </c>
      <c r="T970" s="21">
        <v>1078.44</v>
      </c>
      <c r="U970" s="60" t="s">
        <v>3340</v>
      </c>
      <c r="V970" s="22">
        <v>45975</v>
      </c>
      <c r="W970" s="54" t="s">
        <v>91</v>
      </c>
      <c r="X970" s="23"/>
      <c r="Y970" s="23" t="s">
        <v>92</v>
      </c>
      <c r="Z970" s="56"/>
      <c r="AA970" s="24">
        <v>3020</v>
      </c>
      <c r="AB970" s="19"/>
      <c r="AC970" s="19"/>
      <c r="AD970" s="15" t="e">
        <f ca="1">IF(AND($D970&lt;&gt;"",COUNTIF(OFFSET(UFS!$E$2,MATCH($D970&amp;"",UFS!$A$2:$A$175,0)-1,0,COUNTIF(UFS!$A$2:$A$175,$D970&amp;""),1),M970)&gt;0),"Valide","Invalide")</f>
        <v>#N/A</v>
      </c>
      <c r="AH970" s="15" t="str">
        <f t="shared" si="15"/>
        <v>En attente</v>
      </c>
    </row>
    <row r="971" spans="1:34" s="15" customFormat="1" ht="45" hidden="1" customHeight="1" x14ac:dyDescent="0.3">
      <c r="A971" s="42">
        <v>972</v>
      </c>
      <c r="B971" s="19" t="s">
        <v>6</v>
      </c>
      <c r="C971" s="19" t="s">
        <v>21</v>
      </c>
      <c r="D971" s="20" t="s">
        <v>200</v>
      </c>
      <c r="E971" s="20" t="s">
        <v>853</v>
      </c>
      <c r="F971" s="21" t="s">
        <v>80</v>
      </c>
      <c r="G971" s="38" t="s">
        <v>854</v>
      </c>
      <c r="H971" s="39" t="s">
        <v>534</v>
      </c>
      <c r="I971" s="39"/>
      <c r="J971" s="21" t="s">
        <v>144</v>
      </c>
      <c r="K971" s="21" t="s">
        <v>145</v>
      </c>
      <c r="L971" s="21" t="s">
        <v>203</v>
      </c>
      <c r="M971" s="21" t="s">
        <v>109</v>
      </c>
      <c r="N971" s="21" t="s">
        <v>109</v>
      </c>
      <c r="O971" s="20" t="s">
        <v>3341</v>
      </c>
      <c r="P971" s="45">
        <v>45952</v>
      </c>
      <c r="Q971" s="15" t="s">
        <v>3342</v>
      </c>
      <c r="R971" s="15">
        <v>788.7</v>
      </c>
      <c r="S971" s="21">
        <v>0.2</v>
      </c>
      <c r="T971" s="21">
        <v>946.44</v>
      </c>
      <c r="U971" s="60" t="s">
        <v>3343</v>
      </c>
      <c r="V971" s="22">
        <v>45975</v>
      </c>
      <c r="W971" s="54" t="s">
        <v>91</v>
      </c>
      <c r="X971" s="23"/>
      <c r="Y971" s="23" t="s">
        <v>92</v>
      </c>
      <c r="Z971" s="56"/>
      <c r="AA971" s="24">
        <v>3021</v>
      </c>
      <c r="AB971" s="19"/>
      <c r="AC971" s="19"/>
      <c r="AD971" s="15" t="e">
        <f ca="1">IF(AND($D971&lt;&gt;"",COUNTIF(OFFSET(UFS!$E$2,MATCH($D971&amp;"",UFS!$A$2:$A$175,0)-1,0,COUNTIF(UFS!$A$2:$A$175,$D971&amp;""),1),M971)&gt;0),"Valide","Invalide")</f>
        <v>#N/A</v>
      </c>
      <c r="AH971" s="15" t="str">
        <f t="shared" si="15"/>
        <v>En attente</v>
      </c>
    </row>
    <row r="972" spans="1:34" s="15" customFormat="1" ht="45" hidden="1" customHeight="1" x14ac:dyDescent="0.3">
      <c r="A972" s="42">
        <v>973</v>
      </c>
      <c r="B972" s="19" t="s">
        <v>6</v>
      </c>
      <c r="C972" s="19" t="s">
        <v>21</v>
      </c>
      <c r="D972" s="20" t="s">
        <v>200</v>
      </c>
      <c r="E972" s="20" t="s">
        <v>79</v>
      </c>
      <c r="F972" s="21" t="s">
        <v>80</v>
      </c>
      <c r="G972" s="38" t="s">
        <v>533</v>
      </c>
      <c r="H972" s="39" t="s">
        <v>534</v>
      </c>
      <c r="I972" s="39"/>
      <c r="J972" s="21" t="s">
        <v>144</v>
      </c>
      <c r="K972" s="21" t="s">
        <v>145</v>
      </c>
      <c r="L972" s="21" t="s">
        <v>203</v>
      </c>
      <c r="M972" s="21" t="s">
        <v>109</v>
      </c>
      <c r="N972" s="21" t="s">
        <v>109</v>
      </c>
      <c r="O972" s="20" t="s">
        <v>3344</v>
      </c>
      <c r="P972" s="45">
        <v>45966</v>
      </c>
      <c r="Q972" s="39" t="s">
        <v>3345</v>
      </c>
      <c r="R972" s="19">
        <v>3969.5</v>
      </c>
      <c r="S972" s="21">
        <v>0.2</v>
      </c>
      <c r="T972" s="21">
        <v>4763.3999999999996</v>
      </c>
      <c r="U972" s="60" t="s">
        <v>3346</v>
      </c>
      <c r="V972" s="22">
        <v>45975</v>
      </c>
      <c r="W972" s="54" t="s">
        <v>91</v>
      </c>
      <c r="X972" s="23"/>
      <c r="Y972" s="23" t="s">
        <v>92</v>
      </c>
      <c r="Z972" s="56" t="s">
        <v>928</v>
      </c>
      <c r="AA972" s="24">
        <v>863948</v>
      </c>
      <c r="AB972" s="19"/>
      <c r="AC972" s="19"/>
      <c r="AD972" s="15" t="e">
        <f ca="1">IF(AND($D972&lt;&gt;"",COUNTIF(OFFSET(UFS!$E$2,MATCH($D972&amp;"",UFS!$A$2:$A$175,0)-1,0,COUNTIF(UFS!$A$2:$A$175,$D972&amp;""),1),M972)&gt;0),"Valide","Invalide")</f>
        <v>#N/A</v>
      </c>
      <c r="AH972" s="15" t="str">
        <f t="shared" si="15"/>
        <v>En attente</v>
      </c>
    </row>
    <row r="973" spans="1:34" s="15" customFormat="1" ht="45" hidden="1" customHeight="1" x14ac:dyDescent="0.3">
      <c r="A973" s="42">
        <v>974</v>
      </c>
      <c r="B973" s="19" t="s">
        <v>6</v>
      </c>
      <c r="C973" s="19" t="s">
        <v>21</v>
      </c>
      <c r="D973" s="20" t="s">
        <v>200</v>
      </c>
      <c r="E973" s="20" t="s">
        <v>79</v>
      </c>
      <c r="F973" s="21" t="s">
        <v>80</v>
      </c>
      <c r="G973" s="38" t="s">
        <v>533</v>
      </c>
      <c r="H973" s="39" t="s">
        <v>534</v>
      </c>
      <c r="I973" s="39"/>
      <c r="J973" s="21" t="s">
        <v>144</v>
      </c>
      <c r="K973" s="21" t="s">
        <v>145</v>
      </c>
      <c r="L973" s="21" t="s">
        <v>203</v>
      </c>
      <c r="M973" s="21" t="s">
        <v>109</v>
      </c>
      <c r="N973" s="21" t="s">
        <v>109</v>
      </c>
      <c r="O973" s="20" t="s">
        <v>3347</v>
      </c>
      <c r="P973" s="45">
        <v>45973</v>
      </c>
      <c r="Q973" s="15" t="s">
        <v>3348</v>
      </c>
      <c r="R973" s="19">
        <v>5190.8999999999996</v>
      </c>
      <c r="S973" s="21">
        <v>0.2</v>
      </c>
      <c r="T973" s="21">
        <v>6229.08</v>
      </c>
      <c r="U973" s="60" t="s">
        <v>3349</v>
      </c>
      <c r="V973" s="22">
        <v>45975</v>
      </c>
      <c r="W973" s="54" t="s">
        <v>91</v>
      </c>
      <c r="X973" s="23"/>
      <c r="Y973" s="23" t="s">
        <v>92</v>
      </c>
      <c r="Z973" s="56" t="s">
        <v>928</v>
      </c>
      <c r="AA973" s="24">
        <v>863951</v>
      </c>
      <c r="AB973" s="19"/>
      <c r="AC973" s="19"/>
      <c r="AD973" s="15" t="e">
        <f ca="1">IF(AND($D973&lt;&gt;"",COUNTIF(OFFSET(UFS!$E$2,MATCH($D973&amp;"",UFS!$A$2:$A$175,0)-1,0,COUNTIF(UFS!$A$2:$A$175,$D973&amp;""),1),M973)&gt;0),"Valide","Invalide")</f>
        <v>#N/A</v>
      </c>
      <c r="AH973" s="15" t="str">
        <f t="shared" si="15"/>
        <v>En attente</v>
      </c>
    </row>
    <row r="974" spans="1:34" s="15" customFormat="1" ht="45" hidden="1" customHeight="1" x14ac:dyDescent="0.3">
      <c r="A974" s="42">
        <v>975</v>
      </c>
      <c r="B974" s="19" t="s">
        <v>6</v>
      </c>
      <c r="C974" s="19" t="s">
        <v>21</v>
      </c>
      <c r="D974" s="20" t="s">
        <v>200</v>
      </c>
      <c r="E974" s="20" t="s">
        <v>853</v>
      </c>
      <c r="F974" s="21" t="s">
        <v>80</v>
      </c>
      <c r="G974" s="38" t="s">
        <v>854</v>
      </c>
      <c r="H974" s="39" t="s">
        <v>534</v>
      </c>
      <c r="I974" s="39"/>
      <c r="J974" s="21" t="s">
        <v>144</v>
      </c>
      <c r="K974" s="21" t="s">
        <v>145</v>
      </c>
      <c r="L974" s="21" t="s">
        <v>203</v>
      </c>
      <c r="M974" s="21" t="s">
        <v>109</v>
      </c>
      <c r="N974" s="21" t="s">
        <v>109</v>
      </c>
      <c r="O974" s="20" t="s">
        <v>3350</v>
      </c>
      <c r="P974" s="45">
        <v>45929</v>
      </c>
      <c r="Q974" s="39" t="s">
        <v>3351</v>
      </c>
      <c r="R974" s="19">
        <v>2602.6</v>
      </c>
      <c r="S974" s="21">
        <v>0.2</v>
      </c>
      <c r="T974" s="21">
        <v>3123.12</v>
      </c>
      <c r="U974" s="44" t="s">
        <v>3352</v>
      </c>
      <c r="V974" s="22">
        <v>45975</v>
      </c>
      <c r="W974" s="54" t="s">
        <v>91</v>
      </c>
      <c r="X974" s="23"/>
      <c r="Y974" s="23" t="s">
        <v>92</v>
      </c>
      <c r="Z974" s="56"/>
      <c r="AA974" s="24">
        <v>3022</v>
      </c>
      <c r="AB974" s="19"/>
      <c r="AC974" s="19"/>
      <c r="AD974" s="15" t="e">
        <f ca="1">IF(AND($D974&lt;&gt;"",COUNTIF(OFFSET(UFS!$E$2,MATCH($D974&amp;"",UFS!$A$2:$A$175,0)-1,0,COUNTIF(UFS!$A$2:$A$175,$D974&amp;""),1),M974)&gt;0),"Valide","Invalide")</f>
        <v>#N/A</v>
      </c>
      <c r="AH974" s="15" t="str">
        <f t="shared" si="15"/>
        <v>En attente</v>
      </c>
    </row>
    <row r="975" spans="1:34" s="15" customFormat="1" ht="45" hidden="1" customHeight="1" x14ac:dyDescent="0.3">
      <c r="A975" s="42">
        <v>976</v>
      </c>
      <c r="B975" s="19" t="s">
        <v>26</v>
      </c>
      <c r="C975" s="19" t="s">
        <v>1</v>
      </c>
      <c r="D975" s="20" t="s">
        <v>920</v>
      </c>
      <c r="E975" s="20" t="s">
        <v>79</v>
      </c>
      <c r="F975" s="21" t="s">
        <v>80</v>
      </c>
      <c r="G975" s="38" t="s">
        <v>182</v>
      </c>
      <c r="H975" s="39" t="s">
        <v>82</v>
      </c>
      <c r="I975" s="39" t="s">
        <v>83</v>
      </c>
      <c r="J975" s="21" t="s">
        <v>144</v>
      </c>
      <c r="K975" s="21" t="s">
        <v>145</v>
      </c>
      <c r="L975" s="21" t="s">
        <v>225</v>
      </c>
      <c r="M975" s="21" t="s">
        <v>226</v>
      </c>
      <c r="N975" s="21" t="s">
        <v>921</v>
      </c>
      <c r="O975" s="20" t="s">
        <v>3353</v>
      </c>
      <c r="P975" s="45">
        <v>45971</v>
      </c>
      <c r="Q975" s="39" t="s">
        <v>3354</v>
      </c>
      <c r="R975" s="19">
        <v>2434.3200000000002</v>
      </c>
      <c r="S975" s="21">
        <v>0.2</v>
      </c>
      <c r="T975" s="21">
        <v>2921.1840000000002</v>
      </c>
      <c r="U975" s="60" t="s">
        <v>3355</v>
      </c>
      <c r="V975" s="22">
        <v>45975</v>
      </c>
      <c r="W975" s="54" t="s">
        <v>91</v>
      </c>
      <c r="X975" s="23"/>
      <c r="Y975" s="23" t="s">
        <v>92</v>
      </c>
      <c r="Z975" s="56" t="s">
        <v>928</v>
      </c>
      <c r="AA975" s="24">
        <v>863954</v>
      </c>
      <c r="AB975" s="19"/>
      <c r="AC975" s="19"/>
      <c r="AD975" s="15" t="str">
        <f ca="1">IF(AND($D975&lt;&gt;"",COUNTIF(OFFSET(UFS!$E$2,MATCH($D975&amp;"",UFS!$A$2:$A$175,0)-1,0,COUNTIF(UFS!$A$2:$A$175,$D975&amp;""),1),M975)&gt;0),"Valide","Invalide")</f>
        <v>Valide</v>
      </c>
      <c r="AH975" s="15" t="str">
        <f t="shared" si="15"/>
        <v>En attente</v>
      </c>
    </row>
    <row r="976" spans="1:34" s="15" customFormat="1" ht="45" hidden="1" customHeight="1" x14ac:dyDescent="0.3">
      <c r="A976" s="42">
        <v>977</v>
      </c>
      <c r="B976" s="19" t="s">
        <v>6</v>
      </c>
      <c r="C976" s="19" t="s">
        <v>21</v>
      </c>
      <c r="D976" s="20" t="s">
        <v>200</v>
      </c>
      <c r="E976" s="20" t="s">
        <v>79</v>
      </c>
      <c r="F976" s="21" t="s">
        <v>80</v>
      </c>
      <c r="G976" s="38" t="s">
        <v>533</v>
      </c>
      <c r="H976" s="39" t="s">
        <v>534</v>
      </c>
      <c r="I976" s="39"/>
      <c r="J976" s="21" t="s">
        <v>144</v>
      </c>
      <c r="K976" s="21" t="s">
        <v>145</v>
      </c>
      <c r="L976" s="21" t="s">
        <v>203</v>
      </c>
      <c r="M976" s="21" t="s">
        <v>109</v>
      </c>
      <c r="N976" s="21" t="s">
        <v>109</v>
      </c>
      <c r="O976" s="20" t="s">
        <v>3356</v>
      </c>
      <c r="P976" s="45">
        <v>45975</v>
      </c>
      <c r="Q976" s="39" t="s">
        <v>3357</v>
      </c>
      <c r="R976" s="19">
        <v>2090</v>
      </c>
      <c r="S976" s="21">
        <v>0.2</v>
      </c>
      <c r="T976" s="21">
        <v>2508</v>
      </c>
      <c r="U976" s="44" t="s">
        <v>3358</v>
      </c>
      <c r="V976" s="22">
        <v>45975</v>
      </c>
      <c r="W976" s="54" t="s">
        <v>91</v>
      </c>
      <c r="X976" s="23"/>
      <c r="Y976" s="23" t="s">
        <v>92</v>
      </c>
      <c r="Z976" s="56" t="s">
        <v>928</v>
      </c>
      <c r="AA976" s="24">
        <v>863956</v>
      </c>
      <c r="AB976" s="19"/>
      <c r="AC976" s="19"/>
      <c r="AD976" s="15" t="e">
        <f ca="1">IF(AND($D976&lt;&gt;"",COUNTIF(OFFSET(UFS!$E$2,MATCH($D976&amp;"",UFS!$A$2:$A$175,0)-1,0,COUNTIF(UFS!$A$2:$A$175,$D976&amp;""),1),M976)&gt;0),"Valide","Invalide")</f>
        <v>#N/A</v>
      </c>
      <c r="AH976" s="15" t="str">
        <f t="shared" si="15"/>
        <v>En attente</v>
      </c>
    </row>
    <row r="977" spans="1:34" s="15" customFormat="1" ht="45" hidden="1" customHeight="1" x14ac:dyDescent="0.3">
      <c r="A977" s="42">
        <v>978</v>
      </c>
      <c r="B977" s="19" t="s">
        <v>6</v>
      </c>
      <c r="C977" s="19" t="s">
        <v>21</v>
      </c>
      <c r="D977" s="20" t="s">
        <v>200</v>
      </c>
      <c r="E977" s="20" t="s">
        <v>79</v>
      </c>
      <c r="F977" s="21" t="s">
        <v>80</v>
      </c>
      <c r="G977" s="38" t="s">
        <v>533</v>
      </c>
      <c r="H977" s="39" t="s">
        <v>534</v>
      </c>
      <c r="I977" s="39"/>
      <c r="J977" s="21" t="s">
        <v>144</v>
      </c>
      <c r="K977" s="21" t="s">
        <v>145</v>
      </c>
      <c r="L977" s="21" t="s">
        <v>203</v>
      </c>
      <c r="M977" s="21" t="s">
        <v>109</v>
      </c>
      <c r="N977" s="21" t="s">
        <v>109</v>
      </c>
      <c r="O977" s="20" t="s">
        <v>3359</v>
      </c>
      <c r="P977" s="45">
        <v>45975</v>
      </c>
      <c r="Q977" s="39" t="s">
        <v>3360</v>
      </c>
      <c r="R977" s="19">
        <v>6422.5</v>
      </c>
      <c r="S977" s="21">
        <v>0.2</v>
      </c>
      <c r="T977" s="21">
        <v>7707</v>
      </c>
      <c r="U977" s="44" t="s">
        <v>3361</v>
      </c>
      <c r="V977" s="22">
        <v>45975</v>
      </c>
      <c r="W977" s="54" t="s">
        <v>91</v>
      </c>
      <c r="X977" s="23"/>
      <c r="Y977" s="23" t="s">
        <v>92</v>
      </c>
      <c r="Z977" s="56" t="s">
        <v>928</v>
      </c>
      <c r="AA977" s="24">
        <v>863959</v>
      </c>
      <c r="AB977" s="19"/>
      <c r="AC977" s="19"/>
      <c r="AD977" s="15" t="e">
        <f ca="1">IF(AND($D977&lt;&gt;"",COUNTIF(OFFSET(UFS!$E$2,MATCH($D977&amp;"",UFS!$A$2:$A$175,0)-1,0,COUNTIF(UFS!$A$2:$A$175,$D977&amp;""),1),M977)&gt;0),"Valide","Invalide")</f>
        <v>#N/A</v>
      </c>
      <c r="AH977" s="15" t="str">
        <f t="shared" si="15"/>
        <v>En attente</v>
      </c>
    </row>
    <row r="978" spans="1:34" s="15" customFormat="1" ht="45" hidden="1" customHeight="1" x14ac:dyDescent="0.3">
      <c r="A978" s="42">
        <v>979</v>
      </c>
      <c r="B978" s="19" t="s">
        <v>24</v>
      </c>
      <c r="C978" s="19" t="s">
        <v>15</v>
      </c>
      <c r="D978" s="20" t="s">
        <v>283</v>
      </c>
      <c r="E978" s="20" t="s">
        <v>79</v>
      </c>
      <c r="F978" s="21" t="s">
        <v>80</v>
      </c>
      <c r="G978" s="38" t="s">
        <v>182</v>
      </c>
      <c r="H978" s="39"/>
      <c r="I978" s="39" t="s">
        <v>83</v>
      </c>
      <c r="J978" s="21" t="s">
        <v>124</v>
      </c>
      <c r="K978" s="21" t="s">
        <v>235</v>
      </c>
      <c r="L978" s="21" t="s">
        <v>177</v>
      </c>
      <c r="M978" s="21" t="s">
        <v>284</v>
      </c>
      <c r="N978" s="21" t="s">
        <v>151</v>
      </c>
      <c r="O978" s="20" t="s">
        <v>3362</v>
      </c>
      <c r="P978" s="45">
        <v>45967</v>
      </c>
      <c r="Q978" s="39" t="s">
        <v>3363</v>
      </c>
      <c r="R978" s="19">
        <v>9999.06</v>
      </c>
      <c r="S978" s="21">
        <v>0.2</v>
      </c>
      <c r="T978" s="21">
        <v>11998.871999999999</v>
      </c>
      <c r="U978" s="44" t="s">
        <v>3364</v>
      </c>
      <c r="V978" s="22">
        <v>45976</v>
      </c>
      <c r="W978" s="54" t="s">
        <v>91</v>
      </c>
      <c r="X978" s="23"/>
      <c r="Y978" s="23" t="s">
        <v>92</v>
      </c>
      <c r="Z978" s="56" t="s">
        <v>928</v>
      </c>
      <c r="AA978" s="24">
        <v>863962</v>
      </c>
      <c r="AB978" s="47">
        <v>46006</v>
      </c>
      <c r="AC978" s="46" t="s">
        <v>94</v>
      </c>
      <c r="AD978" s="15" t="str">
        <f ca="1">IF(AND($D978&lt;&gt;"",COUNTIF(OFFSET(UFS!$E$2,MATCH($D978&amp;"",UFS!$A$2:$A$175,0)-1,0,COUNTIF(UFS!$A$2:$A$175,$D978&amp;""),1),M978)&gt;0),"Valide","Invalide")</f>
        <v>Valide</v>
      </c>
      <c r="AH978" s="15" t="str">
        <f t="shared" si="15"/>
        <v>En attente</v>
      </c>
    </row>
    <row r="979" spans="1:34" s="15" customFormat="1" ht="45" hidden="1" customHeight="1" x14ac:dyDescent="0.3">
      <c r="A979" s="42">
        <v>980</v>
      </c>
      <c r="B979" s="19" t="s">
        <v>24</v>
      </c>
      <c r="C979" s="19" t="s">
        <v>15</v>
      </c>
      <c r="D979" s="20" t="s">
        <v>3365</v>
      </c>
      <c r="E979" s="20" t="s">
        <v>79</v>
      </c>
      <c r="F979" s="21" t="s">
        <v>80</v>
      </c>
      <c r="G979" s="38" t="s">
        <v>81</v>
      </c>
      <c r="H979" s="39"/>
      <c r="I979" s="39" t="s">
        <v>83</v>
      </c>
      <c r="J979" s="21" t="s">
        <v>84</v>
      </c>
      <c r="K979" s="21" t="s">
        <v>3366</v>
      </c>
      <c r="L979" s="21" t="s">
        <v>114</v>
      </c>
      <c r="M979" s="21" t="s">
        <v>3367</v>
      </c>
      <c r="N979" s="21" t="s">
        <v>3368</v>
      </c>
      <c r="O979" s="20" t="s">
        <v>3369</v>
      </c>
      <c r="P979" s="45">
        <v>45973</v>
      </c>
      <c r="Q979" s="39" t="s">
        <v>3370</v>
      </c>
      <c r="R979" s="19">
        <v>1575.98</v>
      </c>
      <c r="S979" s="21">
        <v>0.2</v>
      </c>
      <c r="T979" s="21">
        <v>1891.1759999999999</v>
      </c>
      <c r="U979" s="44" t="s">
        <v>3371</v>
      </c>
      <c r="V979" s="22">
        <v>45976</v>
      </c>
      <c r="W979" s="54" t="s">
        <v>91</v>
      </c>
      <c r="X979" s="23"/>
      <c r="Y979" s="23" t="s">
        <v>92</v>
      </c>
      <c r="Z979" s="56" t="s">
        <v>928</v>
      </c>
      <c r="AA979" s="24">
        <v>863963</v>
      </c>
      <c r="AB979" s="47">
        <v>45975</v>
      </c>
      <c r="AC979" s="46" t="s">
        <v>94</v>
      </c>
      <c r="AD979" s="15" t="str">
        <f ca="1">IF(AND($D979&lt;&gt;"",COUNTIF(OFFSET(UFS!$E$2,MATCH($D979&amp;"",UFS!$A$2:$A$175,0)-1,0,COUNTIF(UFS!$A$2:$A$175,$D979&amp;""),1),M979)&gt;0),"Valide","Invalide")</f>
        <v>Valide</v>
      </c>
      <c r="AH979" s="15" t="str">
        <f t="shared" si="15"/>
        <v>En attente</v>
      </c>
    </row>
    <row r="980" spans="1:34" s="15" customFormat="1" ht="45" hidden="1" customHeight="1" x14ac:dyDescent="0.3">
      <c r="A980" s="42">
        <v>981</v>
      </c>
      <c r="B980" s="19" t="s">
        <v>24</v>
      </c>
      <c r="C980" s="19" t="s">
        <v>15</v>
      </c>
      <c r="D980" s="20" t="s">
        <v>174</v>
      </c>
      <c r="E980" s="20" t="s">
        <v>79</v>
      </c>
      <c r="F980" s="21" t="s">
        <v>80</v>
      </c>
      <c r="G980" s="38" t="s">
        <v>81</v>
      </c>
      <c r="H980" s="39"/>
      <c r="I980" s="39" t="s">
        <v>83</v>
      </c>
      <c r="J980" s="21" t="s">
        <v>124</v>
      </c>
      <c r="K980" s="21" t="s">
        <v>125</v>
      </c>
      <c r="L980" s="21" t="s">
        <v>177</v>
      </c>
      <c r="M980" s="21" t="s">
        <v>136</v>
      </c>
      <c r="N980" s="21" t="s">
        <v>102</v>
      </c>
      <c r="O980" s="20" t="s">
        <v>3372</v>
      </c>
      <c r="P980" s="45">
        <v>45958</v>
      </c>
      <c r="Q980" s="39" t="s">
        <v>3373</v>
      </c>
      <c r="R980" s="53">
        <v>2525.02</v>
      </c>
      <c r="S980" s="21">
        <v>0.1</v>
      </c>
      <c r="T980" s="21">
        <v>2777.5219999999999</v>
      </c>
      <c r="U980" s="44" t="s">
        <v>3374</v>
      </c>
      <c r="V980" s="22">
        <v>45976</v>
      </c>
      <c r="W980" s="54" t="s">
        <v>91</v>
      </c>
      <c r="X980" s="23"/>
      <c r="Y980" s="23" t="s">
        <v>92</v>
      </c>
      <c r="Z980" s="56" t="s">
        <v>928</v>
      </c>
      <c r="AA980" s="24">
        <v>863965</v>
      </c>
      <c r="AB980" s="45">
        <v>46028</v>
      </c>
      <c r="AC980" s="46" t="s">
        <v>94</v>
      </c>
      <c r="AD980" s="15" t="str">
        <f ca="1">IF(AND($D980&lt;&gt;"",COUNTIF(OFFSET(UFS!$E$2,MATCH($D980&amp;"",UFS!$A$2:$A$175,0)-1,0,COUNTIF(UFS!$A$2:$A$175,$D980&amp;""),1),M980)&gt;0),"Valide","Invalide")</f>
        <v>Valide</v>
      </c>
      <c r="AH980" s="15" t="str">
        <f t="shared" si="15"/>
        <v>En attente</v>
      </c>
    </row>
    <row r="981" spans="1:34" s="15" customFormat="1" ht="45" customHeight="1" x14ac:dyDescent="0.3">
      <c r="A981" s="42">
        <v>982</v>
      </c>
      <c r="B981" s="19" t="s">
        <v>24</v>
      </c>
      <c r="C981" s="19" t="s">
        <v>35</v>
      </c>
      <c r="D981" s="20" t="s">
        <v>360</v>
      </c>
      <c r="E981" s="20" t="s">
        <v>79</v>
      </c>
      <c r="F981" s="21" t="s">
        <v>80</v>
      </c>
      <c r="G981" s="38" t="s">
        <v>81</v>
      </c>
      <c r="H981" s="39"/>
      <c r="I981" s="39" t="s">
        <v>83</v>
      </c>
      <c r="J981" s="21" t="s">
        <v>361</v>
      </c>
      <c r="K981" s="21" t="s">
        <v>362</v>
      </c>
      <c r="L981" s="21" t="s">
        <v>114</v>
      </c>
      <c r="M981" s="21" t="s">
        <v>363</v>
      </c>
      <c r="N981" s="21" t="s">
        <v>151</v>
      </c>
      <c r="O981" s="20" t="s">
        <v>3375</v>
      </c>
      <c r="P981" s="45">
        <v>45975</v>
      </c>
      <c r="Q981" s="39" t="s">
        <v>3376</v>
      </c>
      <c r="R981" s="19">
        <v>1782.83</v>
      </c>
      <c r="S981" s="21">
        <v>0.2</v>
      </c>
      <c r="T981" s="21">
        <v>2139.3959999999997</v>
      </c>
      <c r="U981" s="44" t="s">
        <v>3377</v>
      </c>
      <c r="V981" s="22">
        <v>45978</v>
      </c>
      <c r="W981" s="54" t="s">
        <v>91</v>
      </c>
      <c r="X981" s="23"/>
      <c r="Y981" s="23" t="s">
        <v>92</v>
      </c>
      <c r="Z981" s="56" t="s">
        <v>928</v>
      </c>
      <c r="AA981" s="24">
        <v>863968</v>
      </c>
      <c r="AB981" s="47">
        <v>45985</v>
      </c>
      <c r="AC981" s="49" t="s">
        <v>161</v>
      </c>
      <c r="AD981" s="15" t="str">
        <f ca="1">IF(AND($D981&lt;&gt;"",COUNTIF(OFFSET(UFS!$E$2,MATCH($D981&amp;"",UFS!$A$2:$A$175,0)-1,0,COUNTIF(UFS!$A$2:$A$175,$D981&amp;""),1),M981)&gt;0),"Valide","Invalide")</f>
        <v>Valide</v>
      </c>
      <c r="AH981" s="15" t="str">
        <f t="shared" si="15"/>
        <v>En attente</v>
      </c>
    </row>
    <row r="982" spans="1:34" s="15" customFormat="1" ht="45" hidden="1" customHeight="1" x14ac:dyDescent="0.3">
      <c r="A982" s="42">
        <v>983</v>
      </c>
      <c r="B982" s="19" t="s">
        <v>24</v>
      </c>
      <c r="C982" s="19" t="s">
        <v>11</v>
      </c>
      <c r="D982" s="20" t="s">
        <v>460</v>
      </c>
      <c r="E982" s="20" t="s">
        <v>79</v>
      </c>
      <c r="F982" s="21" t="s">
        <v>80</v>
      </c>
      <c r="G982" s="38" t="s">
        <v>182</v>
      </c>
      <c r="H982" s="39"/>
      <c r="I982" s="39"/>
      <c r="J982" s="21" t="s">
        <v>461</v>
      </c>
      <c r="K982" s="21" t="s">
        <v>145</v>
      </c>
      <c r="L982" s="21" t="s">
        <v>120</v>
      </c>
      <c r="M982" s="21" t="s">
        <v>343</v>
      </c>
      <c r="N982" s="21" t="s">
        <v>87</v>
      </c>
      <c r="O982" s="20" t="s">
        <v>3378</v>
      </c>
      <c r="P982" s="45">
        <v>45976</v>
      </c>
      <c r="Q982" s="39" t="s">
        <v>1179</v>
      </c>
      <c r="R982" s="19">
        <v>9882.4</v>
      </c>
      <c r="S982" s="21">
        <v>0.2</v>
      </c>
      <c r="T982" s="21">
        <v>11858.88</v>
      </c>
      <c r="U982" s="44" t="s">
        <v>3379</v>
      </c>
      <c r="V982" s="22">
        <v>45978</v>
      </c>
      <c r="W982" s="54" t="s">
        <v>91</v>
      </c>
      <c r="X982" s="23"/>
      <c r="Y982" s="23" t="s">
        <v>92</v>
      </c>
      <c r="Z982" s="56" t="s">
        <v>928</v>
      </c>
      <c r="AA982" s="24">
        <v>863970</v>
      </c>
      <c r="AB982" s="47">
        <v>46001</v>
      </c>
      <c r="AC982" s="46" t="s">
        <v>94</v>
      </c>
      <c r="AD982" s="15" t="str">
        <f ca="1">IF(AND($D982&lt;&gt;"",COUNTIF(OFFSET(UFS!$E$2,MATCH($D982&amp;"",UFS!$A$2:$A$175,0)-1,0,COUNTIF(UFS!$A$2:$A$175,$D982&amp;""),1),M982)&gt;0),"Valide","Invalide")</f>
        <v>Valide</v>
      </c>
      <c r="AH982" s="15" t="str">
        <f t="shared" si="15"/>
        <v>En attente</v>
      </c>
    </row>
    <row r="983" spans="1:34" s="15" customFormat="1" ht="45" hidden="1" customHeight="1" x14ac:dyDescent="0.3">
      <c r="A983" s="42">
        <v>984</v>
      </c>
      <c r="B983" s="19" t="s">
        <v>26</v>
      </c>
      <c r="C983" s="19" t="s">
        <v>28</v>
      </c>
      <c r="D983" s="20" t="s">
        <v>1669</v>
      </c>
      <c r="E983" s="20" t="s">
        <v>96</v>
      </c>
      <c r="F983" s="21" t="s">
        <v>80</v>
      </c>
      <c r="G983" s="38" t="s">
        <v>294</v>
      </c>
      <c r="H983" s="39"/>
      <c r="I983" s="39" t="s">
        <v>1670</v>
      </c>
      <c r="J983" s="21" t="s">
        <v>144</v>
      </c>
      <c r="K983" s="21" t="s">
        <v>145</v>
      </c>
      <c r="L983" s="21" t="s">
        <v>146</v>
      </c>
      <c r="M983" s="21" t="s">
        <v>1671</v>
      </c>
      <c r="N983" s="21" t="s">
        <v>813</v>
      </c>
      <c r="O983" s="20" t="s">
        <v>3380</v>
      </c>
      <c r="P983" s="45">
        <v>45978</v>
      </c>
      <c r="Q983" s="39" t="s">
        <v>3381</v>
      </c>
      <c r="R983" s="19">
        <v>3415.5</v>
      </c>
      <c r="S983" s="21">
        <v>0.1</v>
      </c>
      <c r="T983" s="21">
        <v>3757.05</v>
      </c>
      <c r="U983" s="60" t="s">
        <v>3382</v>
      </c>
      <c r="V983" s="22">
        <v>45978</v>
      </c>
      <c r="W983" s="54" t="s">
        <v>91</v>
      </c>
      <c r="X983" s="23"/>
      <c r="Y983" s="23" t="s">
        <v>92</v>
      </c>
      <c r="Z983" s="56" t="s">
        <v>928</v>
      </c>
      <c r="AA983" s="24">
        <v>863972</v>
      </c>
      <c r="AB983" s="19"/>
      <c r="AC983" s="19"/>
      <c r="AD983" s="15" t="str">
        <f ca="1">IF(AND($D983&lt;&gt;"",COUNTIF(OFFSET(UFS!$E$2,MATCH($D983&amp;"",UFS!$A$2:$A$175,0)-1,0,COUNTIF(UFS!$A$2:$A$175,$D983&amp;""),1),M983)&gt;0),"Valide","Invalide")</f>
        <v>Valide</v>
      </c>
      <c r="AH983" s="15" t="str">
        <f t="shared" si="15"/>
        <v>En attente</v>
      </c>
    </row>
    <row r="984" spans="1:34" s="15" customFormat="1" ht="45" hidden="1" customHeight="1" x14ac:dyDescent="0.3">
      <c r="A984" s="42">
        <v>985</v>
      </c>
      <c r="B984" s="19" t="s">
        <v>26</v>
      </c>
      <c r="C984" s="19" t="s">
        <v>35</v>
      </c>
      <c r="D984" s="20" t="s">
        <v>598</v>
      </c>
      <c r="E984" s="20" t="s">
        <v>79</v>
      </c>
      <c r="F984" s="21" t="s">
        <v>80</v>
      </c>
      <c r="G984" s="38" t="s">
        <v>182</v>
      </c>
      <c r="H984" s="39"/>
      <c r="I984" s="39" t="s">
        <v>83</v>
      </c>
      <c r="J984" s="21" t="s">
        <v>183</v>
      </c>
      <c r="K984" s="21" t="s">
        <v>184</v>
      </c>
      <c r="L984" s="21" t="s">
        <v>492</v>
      </c>
      <c r="M984" s="21" t="s">
        <v>186</v>
      </c>
      <c r="N984" s="21" t="s">
        <v>102</v>
      </c>
      <c r="O984" s="20" t="s">
        <v>3383</v>
      </c>
      <c r="P984" s="45">
        <v>45978</v>
      </c>
      <c r="Q984" s="39" t="s">
        <v>3384</v>
      </c>
      <c r="R984" s="19">
        <v>1670.46</v>
      </c>
      <c r="S984" s="21">
        <v>0.1</v>
      </c>
      <c r="T984" s="21">
        <v>1837.5060000000001</v>
      </c>
      <c r="U984" s="60" t="s">
        <v>3385</v>
      </c>
      <c r="V984" s="22">
        <v>45978</v>
      </c>
      <c r="W984" s="54" t="s">
        <v>91</v>
      </c>
      <c r="X984" s="23"/>
      <c r="Y984" s="23" t="s">
        <v>92</v>
      </c>
      <c r="Z984" s="56" t="s">
        <v>928</v>
      </c>
      <c r="AA984" s="24">
        <v>863975</v>
      </c>
      <c r="AB984" s="19"/>
      <c r="AC984" s="19"/>
      <c r="AD984" s="15" t="str">
        <f ca="1">IF(AND($D984&lt;&gt;"",COUNTIF(OFFSET(UFS!$E$2,MATCH($D984&amp;"",UFS!$A$2:$A$175,0)-1,0,COUNTIF(UFS!$A$2:$A$175,$D984&amp;""),1),M984)&gt;0),"Valide","Invalide")</f>
        <v>Valide</v>
      </c>
      <c r="AH984" s="15" t="str">
        <f t="shared" si="15"/>
        <v>En attente</v>
      </c>
    </row>
    <row r="985" spans="1:34" s="15" customFormat="1" ht="45" hidden="1" customHeight="1" x14ac:dyDescent="0.3">
      <c r="A985" s="42">
        <v>986</v>
      </c>
      <c r="B985" s="19" t="s">
        <v>20</v>
      </c>
      <c r="C985" s="19" t="s">
        <v>37</v>
      </c>
      <c r="D985" s="20" t="s">
        <v>251</v>
      </c>
      <c r="E985" s="20" t="s">
        <v>79</v>
      </c>
      <c r="F985" s="21" t="s">
        <v>80</v>
      </c>
      <c r="G985" s="38" t="s">
        <v>241</v>
      </c>
      <c r="H985" s="39" t="s">
        <v>367</v>
      </c>
      <c r="I985" s="39" t="s">
        <v>368</v>
      </c>
      <c r="J985" s="21" t="s">
        <v>144</v>
      </c>
      <c r="K985" s="21" t="s">
        <v>145</v>
      </c>
      <c r="L985" s="21" t="s">
        <v>254</v>
      </c>
      <c r="M985" s="21" t="s">
        <v>255</v>
      </c>
      <c r="N985" s="21" t="s">
        <v>256</v>
      </c>
      <c r="O985" s="20" t="s">
        <v>3386</v>
      </c>
      <c r="P985" s="45">
        <v>45951</v>
      </c>
      <c r="Q985" s="39" t="s">
        <v>3387</v>
      </c>
      <c r="R985" s="19">
        <v>691.35</v>
      </c>
      <c r="S985" s="21">
        <v>0.2</v>
      </c>
      <c r="T985" s="21">
        <v>829.62</v>
      </c>
      <c r="U985" s="44" t="s">
        <v>3388</v>
      </c>
      <c r="V985" s="22">
        <v>45979</v>
      </c>
      <c r="W985" s="54" t="s">
        <v>91</v>
      </c>
      <c r="X985" s="23"/>
      <c r="Y985" s="23" t="s">
        <v>92</v>
      </c>
      <c r="Z985" s="56" t="s">
        <v>3389</v>
      </c>
      <c r="AA985" s="24">
        <v>865080</v>
      </c>
      <c r="AB985" s="19"/>
      <c r="AC985" s="46" t="s">
        <v>94</v>
      </c>
      <c r="AD985" s="15" t="str">
        <f ca="1">IF(AND($D985&lt;&gt;"",COUNTIF(OFFSET(UFS!$E$2,MATCH($D985&amp;"",UFS!$A$2:$A$175,0)-1,0,COUNTIF(UFS!$A$2:$A$175,$D985&amp;""),1),M985)&gt;0),"Valide","Invalide")</f>
        <v>Valide</v>
      </c>
      <c r="AH985" s="15" t="str">
        <f t="shared" si="15"/>
        <v>En attente</v>
      </c>
    </row>
    <row r="986" spans="1:34" s="15" customFormat="1" ht="45" hidden="1" customHeight="1" x14ac:dyDescent="0.3">
      <c r="A986" s="42">
        <v>987</v>
      </c>
      <c r="B986" s="19" t="s">
        <v>20</v>
      </c>
      <c r="C986" s="19" t="s">
        <v>37</v>
      </c>
      <c r="D986" s="20" t="s">
        <v>406</v>
      </c>
      <c r="E986" s="20" t="s">
        <v>79</v>
      </c>
      <c r="F986" s="21" t="s">
        <v>80</v>
      </c>
      <c r="G986" s="38" t="s">
        <v>241</v>
      </c>
      <c r="H986" s="39" t="s">
        <v>367</v>
      </c>
      <c r="I986" s="39" t="s">
        <v>368</v>
      </c>
      <c r="J986" s="21" t="s">
        <v>407</v>
      </c>
      <c r="K986" s="21" t="s">
        <v>108</v>
      </c>
      <c r="L986" s="21" t="s">
        <v>100</v>
      </c>
      <c r="M986" s="21" t="s">
        <v>108</v>
      </c>
      <c r="N986" s="21" t="s">
        <v>408</v>
      </c>
      <c r="O986" s="20" t="s">
        <v>3390</v>
      </c>
      <c r="P986" s="45">
        <v>45952</v>
      </c>
      <c r="Q986" s="39" t="s">
        <v>3391</v>
      </c>
      <c r="R986" s="19">
        <v>691.35</v>
      </c>
      <c r="S986" s="21">
        <v>0.2</v>
      </c>
      <c r="T986" s="21">
        <v>829.62</v>
      </c>
      <c r="U986" s="44" t="s">
        <v>371</v>
      </c>
      <c r="V986" s="22">
        <v>45979</v>
      </c>
      <c r="W986" s="54" t="s">
        <v>91</v>
      </c>
      <c r="X986" s="23"/>
      <c r="Y986" s="23" t="s">
        <v>92</v>
      </c>
      <c r="Z986" s="56" t="s">
        <v>3389</v>
      </c>
      <c r="AA986" s="24">
        <v>865085</v>
      </c>
      <c r="AB986" s="19"/>
      <c r="AC986" s="49" t="s">
        <v>161</v>
      </c>
      <c r="AD986" s="15" t="str">
        <f ca="1">IF(AND($D986&lt;&gt;"",COUNTIF(OFFSET(UFS!$E$2,MATCH($D986&amp;"",UFS!$A$2:$A$175,0)-1,0,COUNTIF(UFS!$A$2:$A$175,$D986&amp;""),1),M986)&gt;0),"Valide","Invalide")</f>
        <v>Valide</v>
      </c>
      <c r="AH986" s="15" t="str">
        <f t="shared" si="15"/>
        <v>En attente</v>
      </c>
    </row>
    <row r="987" spans="1:34" s="15" customFormat="1" ht="45" hidden="1" customHeight="1" x14ac:dyDescent="0.3">
      <c r="A987" s="42">
        <v>988</v>
      </c>
      <c r="B987" s="19" t="s">
        <v>20</v>
      </c>
      <c r="C987" s="19" t="s">
        <v>37</v>
      </c>
      <c r="D987" s="20" t="s">
        <v>95</v>
      </c>
      <c r="E987" s="20" t="s">
        <v>79</v>
      </c>
      <c r="F987" s="21" t="s">
        <v>80</v>
      </c>
      <c r="G987" s="38" t="s">
        <v>241</v>
      </c>
      <c r="H987" s="39" t="s">
        <v>367</v>
      </c>
      <c r="I987" s="39" t="s">
        <v>368</v>
      </c>
      <c r="J987" s="21" t="s">
        <v>98</v>
      </c>
      <c r="K987" s="21" t="s">
        <v>99</v>
      </c>
      <c r="L987" s="21" t="s">
        <v>100</v>
      </c>
      <c r="M987" s="21" t="s">
        <v>101</v>
      </c>
      <c r="N987" s="21" t="s">
        <v>102</v>
      </c>
      <c r="O987" s="20" t="s">
        <v>3392</v>
      </c>
      <c r="P987" s="45">
        <v>45952</v>
      </c>
      <c r="Q987" s="39" t="s">
        <v>3393</v>
      </c>
      <c r="R987" s="19">
        <v>1337.7</v>
      </c>
      <c r="S987" s="21">
        <v>0.1</v>
      </c>
      <c r="T987" s="21">
        <v>1471.47</v>
      </c>
      <c r="U987" s="44" t="s">
        <v>371</v>
      </c>
      <c r="V987" s="22">
        <v>45979</v>
      </c>
      <c r="W987" s="54" t="s">
        <v>91</v>
      </c>
      <c r="X987" s="23"/>
      <c r="Y987" s="23" t="s">
        <v>92</v>
      </c>
      <c r="Z987" s="56" t="s">
        <v>3389</v>
      </c>
      <c r="AA987" s="24">
        <v>865131</v>
      </c>
      <c r="AB987" s="19"/>
      <c r="AC987" s="49" t="s">
        <v>161</v>
      </c>
      <c r="AD987" s="15" t="str">
        <f ca="1">IF(AND($D987&lt;&gt;"",COUNTIF(OFFSET(UFS!$E$2,MATCH($D987&amp;"",UFS!$A$2:$A$175,0)-1,0,COUNTIF(UFS!$A$2:$A$175,$D987&amp;""),1),M987)&gt;0),"Valide","Invalide")</f>
        <v>Valide</v>
      </c>
      <c r="AH987" s="15" t="str">
        <f t="shared" si="15"/>
        <v>En attente</v>
      </c>
    </row>
    <row r="988" spans="1:34" s="15" customFormat="1" ht="45" hidden="1" customHeight="1" x14ac:dyDescent="0.3">
      <c r="A988" s="42">
        <v>989</v>
      </c>
      <c r="B988" s="19" t="s">
        <v>20</v>
      </c>
      <c r="C988" s="19" t="s">
        <v>37</v>
      </c>
      <c r="D988" s="20" t="s">
        <v>406</v>
      </c>
      <c r="E988" s="20" t="s">
        <v>79</v>
      </c>
      <c r="F988" s="21" t="s">
        <v>80</v>
      </c>
      <c r="G988" s="38" t="s">
        <v>241</v>
      </c>
      <c r="H988" s="39" t="s">
        <v>367</v>
      </c>
      <c r="I988" s="39" t="s">
        <v>368</v>
      </c>
      <c r="J988" s="21" t="s">
        <v>407</v>
      </c>
      <c r="K988" s="21" t="s">
        <v>108</v>
      </c>
      <c r="L988" s="21" t="s">
        <v>100</v>
      </c>
      <c r="M988" s="21" t="s">
        <v>108</v>
      </c>
      <c r="N988" s="21" t="s">
        <v>408</v>
      </c>
      <c r="O988" s="20" t="s">
        <v>3394</v>
      </c>
      <c r="P988" s="45">
        <v>45952</v>
      </c>
      <c r="Q988" s="39" t="s">
        <v>3395</v>
      </c>
      <c r="R988" s="19">
        <v>554.12</v>
      </c>
      <c r="S988" s="21">
        <v>0.2</v>
      </c>
      <c r="T988" s="21">
        <v>664.94399999999996</v>
      </c>
      <c r="U988" s="44" t="s">
        <v>371</v>
      </c>
      <c r="V988" s="22">
        <v>45979</v>
      </c>
      <c r="W988" s="54" t="s">
        <v>91</v>
      </c>
      <c r="X988" s="23"/>
      <c r="Y988" s="23" t="s">
        <v>92</v>
      </c>
      <c r="Z988" s="56" t="s">
        <v>1338</v>
      </c>
      <c r="AA988" s="24">
        <v>863991</v>
      </c>
      <c r="AB988" s="19"/>
      <c r="AC988" s="49" t="s">
        <v>161</v>
      </c>
      <c r="AD988" s="15" t="str">
        <f ca="1">IF(AND($D988&lt;&gt;"",COUNTIF(OFFSET(UFS!$E$2,MATCH($D988&amp;"",UFS!$A$2:$A$175,0)-1,0,COUNTIF(UFS!$A$2:$A$175,$D988&amp;""),1),M988)&gt;0),"Valide","Invalide")</f>
        <v>Valide</v>
      </c>
      <c r="AH988" s="15" t="str">
        <f t="shared" si="15"/>
        <v>En attente</v>
      </c>
    </row>
    <row r="989" spans="1:34" s="15" customFormat="1" ht="45" hidden="1" customHeight="1" x14ac:dyDescent="0.3">
      <c r="A989" s="42">
        <v>990</v>
      </c>
      <c r="B989" s="19" t="s">
        <v>20</v>
      </c>
      <c r="C989" s="19" t="s">
        <v>37</v>
      </c>
      <c r="D989" s="20" t="s">
        <v>95</v>
      </c>
      <c r="E989" s="20" t="s">
        <v>79</v>
      </c>
      <c r="F989" s="21" t="s">
        <v>80</v>
      </c>
      <c r="G989" s="38" t="s">
        <v>241</v>
      </c>
      <c r="H989" s="39" t="s">
        <v>367</v>
      </c>
      <c r="I989" s="39" t="s">
        <v>368</v>
      </c>
      <c r="J989" s="21" t="s">
        <v>98</v>
      </c>
      <c r="K989" s="21" t="s">
        <v>99</v>
      </c>
      <c r="L989" s="21" t="s">
        <v>100</v>
      </c>
      <c r="M989" s="21" t="s">
        <v>101</v>
      </c>
      <c r="N989" s="21" t="s">
        <v>102</v>
      </c>
      <c r="O989" s="20" t="s">
        <v>3396</v>
      </c>
      <c r="P989" s="45">
        <v>45952</v>
      </c>
      <c r="Q989" s="39" t="s">
        <v>3397</v>
      </c>
      <c r="R989" s="19">
        <v>964.02</v>
      </c>
      <c r="S989" s="21">
        <v>0.1</v>
      </c>
      <c r="T989" s="21">
        <v>1060.422</v>
      </c>
      <c r="U989" s="44" t="s">
        <v>371</v>
      </c>
      <c r="V989" s="22">
        <v>45979</v>
      </c>
      <c r="W989" s="54" t="s">
        <v>91</v>
      </c>
      <c r="X989" s="23"/>
      <c r="Y989" s="23" t="s">
        <v>92</v>
      </c>
      <c r="Z989" s="56" t="s">
        <v>3389</v>
      </c>
      <c r="AA989" s="24">
        <v>865138</v>
      </c>
      <c r="AB989" s="19"/>
      <c r="AC989" s="49" t="s">
        <v>161</v>
      </c>
      <c r="AD989" s="15" t="str">
        <f ca="1">IF(AND($D989&lt;&gt;"",COUNTIF(OFFSET(UFS!$E$2,MATCH($D989&amp;"",UFS!$A$2:$A$175,0)-1,0,COUNTIF(UFS!$A$2:$A$175,$D989&amp;""),1),M989)&gt;0),"Valide","Invalide")</f>
        <v>Valide</v>
      </c>
      <c r="AH989" s="15" t="str">
        <f t="shared" si="15"/>
        <v>En attente</v>
      </c>
    </row>
    <row r="990" spans="1:34" s="15" customFormat="1" ht="45" hidden="1" customHeight="1" x14ac:dyDescent="0.3">
      <c r="A990" s="42">
        <v>991</v>
      </c>
      <c r="B990" s="19" t="s">
        <v>20</v>
      </c>
      <c r="C990" s="19" t="s">
        <v>37</v>
      </c>
      <c r="D990" s="20" t="s">
        <v>251</v>
      </c>
      <c r="E990" s="20" t="s">
        <v>79</v>
      </c>
      <c r="F990" s="21" t="s">
        <v>80</v>
      </c>
      <c r="G990" s="38" t="s">
        <v>241</v>
      </c>
      <c r="H990" s="39" t="s">
        <v>367</v>
      </c>
      <c r="I990" s="39" t="s">
        <v>368</v>
      </c>
      <c r="J990" s="21" t="s">
        <v>144</v>
      </c>
      <c r="K990" s="21" t="s">
        <v>145</v>
      </c>
      <c r="L990" s="21" t="s">
        <v>254</v>
      </c>
      <c r="M990" s="21" t="s">
        <v>255</v>
      </c>
      <c r="N990" s="21" t="s">
        <v>256</v>
      </c>
      <c r="O990" s="20" t="s">
        <v>3398</v>
      </c>
      <c r="P990" s="45">
        <v>45952</v>
      </c>
      <c r="Q990" s="39" t="s">
        <v>3399</v>
      </c>
      <c r="R990" s="19">
        <v>554.12</v>
      </c>
      <c r="S990" s="21">
        <v>0.2</v>
      </c>
      <c r="T990" s="21">
        <v>664.94399999999996</v>
      </c>
      <c r="U990" s="44" t="s">
        <v>371</v>
      </c>
      <c r="V990" s="22">
        <v>45979</v>
      </c>
      <c r="W990" s="54" t="s">
        <v>91</v>
      </c>
      <c r="X990" s="23"/>
      <c r="Y990" s="23" t="s">
        <v>92</v>
      </c>
      <c r="Z990" s="56"/>
      <c r="AA990" s="24">
        <v>863995</v>
      </c>
      <c r="AB990" s="19"/>
      <c r="AC990" s="46" t="s">
        <v>94</v>
      </c>
      <c r="AD990" s="15" t="str">
        <f ca="1">IF(AND($D990&lt;&gt;"",COUNTIF(OFFSET(UFS!$E$2,MATCH($D990&amp;"",UFS!$A$2:$A$175,0)-1,0,COUNTIF(UFS!$A$2:$A$175,$D990&amp;""),1),M990)&gt;0),"Valide","Invalide")</f>
        <v>Valide</v>
      </c>
      <c r="AH990" s="15" t="str">
        <f t="shared" si="15"/>
        <v>En attente</v>
      </c>
    </row>
    <row r="991" spans="1:34" s="15" customFormat="1" ht="45" hidden="1" customHeight="1" x14ac:dyDescent="0.3">
      <c r="A991" s="42">
        <v>992</v>
      </c>
      <c r="B991" s="19" t="s">
        <v>20</v>
      </c>
      <c r="C991" s="19" t="s">
        <v>37</v>
      </c>
      <c r="D991" s="20" t="s">
        <v>123</v>
      </c>
      <c r="E991" s="20" t="s">
        <v>79</v>
      </c>
      <c r="F991" s="21" t="s">
        <v>80</v>
      </c>
      <c r="G991" s="38" t="s">
        <v>241</v>
      </c>
      <c r="H991" s="39" t="s">
        <v>367</v>
      </c>
      <c r="I991" s="39" t="s">
        <v>368</v>
      </c>
      <c r="J991" s="21" t="s">
        <v>124</v>
      </c>
      <c r="K991" s="21" t="s">
        <v>125</v>
      </c>
      <c r="L991" s="21" t="s">
        <v>126</v>
      </c>
      <c r="M991" s="21" t="s">
        <v>109</v>
      </c>
      <c r="N991" s="21" t="s">
        <v>109</v>
      </c>
      <c r="O991" s="20" t="s">
        <v>3400</v>
      </c>
      <c r="P991" s="45">
        <v>45952</v>
      </c>
      <c r="Q991" s="39" t="s">
        <v>3401</v>
      </c>
      <c r="R991" s="19">
        <v>317.67</v>
      </c>
      <c r="S991" s="21">
        <v>0.1</v>
      </c>
      <c r="T991" s="21">
        <v>349.43700000000001</v>
      </c>
      <c r="U991" s="44" t="s">
        <v>371</v>
      </c>
      <c r="V991" s="22">
        <v>45979</v>
      </c>
      <c r="W991" s="54" t="s">
        <v>91</v>
      </c>
      <c r="X991" s="23"/>
      <c r="Y991" s="23" t="s">
        <v>92</v>
      </c>
      <c r="Z991" s="56" t="s">
        <v>928</v>
      </c>
      <c r="AA991" s="24">
        <v>863978</v>
      </c>
      <c r="AB991" s="19"/>
      <c r="AC991" s="49" t="s">
        <v>161</v>
      </c>
      <c r="AD991" s="15" t="str">
        <f ca="1">IF(AND($D991&lt;&gt;"",COUNTIF(OFFSET(UFS!$E$2,MATCH($D991&amp;"",UFS!$A$2:$A$175,0)-1,0,COUNTIF(UFS!$A$2:$A$175,$D991&amp;""),1),M991)&gt;0),"Valide","Invalide")</f>
        <v>Valide</v>
      </c>
      <c r="AH991" s="15" t="str">
        <f t="shared" si="15"/>
        <v>En attente</v>
      </c>
    </row>
    <row r="992" spans="1:34" s="15" customFormat="1" ht="45" hidden="1" customHeight="1" x14ac:dyDescent="0.3">
      <c r="A992" s="42">
        <v>993</v>
      </c>
      <c r="B992" s="19" t="s">
        <v>20</v>
      </c>
      <c r="C992" s="19" t="s">
        <v>37</v>
      </c>
      <c r="D992" s="20" t="s">
        <v>3402</v>
      </c>
      <c r="E992" s="20" t="s">
        <v>79</v>
      </c>
      <c r="F992" s="21" t="s">
        <v>80</v>
      </c>
      <c r="G992" s="38" t="s">
        <v>241</v>
      </c>
      <c r="H992" s="39" t="s">
        <v>367</v>
      </c>
      <c r="I992" s="39" t="s">
        <v>368</v>
      </c>
      <c r="J992" s="21" t="s">
        <v>341</v>
      </c>
      <c r="K992" s="21" t="s">
        <v>145</v>
      </c>
      <c r="L992" s="21" t="s">
        <v>342</v>
      </c>
      <c r="M992" s="21" t="s">
        <v>343</v>
      </c>
      <c r="N992" s="21" t="s">
        <v>271</v>
      </c>
      <c r="O992" s="20" t="s">
        <v>3403</v>
      </c>
      <c r="P992" s="45">
        <v>45954</v>
      </c>
      <c r="Q992" s="39" t="s">
        <v>3404</v>
      </c>
      <c r="R992" s="19">
        <v>964.02</v>
      </c>
      <c r="S992" s="21">
        <v>0.2</v>
      </c>
      <c r="T992" s="21">
        <v>1156.8240000000001</v>
      </c>
      <c r="U992" s="44" t="s">
        <v>371</v>
      </c>
      <c r="V992" s="22">
        <v>45979</v>
      </c>
      <c r="W992" s="54" t="s">
        <v>91</v>
      </c>
      <c r="X992" s="23"/>
      <c r="Y992" s="23" t="s">
        <v>92</v>
      </c>
      <c r="Z992" s="56" t="s">
        <v>3389</v>
      </c>
      <c r="AA992" s="24">
        <v>865141</v>
      </c>
      <c r="AB992" s="19"/>
      <c r="AC992" s="49" t="s">
        <v>161</v>
      </c>
      <c r="AD992" s="15" t="str">
        <f ca="1">IF(AND($D992&lt;&gt;"",COUNTIF(OFFSET(UFS!$E$2,MATCH($D992&amp;"",UFS!$A$2:$A$175,0)-1,0,COUNTIF(UFS!$A$2:$A$175,$D992&amp;""),1),M992)&gt;0),"Valide","Invalide")</f>
        <v>Valide</v>
      </c>
      <c r="AH992" s="15" t="str">
        <f t="shared" si="15"/>
        <v>En attente</v>
      </c>
    </row>
    <row r="993" spans="1:34" s="15" customFormat="1" ht="72" hidden="1" x14ac:dyDescent="0.3">
      <c r="A993" s="42">
        <v>994</v>
      </c>
      <c r="B993" s="19" t="s">
        <v>20</v>
      </c>
      <c r="C993" s="19" t="s">
        <v>37</v>
      </c>
      <c r="D993" s="20" t="s">
        <v>340</v>
      </c>
      <c r="E993" s="20" t="s">
        <v>79</v>
      </c>
      <c r="F993" s="21" t="s">
        <v>80</v>
      </c>
      <c r="G993" s="38" t="s">
        <v>241</v>
      </c>
      <c r="H993" s="39" t="s">
        <v>367</v>
      </c>
      <c r="I993" s="39" t="s">
        <v>368</v>
      </c>
      <c r="J993" s="21" t="s">
        <v>341</v>
      </c>
      <c r="K993" s="21" t="s">
        <v>145</v>
      </c>
      <c r="L993" s="21" t="s">
        <v>342</v>
      </c>
      <c r="M993" s="21" t="s">
        <v>343</v>
      </c>
      <c r="N993" s="21" t="s">
        <v>151</v>
      </c>
      <c r="O993" s="20" t="s">
        <v>3405</v>
      </c>
      <c r="P993" s="45">
        <v>45954</v>
      </c>
      <c r="Q993" s="39" t="s">
        <v>3406</v>
      </c>
      <c r="R993" s="19">
        <v>964.02</v>
      </c>
      <c r="S993" s="21">
        <v>0.2</v>
      </c>
      <c r="T993" s="21">
        <v>1156.8240000000001</v>
      </c>
      <c r="U993" s="44" t="s">
        <v>371</v>
      </c>
      <c r="V993" s="22">
        <v>45979</v>
      </c>
      <c r="W993" s="54" t="s">
        <v>91</v>
      </c>
      <c r="X993" s="23"/>
      <c r="Y993" s="23" t="s">
        <v>92</v>
      </c>
      <c r="Z993" s="56" t="s">
        <v>3389</v>
      </c>
      <c r="AA993" s="24">
        <v>865157</v>
      </c>
      <c r="AB993" s="19"/>
      <c r="AC993" s="49" t="s">
        <v>161</v>
      </c>
      <c r="AD993" s="15" t="str">
        <f ca="1">IF(AND($D993&lt;&gt;"",COUNTIF(OFFSET(UFS!$E$2,MATCH($D993&amp;"",UFS!$A$2:$A$175,0)-1,0,COUNTIF(UFS!$A$2:$A$175,$D993&amp;""),1),M993)&gt;0),"Valide","Invalide")</f>
        <v>Valide</v>
      </c>
      <c r="AH993" s="15" t="str">
        <f t="shared" si="15"/>
        <v>En attente</v>
      </c>
    </row>
    <row r="994" spans="1:34" s="15" customFormat="1" ht="45" hidden="1" customHeight="1" x14ac:dyDescent="0.3">
      <c r="A994" s="42">
        <v>995</v>
      </c>
      <c r="B994" s="19" t="s">
        <v>20</v>
      </c>
      <c r="C994" s="19" t="s">
        <v>37</v>
      </c>
      <c r="D994" s="20" t="s">
        <v>251</v>
      </c>
      <c r="E994" s="20" t="s">
        <v>79</v>
      </c>
      <c r="F994" s="21" t="s">
        <v>80</v>
      </c>
      <c r="G994" s="38" t="s">
        <v>241</v>
      </c>
      <c r="H994" s="39" t="s">
        <v>367</v>
      </c>
      <c r="I994" s="39" t="s">
        <v>368</v>
      </c>
      <c r="J994" s="21" t="s">
        <v>144</v>
      </c>
      <c r="K994" s="21" t="s">
        <v>145</v>
      </c>
      <c r="L994" s="21" t="s">
        <v>254</v>
      </c>
      <c r="M994" s="21" t="s">
        <v>255</v>
      </c>
      <c r="N994" s="21" t="s">
        <v>256</v>
      </c>
      <c r="O994" s="20" t="s">
        <v>3407</v>
      </c>
      <c r="P994" s="45">
        <v>45954</v>
      </c>
      <c r="Q994" s="39" t="s">
        <v>3408</v>
      </c>
      <c r="R994" s="19">
        <v>691.35</v>
      </c>
      <c r="S994" s="21">
        <v>0.2</v>
      </c>
      <c r="T994" s="21">
        <v>829.62</v>
      </c>
      <c r="U994" s="44" t="s">
        <v>371</v>
      </c>
      <c r="V994" s="22">
        <v>45979</v>
      </c>
      <c r="W994" s="54" t="s">
        <v>91</v>
      </c>
      <c r="X994" s="23"/>
      <c r="Y994" s="23" t="s">
        <v>92</v>
      </c>
      <c r="Z994" s="56" t="s">
        <v>3389</v>
      </c>
      <c r="AA994" s="24">
        <v>865158</v>
      </c>
      <c r="AB994" s="19"/>
      <c r="AC994" s="49" t="s">
        <v>161</v>
      </c>
      <c r="AD994" s="15" t="str">
        <f ca="1">IF(AND($D994&lt;&gt;"",COUNTIF(OFFSET(UFS!$E$2,MATCH($D994&amp;"",UFS!$A$2:$A$175,0)-1,0,COUNTIF(UFS!$A$2:$A$175,$D994&amp;""),1),M994)&gt;0),"Valide","Invalide")</f>
        <v>Valide</v>
      </c>
      <c r="AH994" s="15" t="str">
        <f t="shared" si="15"/>
        <v>En attente</v>
      </c>
    </row>
    <row r="995" spans="1:34" s="15" customFormat="1" ht="45" hidden="1" customHeight="1" x14ac:dyDescent="0.3">
      <c r="A995" s="42">
        <v>996</v>
      </c>
      <c r="B995" s="19" t="s">
        <v>20</v>
      </c>
      <c r="C995" s="19" t="s">
        <v>37</v>
      </c>
      <c r="D995" s="20" t="s">
        <v>251</v>
      </c>
      <c r="E995" s="20" t="s">
        <v>79</v>
      </c>
      <c r="F995" s="21" t="s">
        <v>80</v>
      </c>
      <c r="G995" s="38" t="s">
        <v>241</v>
      </c>
      <c r="H995" s="39" t="s">
        <v>367</v>
      </c>
      <c r="I995" s="39" t="s">
        <v>368</v>
      </c>
      <c r="J995" s="21" t="s">
        <v>144</v>
      </c>
      <c r="K995" s="21" t="s">
        <v>145</v>
      </c>
      <c r="L995" s="21" t="s">
        <v>254</v>
      </c>
      <c r="M995" s="21" t="s">
        <v>255</v>
      </c>
      <c r="N995" s="21" t="s">
        <v>256</v>
      </c>
      <c r="O995" s="20" t="s">
        <v>3409</v>
      </c>
      <c r="P995" s="45">
        <v>45954</v>
      </c>
      <c r="Q995" s="39" t="s">
        <v>3410</v>
      </c>
      <c r="R995" s="19">
        <v>691.35</v>
      </c>
      <c r="S995" s="21">
        <v>0.2</v>
      </c>
      <c r="T995" s="21">
        <v>829.62</v>
      </c>
      <c r="U995" s="44" t="s">
        <v>371</v>
      </c>
      <c r="V995" s="22">
        <v>45979</v>
      </c>
      <c r="W995" s="54" t="s">
        <v>91</v>
      </c>
      <c r="X995" s="23"/>
      <c r="Y995" s="23" t="s">
        <v>92</v>
      </c>
      <c r="Z995" s="56" t="s">
        <v>3389</v>
      </c>
      <c r="AA995" s="24">
        <v>865159</v>
      </c>
      <c r="AB995" s="19"/>
      <c r="AC995" s="46" t="s">
        <v>94</v>
      </c>
      <c r="AD995" s="15" t="str">
        <f ca="1">IF(AND($D995&lt;&gt;"",COUNTIF(OFFSET(UFS!$E$2,MATCH($D995&amp;"",UFS!$A$2:$A$175,0)-1,0,COUNTIF(UFS!$A$2:$A$175,$D995&amp;""),1),M995)&gt;0),"Valide","Invalide")</f>
        <v>Valide</v>
      </c>
      <c r="AH995" s="15" t="str">
        <f t="shared" si="15"/>
        <v>En attente</v>
      </c>
    </row>
    <row r="996" spans="1:34" s="15" customFormat="1" ht="45" hidden="1" customHeight="1" x14ac:dyDescent="0.3">
      <c r="A996" s="42">
        <v>997</v>
      </c>
      <c r="B996" s="19" t="s">
        <v>20</v>
      </c>
      <c r="C996" s="19" t="s">
        <v>37</v>
      </c>
      <c r="D996" s="20" t="s">
        <v>1246</v>
      </c>
      <c r="E996" s="20" t="s">
        <v>79</v>
      </c>
      <c r="F996" s="21" t="s">
        <v>80</v>
      </c>
      <c r="G996" s="38" t="s">
        <v>241</v>
      </c>
      <c r="H996" s="39" t="s">
        <v>367</v>
      </c>
      <c r="I996" s="39" t="s">
        <v>368</v>
      </c>
      <c r="J996" s="21" t="s">
        <v>144</v>
      </c>
      <c r="K996" s="21" t="s">
        <v>145</v>
      </c>
      <c r="L996" s="21" t="s">
        <v>203</v>
      </c>
      <c r="M996" s="21" t="s">
        <v>1247</v>
      </c>
      <c r="N996" s="21" t="s">
        <v>1247</v>
      </c>
      <c r="O996" s="20" t="s">
        <v>3411</v>
      </c>
      <c r="P996" s="45">
        <v>45954</v>
      </c>
      <c r="Q996" s="39" t="s">
        <v>3412</v>
      </c>
      <c r="R996" s="19">
        <v>691.35</v>
      </c>
      <c r="S996" s="21">
        <v>0.2</v>
      </c>
      <c r="T996" s="21">
        <v>829.62</v>
      </c>
      <c r="U996" s="44" t="s">
        <v>371</v>
      </c>
      <c r="V996" s="22">
        <v>45979</v>
      </c>
      <c r="W996" s="54" t="s">
        <v>91</v>
      </c>
      <c r="X996" s="23"/>
      <c r="Y996" s="23" t="s">
        <v>92</v>
      </c>
      <c r="Z996" s="56" t="s">
        <v>3389</v>
      </c>
      <c r="AA996" s="24">
        <v>865171</v>
      </c>
      <c r="AB996" s="19"/>
      <c r="AC996" s="46" t="s">
        <v>94</v>
      </c>
      <c r="AD996" s="15" t="str">
        <f ca="1">IF(AND($D996&lt;&gt;"",COUNTIF(OFFSET(UFS!$E$2,MATCH($D996&amp;"",UFS!$A$2:$A$175,0)-1,0,COUNTIF(UFS!$A$2:$A$175,$D996&amp;""),1),M996)&gt;0),"Valide","Invalide")</f>
        <v>Valide</v>
      </c>
      <c r="AH996" s="15" t="str">
        <f t="shared" si="15"/>
        <v>En attente</v>
      </c>
    </row>
    <row r="997" spans="1:34" s="15" customFormat="1" ht="45" hidden="1" customHeight="1" x14ac:dyDescent="0.3">
      <c r="A997" s="42">
        <v>998</v>
      </c>
      <c r="B997" s="19" t="s">
        <v>20</v>
      </c>
      <c r="C997" s="19" t="s">
        <v>37</v>
      </c>
      <c r="D997" s="20" t="s">
        <v>1246</v>
      </c>
      <c r="E997" s="20" t="s">
        <v>79</v>
      </c>
      <c r="F997" s="21" t="s">
        <v>80</v>
      </c>
      <c r="G997" s="38" t="s">
        <v>241</v>
      </c>
      <c r="H997" s="39" t="s">
        <v>367</v>
      </c>
      <c r="I997" s="39" t="s">
        <v>368</v>
      </c>
      <c r="J997" s="21" t="s">
        <v>144</v>
      </c>
      <c r="K997" s="21" t="s">
        <v>145</v>
      </c>
      <c r="L997" s="21" t="s">
        <v>203</v>
      </c>
      <c r="M997" s="21" t="s">
        <v>1247</v>
      </c>
      <c r="N997" s="21" t="s">
        <v>1247</v>
      </c>
      <c r="O997" s="20" t="s">
        <v>3413</v>
      </c>
      <c r="P997" s="45">
        <v>45954</v>
      </c>
      <c r="Q997" s="39" t="s">
        <v>3414</v>
      </c>
      <c r="R997" s="19">
        <v>691.35</v>
      </c>
      <c r="S997" s="21">
        <v>0.2</v>
      </c>
      <c r="T997" s="21">
        <v>829.62</v>
      </c>
      <c r="U997" s="44" t="s">
        <v>371</v>
      </c>
      <c r="V997" s="22">
        <v>45979</v>
      </c>
      <c r="W997" s="54" t="s">
        <v>91</v>
      </c>
      <c r="X997" s="23"/>
      <c r="Y997" s="23" t="s">
        <v>92</v>
      </c>
      <c r="Z997" s="56" t="s">
        <v>3389</v>
      </c>
      <c r="AA997" s="24">
        <v>865205</v>
      </c>
      <c r="AB997" s="19"/>
      <c r="AC997" s="46" t="s">
        <v>94</v>
      </c>
      <c r="AD997" s="15" t="str">
        <f ca="1">IF(AND($D997&lt;&gt;"",COUNTIF(OFFSET(UFS!$E$2,MATCH($D997&amp;"",UFS!$A$2:$A$175,0)-1,0,COUNTIF(UFS!$A$2:$A$175,$D997&amp;""),1),M997)&gt;0),"Valide","Invalide")</f>
        <v>Valide</v>
      </c>
      <c r="AH997" s="15" t="str">
        <f t="shared" si="15"/>
        <v>En attente</v>
      </c>
    </row>
    <row r="998" spans="1:34" s="15" customFormat="1" ht="45" hidden="1" customHeight="1" x14ac:dyDescent="0.3">
      <c r="A998" s="42">
        <v>999</v>
      </c>
      <c r="B998" s="19" t="s">
        <v>20</v>
      </c>
      <c r="C998" s="19" t="s">
        <v>37</v>
      </c>
      <c r="D998" s="20" t="s">
        <v>95</v>
      </c>
      <c r="E998" s="20" t="s">
        <v>79</v>
      </c>
      <c r="F998" s="21" t="s">
        <v>80</v>
      </c>
      <c r="G998" s="38" t="s">
        <v>241</v>
      </c>
      <c r="H998" s="39" t="s">
        <v>367</v>
      </c>
      <c r="I998" s="39" t="s">
        <v>368</v>
      </c>
      <c r="J998" s="21" t="s">
        <v>98</v>
      </c>
      <c r="K998" s="21" t="s">
        <v>99</v>
      </c>
      <c r="L998" s="21" t="s">
        <v>100</v>
      </c>
      <c r="M998" s="21" t="s">
        <v>101</v>
      </c>
      <c r="N998" s="21" t="s">
        <v>102</v>
      </c>
      <c r="O998" s="20" t="s">
        <v>3415</v>
      </c>
      <c r="P998" s="45">
        <v>45958</v>
      </c>
      <c r="Q998" s="39" t="s">
        <v>3416</v>
      </c>
      <c r="R998" s="19">
        <v>1009.02</v>
      </c>
      <c r="S998" s="21">
        <v>0.1</v>
      </c>
      <c r="T998" s="21">
        <v>1109.922</v>
      </c>
      <c r="U998" s="44" t="s">
        <v>371</v>
      </c>
      <c r="V998" s="22">
        <v>45979</v>
      </c>
      <c r="W998" s="54" t="s">
        <v>91</v>
      </c>
      <c r="X998" s="23"/>
      <c r="Y998" s="23" t="s">
        <v>92</v>
      </c>
      <c r="Z998" s="56" t="s">
        <v>3417</v>
      </c>
      <c r="AA998" s="24">
        <v>863981</v>
      </c>
      <c r="AB998" s="19"/>
      <c r="AC998" s="49" t="s">
        <v>161</v>
      </c>
      <c r="AD998" s="15" t="str">
        <f ca="1">IF(AND($D998&lt;&gt;"",COUNTIF(OFFSET(UFS!$E$2,MATCH($D998&amp;"",UFS!$A$2:$A$175,0)-1,0,COUNTIF(UFS!$A$2:$A$175,$D998&amp;""),1),M998)&gt;0),"Valide","Invalide")</f>
        <v>Valide</v>
      </c>
      <c r="AH998" s="15" t="str">
        <f t="shared" si="15"/>
        <v>En attente</v>
      </c>
    </row>
    <row r="999" spans="1:34" s="15" customFormat="1" ht="45" hidden="1" customHeight="1" x14ac:dyDescent="0.3">
      <c r="A999" s="42">
        <v>1000</v>
      </c>
      <c r="B999" s="19" t="s">
        <v>20</v>
      </c>
      <c r="C999" s="19" t="s">
        <v>37</v>
      </c>
      <c r="D999" s="20" t="s">
        <v>413</v>
      </c>
      <c r="E999" s="20" t="s">
        <v>79</v>
      </c>
      <c r="F999" s="21" t="s">
        <v>80</v>
      </c>
      <c r="G999" s="38" t="s">
        <v>241</v>
      </c>
      <c r="H999" s="39" t="s">
        <v>367</v>
      </c>
      <c r="I999" s="39" t="s">
        <v>368</v>
      </c>
      <c r="J999" s="21" t="s">
        <v>183</v>
      </c>
      <c r="K999" s="21" t="s">
        <v>184</v>
      </c>
      <c r="L999" s="21" t="s">
        <v>185</v>
      </c>
      <c r="M999" s="21" t="s">
        <v>109</v>
      </c>
      <c r="N999" s="21" t="s">
        <v>109</v>
      </c>
      <c r="O999" s="20" t="s">
        <v>3418</v>
      </c>
      <c r="P999" s="45">
        <v>45964</v>
      </c>
      <c r="Q999" s="39" t="s">
        <v>3419</v>
      </c>
      <c r="R999" s="19">
        <v>691.35</v>
      </c>
      <c r="S999" s="21">
        <v>0.1</v>
      </c>
      <c r="T999" s="21">
        <v>760.48500000000001</v>
      </c>
      <c r="U999" s="44" t="s">
        <v>371</v>
      </c>
      <c r="V999" s="22">
        <v>45979</v>
      </c>
      <c r="W999" s="54" t="s">
        <v>91</v>
      </c>
      <c r="X999" s="23"/>
      <c r="Y999" s="23" t="s">
        <v>92</v>
      </c>
      <c r="Z999" s="56" t="s">
        <v>1338</v>
      </c>
      <c r="AA999" s="24">
        <v>865968</v>
      </c>
      <c r="AB999" s="19"/>
      <c r="AC999" s="49" t="s">
        <v>161</v>
      </c>
      <c r="AD999" s="15" t="str">
        <f ca="1">IF(AND($D999&lt;&gt;"",COUNTIF(OFFSET(UFS!$E$2,MATCH($D999&amp;"",UFS!$A$2:$A$175,0)-1,0,COUNTIF(UFS!$A$2:$A$175,$D999&amp;""),1),M999)&gt;0),"Valide","Invalide")</f>
        <v>Valide</v>
      </c>
      <c r="AH999" s="15" t="str">
        <f t="shared" si="15"/>
        <v>En attente</v>
      </c>
    </row>
    <row r="1000" spans="1:34" s="15" customFormat="1" ht="45" hidden="1" customHeight="1" x14ac:dyDescent="0.3">
      <c r="A1000" s="42">
        <v>1001</v>
      </c>
      <c r="B1000" s="19" t="s">
        <v>20</v>
      </c>
      <c r="C1000" s="19" t="s">
        <v>37</v>
      </c>
      <c r="D1000" s="20" t="s">
        <v>2033</v>
      </c>
      <c r="E1000" s="20" t="s">
        <v>79</v>
      </c>
      <c r="F1000" s="21" t="s">
        <v>80</v>
      </c>
      <c r="G1000" s="38" t="s">
        <v>241</v>
      </c>
      <c r="H1000" s="39" t="s">
        <v>367</v>
      </c>
      <c r="I1000" s="39" t="s">
        <v>368</v>
      </c>
      <c r="J1000" s="21" t="s">
        <v>144</v>
      </c>
      <c r="K1000" s="21" t="s">
        <v>145</v>
      </c>
      <c r="L1000" s="21" t="s">
        <v>254</v>
      </c>
      <c r="M1000" s="21" t="s">
        <v>255</v>
      </c>
      <c r="N1000" s="21" t="s">
        <v>2035</v>
      </c>
      <c r="O1000" s="20" t="s">
        <v>3420</v>
      </c>
      <c r="P1000" s="45">
        <v>45964</v>
      </c>
      <c r="Q1000" s="39" t="s">
        <v>3421</v>
      </c>
      <c r="R1000" s="19">
        <v>1418.7</v>
      </c>
      <c r="S1000" s="21">
        <v>0.2</v>
      </c>
      <c r="T1000" s="21">
        <v>1702.44</v>
      </c>
      <c r="U1000" s="44" t="s">
        <v>371</v>
      </c>
      <c r="V1000" s="22">
        <v>45979</v>
      </c>
      <c r="W1000" s="54" t="s">
        <v>91</v>
      </c>
      <c r="X1000" s="23"/>
      <c r="Y1000" s="23" t="s">
        <v>92</v>
      </c>
      <c r="Z1000" s="56" t="s">
        <v>928</v>
      </c>
      <c r="AA1000" s="24">
        <v>863983</v>
      </c>
      <c r="AB1000" s="19"/>
      <c r="AC1000" s="49" t="s">
        <v>161</v>
      </c>
      <c r="AD1000" s="15" t="str">
        <f ca="1">IF(AND($D1000&lt;&gt;"",COUNTIF(OFFSET(UFS!$E$2,MATCH($D1000&amp;"",UFS!$A$2:$A$175,0)-1,0,COUNTIF(UFS!$A$2:$A$175,$D1000&amp;""),1),M1000)&gt;0),"Valide","Invalide")</f>
        <v>Valide</v>
      </c>
      <c r="AH1000" s="15" t="str">
        <f t="shared" si="15"/>
        <v>En attente</v>
      </c>
    </row>
    <row r="1001" spans="1:34" s="15" customFormat="1" ht="45" hidden="1" customHeight="1" x14ac:dyDescent="0.3">
      <c r="A1001" s="42">
        <v>1002</v>
      </c>
      <c r="B1001" s="19" t="s">
        <v>20</v>
      </c>
      <c r="C1001" s="19" t="s">
        <v>37</v>
      </c>
      <c r="D1001" s="20" t="s">
        <v>95</v>
      </c>
      <c r="E1001" s="20" t="s">
        <v>79</v>
      </c>
      <c r="F1001" s="21" t="s">
        <v>80</v>
      </c>
      <c r="G1001" s="38" t="s">
        <v>241</v>
      </c>
      <c r="H1001" s="39" t="s">
        <v>367</v>
      </c>
      <c r="I1001" s="39" t="s">
        <v>368</v>
      </c>
      <c r="J1001" s="21" t="s">
        <v>98</v>
      </c>
      <c r="K1001" s="21" t="s">
        <v>99</v>
      </c>
      <c r="L1001" s="21" t="s">
        <v>100</v>
      </c>
      <c r="M1001" s="21" t="s">
        <v>101</v>
      </c>
      <c r="N1001" s="21" t="s">
        <v>102</v>
      </c>
      <c r="O1001" s="20" t="s">
        <v>3422</v>
      </c>
      <c r="P1001" s="45">
        <v>45964</v>
      </c>
      <c r="Q1001" s="39" t="s">
        <v>3423</v>
      </c>
      <c r="R1001" s="19">
        <v>270</v>
      </c>
      <c r="S1001" s="21">
        <v>0.1</v>
      </c>
      <c r="T1001" s="21">
        <v>297</v>
      </c>
      <c r="U1001" s="44" t="s">
        <v>371</v>
      </c>
      <c r="V1001" s="22">
        <v>45979</v>
      </c>
      <c r="W1001" s="54" t="s">
        <v>91</v>
      </c>
      <c r="X1001" s="23"/>
      <c r="Y1001" s="23" t="s">
        <v>92</v>
      </c>
      <c r="Z1001" s="56"/>
      <c r="AA1001" s="24">
        <v>863984</v>
      </c>
      <c r="AB1001" s="19"/>
      <c r="AC1001" s="46" t="s">
        <v>94</v>
      </c>
      <c r="AD1001" s="15" t="str">
        <f ca="1">IF(AND($D1001&lt;&gt;"",COUNTIF(OFFSET(UFS!$E$2,MATCH($D1001&amp;"",UFS!$A$2:$A$175,0)-1,0,COUNTIF(UFS!$A$2:$A$175,$D1001&amp;""),1),M1001)&gt;0),"Valide","Invalide")</f>
        <v>Valide</v>
      </c>
      <c r="AH1001" s="15" t="str">
        <f t="shared" si="15"/>
        <v>En attente</v>
      </c>
    </row>
    <row r="1002" spans="1:34" s="15" customFormat="1" ht="45" hidden="1" customHeight="1" x14ac:dyDescent="0.3">
      <c r="A1002" s="42">
        <v>1003</v>
      </c>
      <c r="B1002" s="19" t="s">
        <v>20</v>
      </c>
      <c r="C1002" s="19" t="s">
        <v>37</v>
      </c>
      <c r="D1002" s="20" t="s">
        <v>251</v>
      </c>
      <c r="E1002" s="20" t="s">
        <v>79</v>
      </c>
      <c r="F1002" s="21" t="s">
        <v>80</v>
      </c>
      <c r="G1002" s="38" t="s">
        <v>241</v>
      </c>
      <c r="H1002" s="39" t="s">
        <v>367</v>
      </c>
      <c r="I1002" s="39" t="s">
        <v>368</v>
      </c>
      <c r="J1002" s="21" t="s">
        <v>144</v>
      </c>
      <c r="K1002" s="21" t="s">
        <v>145</v>
      </c>
      <c r="L1002" s="21" t="s">
        <v>254</v>
      </c>
      <c r="M1002" s="21" t="s">
        <v>255</v>
      </c>
      <c r="N1002" s="21" t="s">
        <v>256</v>
      </c>
      <c r="O1002" s="20" t="s">
        <v>3424</v>
      </c>
      <c r="P1002" s="45">
        <v>45964</v>
      </c>
      <c r="Q1002" s="39" t="s">
        <v>3425</v>
      </c>
      <c r="R1002" s="19">
        <v>371.45</v>
      </c>
      <c r="S1002" s="21">
        <v>0.2</v>
      </c>
      <c r="T1002" s="21">
        <v>445.74</v>
      </c>
      <c r="U1002" s="44" t="s">
        <v>371</v>
      </c>
      <c r="V1002" s="22">
        <v>45979</v>
      </c>
      <c r="W1002" s="54" t="s">
        <v>91</v>
      </c>
      <c r="X1002" s="23"/>
      <c r="Y1002" s="23" t="s">
        <v>92</v>
      </c>
      <c r="Z1002" s="56" t="s">
        <v>928</v>
      </c>
      <c r="AA1002" s="24">
        <v>863986</v>
      </c>
      <c r="AB1002" s="19"/>
      <c r="AC1002" s="46" t="s">
        <v>94</v>
      </c>
      <c r="AD1002" s="15" t="str">
        <f ca="1">IF(AND($D1002&lt;&gt;"",COUNTIF(OFFSET(UFS!$E$2,MATCH($D1002&amp;"",UFS!$A$2:$A$175,0)-1,0,COUNTIF(UFS!$A$2:$A$175,$D1002&amp;""),1),M1002)&gt;0),"Valide","Invalide")</f>
        <v>Valide</v>
      </c>
      <c r="AH1002" s="15" t="str">
        <f t="shared" si="15"/>
        <v>En attente</v>
      </c>
    </row>
    <row r="1003" spans="1:34" s="15" customFormat="1" ht="45" hidden="1" customHeight="1" x14ac:dyDescent="0.3">
      <c r="A1003" s="42">
        <v>1004</v>
      </c>
      <c r="B1003" s="19" t="s">
        <v>20</v>
      </c>
      <c r="C1003" s="19" t="s">
        <v>37</v>
      </c>
      <c r="D1003" s="20" t="s">
        <v>95</v>
      </c>
      <c r="E1003" s="20" t="s">
        <v>79</v>
      </c>
      <c r="F1003" s="21" t="s">
        <v>80</v>
      </c>
      <c r="G1003" s="38" t="s">
        <v>241</v>
      </c>
      <c r="H1003" s="39" t="s">
        <v>367</v>
      </c>
      <c r="I1003" s="39" t="s">
        <v>368</v>
      </c>
      <c r="J1003" s="21" t="s">
        <v>98</v>
      </c>
      <c r="K1003" s="21" t="s">
        <v>99</v>
      </c>
      <c r="L1003" s="21" t="s">
        <v>100</v>
      </c>
      <c r="M1003" s="21" t="s">
        <v>101</v>
      </c>
      <c r="N1003" s="21" t="s">
        <v>102</v>
      </c>
      <c r="O1003" s="20" t="s">
        <v>3426</v>
      </c>
      <c r="P1003" s="45">
        <v>45965</v>
      </c>
      <c r="Q1003" s="39" t="s">
        <v>3427</v>
      </c>
      <c r="R1003" s="19">
        <v>3051.75</v>
      </c>
      <c r="S1003" s="21">
        <v>0.1</v>
      </c>
      <c r="T1003" s="21">
        <v>3356.9250000000002</v>
      </c>
      <c r="U1003" s="44" t="s">
        <v>371</v>
      </c>
      <c r="V1003" s="22">
        <v>45979</v>
      </c>
      <c r="W1003" s="54" t="s">
        <v>91</v>
      </c>
      <c r="X1003" s="23"/>
      <c r="Y1003" s="23" t="s">
        <v>92</v>
      </c>
      <c r="Z1003" s="56" t="s">
        <v>1338</v>
      </c>
      <c r="AA1003" s="24">
        <v>863989</v>
      </c>
      <c r="AB1003" s="19"/>
      <c r="AC1003" s="46" t="s">
        <v>94</v>
      </c>
      <c r="AD1003" s="15" t="str">
        <f ca="1">IF(AND($D1003&lt;&gt;"",COUNTIF(OFFSET(UFS!$E$2,MATCH($D1003&amp;"",UFS!$A$2:$A$175,0)-1,0,COUNTIF(UFS!$A$2:$A$175,$D1003&amp;""),1),M1003)&gt;0),"Valide","Invalide")</f>
        <v>Valide</v>
      </c>
      <c r="AH1003" s="15" t="str">
        <f t="shared" si="15"/>
        <v>En attente</v>
      </c>
    </row>
    <row r="1004" spans="1:34" s="15" customFormat="1" ht="45" hidden="1" customHeight="1" x14ac:dyDescent="0.3">
      <c r="A1004" s="42">
        <v>1005</v>
      </c>
      <c r="B1004" s="19" t="s">
        <v>20</v>
      </c>
      <c r="C1004" s="19" t="s">
        <v>37</v>
      </c>
      <c r="D1004" s="20" t="s">
        <v>95</v>
      </c>
      <c r="E1004" s="20" t="s">
        <v>79</v>
      </c>
      <c r="F1004" s="21" t="s">
        <v>80</v>
      </c>
      <c r="G1004" s="38" t="s">
        <v>241</v>
      </c>
      <c r="H1004" s="39" t="s">
        <v>367</v>
      </c>
      <c r="I1004" s="39" t="s">
        <v>368</v>
      </c>
      <c r="J1004" s="21" t="s">
        <v>98</v>
      </c>
      <c r="K1004" s="21" t="s">
        <v>99</v>
      </c>
      <c r="L1004" s="21" t="s">
        <v>100</v>
      </c>
      <c r="M1004" s="21" t="s">
        <v>101</v>
      </c>
      <c r="N1004" s="21" t="s">
        <v>102</v>
      </c>
      <c r="O1004" s="20" t="s">
        <v>3428</v>
      </c>
      <c r="P1004" s="45">
        <v>45975</v>
      </c>
      <c r="Q1004" s="39" t="s">
        <v>3429</v>
      </c>
      <c r="R1004" s="19">
        <v>247.5</v>
      </c>
      <c r="S1004" s="21">
        <v>0.1</v>
      </c>
      <c r="T1004" s="21">
        <v>272.25</v>
      </c>
      <c r="U1004" s="44" t="s">
        <v>371</v>
      </c>
      <c r="V1004" s="22">
        <v>45979</v>
      </c>
      <c r="W1004" s="54" t="s">
        <v>91</v>
      </c>
      <c r="X1004" s="23"/>
      <c r="Y1004" s="23" t="s">
        <v>92</v>
      </c>
      <c r="Z1004" s="56" t="s">
        <v>1338</v>
      </c>
      <c r="AA1004" s="24">
        <v>863987</v>
      </c>
      <c r="AB1004" s="19"/>
      <c r="AC1004" s="46" t="s">
        <v>94</v>
      </c>
      <c r="AD1004" s="15" t="str">
        <f ca="1">IF(AND($D1004&lt;&gt;"",COUNTIF(OFFSET(UFS!$E$2,MATCH($D1004&amp;"",UFS!$A$2:$A$175,0)-1,0,COUNTIF(UFS!$A$2:$A$175,$D1004&amp;""),1),M1004)&gt;0),"Valide","Invalide")</f>
        <v>Valide</v>
      </c>
      <c r="AH1004" s="15" t="str">
        <f t="shared" si="15"/>
        <v>En attente</v>
      </c>
    </row>
    <row r="1005" spans="1:34" s="15" customFormat="1" ht="45" hidden="1" customHeight="1" x14ac:dyDescent="0.3">
      <c r="A1005" s="42">
        <v>1006</v>
      </c>
      <c r="B1005" s="19" t="s">
        <v>24</v>
      </c>
      <c r="C1005" s="19" t="s">
        <v>11</v>
      </c>
      <c r="D1005" s="20" t="s">
        <v>3365</v>
      </c>
      <c r="E1005" s="20" t="s">
        <v>79</v>
      </c>
      <c r="F1005" s="21" t="s">
        <v>80</v>
      </c>
      <c r="G1005" s="38" t="s">
        <v>81</v>
      </c>
      <c r="H1005" s="39" t="s">
        <v>82</v>
      </c>
      <c r="I1005" s="39" t="s">
        <v>83</v>
      </c>
      <c r="J1005" s="21" t="s">
        <v>84</v>
      </c>
      <c r="K1005" s="21" t="s">
        <v>3366</v>
      </c>
      <c r="L1005" s="21" t="s">
        <v>114</v>
      </c>
      <c r="M1005" s="21" t="s">
        <v>3367</v>
      </c>
      <c r="N1005" s="21" t="s">
        <v>3368</v>
      </c>
      <c r="O1005" s="20" t="s">
        <v>3430</v>
      </c>
      <c r="P1005" s="45">
        <v>45979</v>
      </c>
      <c r="Q1005" s="39" t="s">
        <v>3431</v>
      </c>
      <c r="R1005" s="19">
        <v>592.05999999999995</v>
      </c>
      <c r="S1005" s="21">
        <v>0.2</v>
      </c>
      <c r="T1005" s="21">
        <v>710.47199999999998</v>
      </c>
      <c r="U1005" s="60" t="s">
        <v>3432</v>
      </c>
      <c r="V1005" s="22">
        <v>45979</v>
      </c>
      <c r="W1005" s="54" t="s">
        <v>91</v>
      </c>
      <c r="X1005" s="23"/>
      <c r="Y1005" s="23" t="s">
        <v>92</v>
      </c>
      <c r="Z1005" s="56" t="s">
        <v>928</v>
      </c>
      <c r="AA1005" s="24">
        <v>863985</v>
      </c>
      <c r="AB1005" s="47">
        <v>45978</v>
      </c>
      <c r="AC1005" s="46" t="s">
        <v>94</v>
      </c>
      <c r="AD1005" s="15" t="str">
        <f ca="1">IF(AND($D1005&lt;&gt;"",COUNTIF(OFFSET(UFS!$E$2,MATCH($D1005&amp;"",UFS!$A$2:$A$175,0)-1,0,COUNTIF(UFS!$A$2:$A$175,$D1005&amp;""),1),M1005)&gt;0),"Valide","Invalide")</f>
        <v>Valide</v>
      </c>
      <c r="AH1005" s="15" t="str">
        <f t="shared" si="15"/>
        <v>En attente</v>
      </c>
    </row>
    <row r="1006" spans="1:34" s="15" customFormat="1" ht="45" hidden="1" customHeight="1" x14ac:dyDescent="0.3">
      <c r="A1006" s="42">
        <v>1007</v>
      </c>
      <c r="B1006" s="19" t="s">
        <v>4</v>
      </c>
      <c r="C1006" s="19" t="s">
        <v>36</v>
      </c>
      <c r="D1006" s="20" t="s">
        <v>432</v>
      </c>
      <c r="E1006" s="20" t="s">
        <v>79</v>
      </c>
      <c r="F1006" s="21" t="s">
        <v>433</v>
      </c>
      <c r="G1006" s="38" t="s">
        <v>241</v>
      </c>
      <c r="H1006" s="39" t="s">
        <v>252</v>
      </c>
      <c r="I1006" s="39" t="s">
        <v>253</v>
      </c>
      <c r="J1006" s="21" t="s">
        <v>144</v>
      </c>
      <c r="K1006" s="21" t="s">
        <v>145</v>
      </c>
      <c r="L1006" s="21" t="s">
        <v>434</v>
      </c>
      <c r="M1006" s="21" t="s">
        <v>435</v>
      </c>
      <c r="N1006" s="21" t="s">
        <v>436</v>
      </c>
      <c r="O1006" s="20" t="s">
        <v>3433</v>
      </c>
      <c r="P1006" s="45">
        <v>45978</v>
      </c>
      <c r="Q1006" s="39" t="s">
        <v>3434</v>
      </c>
      <c r="R1006" s="19">
        <v>567.49</v>
      </c>
      <c r="S1006" s="21">
        <v>0.1</v>
      </c>
      <c r="T1006" s="21">
        <v>624.23900000000003</v>
      </c>
      <c r="U1006" s="44" t="s">
        <v>399</v>
      </c>
      <c r="V1006" s="22">
        <v>45979</v>
      </c>
      <c r="W1006" s="54" t="s">
        <v>91</v>
      </c>
      <c r="X1006" s="23"/>
      <c r="Y1006" s="23" t="s">
        <v>92</v>
      </c>
      <c r="Z1006" s="56" t="s">
        <v>928</v>
      </c>
      <c r="AA1006" s="24">
        <v>863982</v>
      </c>
      <c r="AB1006" s="19"/>
      <c r="AC1006" s="19"/>
      <c r="AD1006" s="15" t="str">
        <f ca="1">IF(AND($D1006&lt;&gt;"",COUNTIF(OFFSET(UFS!$E$2,MATCH($D1006&amp;"",UFS!$A$2:$A$175,0)-1,0,COUNTIF(UFS!$A$2:$A$175,$D1006&amp;""),1),M1006)&gt;0),"Valide","Invalide")</f>
        <v>Valide</v>
      </c>
      <c r="AH1006" s="15" t="str">
        <f t="shared" si="15"/>
        <v>En attente</v>
      </c>
    </row>
    <row r="1007" spans="1:34" s="15" customFormat="1" ht="45" hidden="1" customHeight="1" x14ac:dyDescent="0.3">
      <c r="A1007" s="42">
        <v>1008</v>
      </c>
      <c r="B1007" s="19" t="s">
        <v>4</v>
      </c>
      <c r="C1007" s="19" t="s">
        <v>36</v>
      </c>
      <c r="D1007" s="20" t="s">
        <v>123</v>
      </c>
      <c r="E1007" s="20" t="s">
        <v>79</v>
      </c>
      <c r="F1007" s="21" t="s">
        <v>80</v>
      </c>
      <c r="G1007" s="38" t="s">
        <v>241</v>
      </c>
      <c r="H1007" s="39" t="s">
        <v>252</v>
      </c>
      <c r="I1007" s="39" t="s">
        <v>253</v>
      </c>
      <c r="J1007" s="21" t="s">
        <v>124</v>
      </c>
      <c r="K1007" s="21" t="s">
        <v>125</v>
      </c>
      <c r="L1007" s="21" t="s">
        <v>126</v>
      </c>
      <c r="M1007" s="21" t="s">
        <v>109</v>
      </c>
      <c r="N1007" s="21" t="s">
        <v>109</v>
      </c>
      <c r="O1007" s="20" t="s">
        <v>3435</v>
      </c>
      <c r="P1007" s="45">
        <v>45978</v>
      </c>
      <c r="Q1007" s="39" t="s">
        <v>3436</v>
      </c>
      <c r="R1007" s="19">
        <v>1204.75</v>
      </c>
      <c r="S1007" s="21">
        <v>0.1</v>
      </c>
      <c r="T1007" s="21">
        <v>1325.2249999999999</v>
      </c>
      <c r="U1007" s="44" t="s">
        <v>399</v>
      </c>
      <c r="V1007" s="22">
        <v>45979</v>
      </c>
      <c r="W1007" s="54" t="s">
        <v>91</v>
      </c>
      <c r="X1007" s="23"/>
      <c r="Y1007" s="23" t="s">
        <v>92</v>
      </c>
      <c r="Z1007" s="56" t="s">
        <v>928</v>
      </c>
      <c r="AA1007" s="24">
        <v>863979</v>
      </c>
      <c r="AB1007" s="19"/>
      <c r="AC1007" s="19"/>
      <c r="AD1007" s="15" t="str">
        <f ca="1">IF(AND($D1007&lt;&gt;"",COUNTIF(OFFSET(UFS!$E$2,MATCH($D1007&amp;"",UFS!$A$2:$A$175,0)-1,0,COUNTIF(UFS!$A$2:$A$175,$D1007&amp;""),1),M1007)&gt;0),"Valide","Invalide")</f>
        <v>Valide</v>
      </c>
      <c r="AH1007" s="15" t="str">
        <f t="shared" si="15"/>
        <v>En attente</v>
      </c>
    </row>
    <row r="1008" spans="1:34" s="15" customFormat="1" ht="45" hidden="1" customHeight="1" x14ac:dyDescent="0.3">
      <c r="A1008" s="42">
        <v>1009</v>
      </c>
      <c r="B1008" s="19" t="s">
        <v>709</v>
      </c>
      <c r="C1008" s="19" t="s">
        <v>23</v>
      </c>
      <c r="D1008" s="20" t="s">
        <v>1479</v>
      </c>
      <c r="E1008" s="20" t="s">
        <v>79</v>
      </c>
      <c r="F1008" s="21" t="s">
        <v>80</v>
      </c>
      <c r="G1008" s="38" t="s">
        <v>241</v>
      </c>
      <c r="H1008" s="39" t="s">
        <v>643</v>
      </c>
      <c r="I1008" s="39" t="s">
        <v>644</v>
      </c>
      <c r="J1008" s="21" t="s">
        <v>1118</v>
      </c>
      <c r="K1008" s="21" t="s">
        <v>3437</v>
      </c>
      <c r="L1008" s="21" t="s">
        <v>135</v>
      </c>
      <c r="M1008" s="21" t="s">
        <v>3438</v>
      </c>
      <c r="N1008" s="21" t="s">
        <v>711</v>
      </c>
      <c r="O1008" s="20" t="s">
        <v>3439</v>
      </c>
      <c r="P1008" s="45">
        <v>45960</v>
      </c>
      <c r="Q1008" s="39" t="s">
        <v>3440</v>
      </c>
      <c r="R1008" s="19">
        <v>1098.3499999999999</v>
      </c>
      <c r="S1008" s="21">
        <v>0.2</v>
      </c>
      <c r="T1008" s="21">
        <v>1318.02</v>
      </c>
      <c r="U1008" s="60" t="s">
        <v>3441</v>
      </c>
      <c r="V1008" s="22">
        <v>45979</v>
      </c>
      <c r="W1008" s="54" t="s">
        <v>91</v>
      </c>
      <c r="X1008" s="23"/>
      <c r="Y1008" s="23" t="s">
        <v>92</v>
      </c>
      <c r="Z1008" s="56" t="s">
        <v>928</v>
      </c>
      <c r="AA1008" s="24">
        <v>863976</v>
      </c>
      <c r="AB1008" s="19"/>
      <c r="AC1008" s="19"/>
      <c r="AD1008" s="15" t="str">
        <f ca="1">IF(AND($D1008&lt;&gt;"",COUNTIF(OFFSET(UFS!$E$2,MATCH($D1008&amp;"",UFS!$A$2:$A$175,0)-1,0,COUNTIF(UFS!$A$2:$A$175,$D1008&amp;""),1),M1008)&gt;0),"Valide","Invalide")</f>
        <v>Invalide</v>
      </c>
      <c r="AH1008" s="15" t="str">
        <f t="shared" si="15"/>
        <v>En attente</v>
      </c>
    </row>
    <row r="1009" spans="1:34" s="15" customFormat="1" ht="45" hidden="1" customHeight="1" x14ac:dyDescent="0.3">
      <c r="A1009" s="42">
        <v>1010</v>
      </c>
      <c r="B1009" s="19" t="s">
        <v>709</v>
      </c>
      <c r="C1009" s="19" t="s">
        <v>23</v>
      </c>
      <c r="D1009" s="20" t="s">
        <v>1246</v>
      </c>
      <c r="E1009" s="20" t="s">
        <v>79</v>
      </c>
      <c r="F1009" s="21" t="s">
        <v>80</v>
      </c>
      <c r="G1009" s="38" t="s">
        <v>241</v>
      </c>
      <c r="H1009" s="39" t="s">
        <v>643</v>
      </c>
      <c r="I1009" s="39" t="s">
        <v>644</v>
      </c>
      <c r="J1009" s="21" t="s">
        <v>1719</v>
      </c>
      <c r="K1009" s="21" t="s">
        <v>1298</v>
      </c>
      <c r="L1009" s="21" t="s">
        <v>203</v>
      </c>
      <c r="M1009" s="21" t="s">
        <v>3442</v>
      </c>
      <c r="N1009" s="21" t="s">
        <v>711</v>
      </c>
      <c r="O1009" s="20" t="s">
        <v>3443</v>
      </c>
      <c r="P1009" s="45">
        <v>45978</v>
      </c>
      <c r="Q1009" s="39" t="s">
        <v>3444</v>
      </c>
      <c r="R1009" s="19">
        <v>126.6</v>
      </c>
      <c r="S1009" s="21">
        <v>0.2</v>
      </c>
      <c r="T1009" s="21">
        <v>151.91999999999999</v>
      </c>
      <c r="U1009" s="60" t="s">
        <v>3445</v>
      </c>
      <c r="V1009" s="22">
        <v>45979</v>
      </c>
      <c r="W1009" s="54" t="s">
        <v>91</v>
      </c>
      <c r="X1009" s="23"/>
      <c r="Y1009" s="23" t="s">
        <v>92</v>
      </c>
      <c r="Z1009" s="56" t="s">
        <v>928</v>
      </c>
      <c r="AA1009" s="24">
        <v>863971</v>
      </c>
      <c r="AB1009" s="19"/>
      <c r="AC1009" s="19"/>
      <c r="AD1009" s="15" t="str">
        <f ca="1">IF(AND($D1009&lt;&gt;"",COUNTIF(OFFSET(UFS!$E$2,MATCH($D1009&amp;"",UFS!$A$2:$A$175,0)-1,0,COUNTIF(UFS!$A$2:$A$175,$D1009&amp;""),1),M1009)&gt;0),"Valide","Invalide")</f>
        <v>Invalide</v>
      </c>
      <c r="AH1009" s="15" t="str">
        <f t="shared" si="15"/>
        <v>En attente</v>
      </c>
    </row>
    <row r="1010" spans="1:34" s="15" customFormat="1" ht="45" hidden="1" customHeight="1" x14ac:dyDescent="0.3">
      <c r="A1010" s="42">
        <v>1011</v>
      </c>
      <c r="B1010" s="19" t="s">
        <v>709</v>
      </c>
      <c r="C1010" s="19" t="s">
        <v>23</v>
      </c>
      <c r="D1010" s="20" t="s">
        <v>95</v>
      </c>
      <c r="E1010" s="20" t="s">
        <v>79</v>
      </c>
      <c r="F1010" s="21" t="s">
        <v>80</v>
      </c>
      <c r="G1010" s="38" t="s">
        <v>241</v>
      </c>
      <c r="H1010" s="39" t="s">
        <v>643</v>
      </c>
      <c r="I1010" s="39" t="s">
        <v>644</v>
      </c>
      <c r="J1010" s="21" t="s">
        <v>98</v>
      </c>
      <c r="K1010" s="21" t="s">
        <v>3446</v>
      </c>
      <c r="L1010" s="21" t="s">
        <v>100</v>
      </c>
      <c r="M1010" s="21" t="s">
        <v>3446</v>
      </c>
      <c r="N1010" s="21" t="s">
        <v>711</v>
      </c>
      <c r="O1010" s="20" t="s">
        <v>3447</v>
      </c>
      <c r="P1010" s="45">
        <v>45979</v>
      </c>
      <c r="Q1010" s="39" t="s">
        <v>2775</v>
      </c>
      <c r="R1010" s="19">
        <v>189.9</v>
      </c>
      <c r="S1010" s="21">
        <v>0.1</v>
      </c>
      <c r="T1010" s="21">
        <v>208.89</v>
      </c>
      <c r="U1010" s="60" t="s">
        <v>3448</v>
      </c>
      <c r="V1010" s="22">
        <v>45979</v>
      </c>
      <c r="W1010" s="54" t="s">
        <v>91</v>
      </c>
      <c r="X1010" s="23"/>
      <c r="Y1010" s="23" t="s">
        <v>92</v>
      </c>
      <c r="Z1010" s="56" t="s">
        <v>928</v>
      </c>
      <c r="AA1010" s="24">
        <v>863967</v>
      </c>
      <c r="AB1010" s="19"/>
      <c r="AC1010" s="19"/>
      <c r="AD1010" s="15" t="str">
        <f ca="1">IF(AND($D1010&lt;&gt;"",COUNTIF(OFFSET(UFS!$E$2,MATCH($D1010&amp;"",UFS!$A$2:$A$175,0)-1,0,COUNTIF(UFS!$A$2:$A$175,$D1010&amp;""),1),M1010)&gt;0),"Valide","Invalide")</f>
        <v>Invalide</v>
      </c>
      <c r="AH1010" s="15" t="str">
        <f t="shared" si="15"/>
        <v>En attente</v>
      </c>
    </row>
    <row r="1011" spans="1:34" s="15" customFormat="1" ht="45" hidden="1" customHeight="1" x14ac:dyDescent="0.3">
      <c r="A1011" s="42">
        <v>1012</v>
      </c>
      <c r="B1011" s="19" t="s">
        <v>24</v>
      </c>
      <c r="C1011" s="19" t="s">
        <v>34</v>
      </c>
      <c r="D1011" s="20" t="s">
        <v>123</v>
      </c>
      <c r="E1011" s="20" t="s">
        <v>96</v>
      </c>
      <c r="F1011" s="21" t="s">
        <v>80</v>
      </c>
      <c r="G1011" s="38" t="s">
        <v>507</v>
      </c>
      <c r="H1011" s="39"/>
      <c r="I1011" s="39"/>
      <c r="J1011" s="21" t="s">
        <v>124</v>
      </c>
      <c r="K1011" s="21" t="s">
        <v>125</v>
      </c>
      <c r="L1011" s="21" t="s">
        <v>126</v>
      </c>
      <c r="M1011" s="21" t="s">
        <v>109</v>
      </c>
      <c r="N1011" s="21" t="s">
        <v>109</v>
      </c>
      <c r="O1011" s="20" t="s">
        <v>3449</v>
      </c>
      <c r="P1011" s="45">
        <v>45978</v>
      </c>
      <c r="Q1011" s="39" t="s">
        <v>3450</v>
      </c>
      <c r="R1011" s="19">
        <v>14653</v>
      </c>
      <c r="S1011" s="21">
        <v>0.1</v>
      </c>
      <c r="T1011" s="21">
        <v>16118.3</v>
      </c>
      <c r="U1011" s="44" t="s">
        <v>3451</v>
      </c>
      <c r="V1011" s="22">
        <v>45979</v>
      </c>
      <c r="W1011" s="54" t="s">
        <v>91</v>
      </c>
      <c r="X1011" s="23"/>
      <c r="Y1011" s="23" t="s">
        <v>92</v>
      </c>
      <c r="Z1011" s="56" t="s">
        <v>928</v>
      </c>
      <c r="AA1011" s="24">
        <v>863960</v>
      </c>
      <c r="AB1011" s="47">
        <v>45986</v>
      </c>
      <c r="AC1011" s="46" t="s">
        <v>94</v>
      </c>
      <c r="AD1011" s="15" t="str">
        <f ca="1">IF(AND($D1011&lt;&gt;"",COUNTIF(OFFSET(UFS!$E$2,MATCH($D1011&amp;"",UFS!$A$2:$A$175,0)-1,0,COUNTIF(UFS!$A$2:$A$175,$D1011&amp;""),1),M1011)&gt;0),"Valide","Invalide")</f>
        <v>Valide</v>
      </c>
      <c r="AH1011" s="15" t="str">
        <f t="shared" si="15"/>
        <v>En attente</v>
      </c>
    </row>
    <row r="1012" spans="1:34" s="15" customFormat="1" ht="45" hidden="1" customHeight="1" x14ac:dyDescent="0.3">
      <c r="A1012" s="42">
        <v>1013</v>
      </c>
      <c r="B1012" s="19" t="s">
        <v>20</v>
      </c>
      <c r="C1012" s="19" t="s">
        <v>37</v>
      </c>
      <c r="D1012" s="20" t="s">
        <v>95</v>
      </c>
      <c r="E1012" s="20" t="s">
        <v>79</v>
      </c>
      <c r="F1012" s="21" t="s">
        <v>80</v>
      </c>
      <c r="G1012" s="38" t="s">
        <v>241</v>
      </c>
      <c r="H1012" s="39" t="s">
        <v>367</v>
      </c>
      <c r="I1012" s="39" t="s">
        <v>368</v>
      </c>
      <c r="J1012" s="21" t="s">
        <v>98</v>
      </c>
      <c r="K1012" s="21" t="s">
        <v>99</v>
      </c>
      <c r="L1012" s="21" t="s">
        <v>100</v>
      </c>
      <c r="M1012" s="21" t="s">
        <v>101</v>
      </c>
      <c r="N1012" s="21" t="s">
        <v>102</v>
      </c>
      <c r="O1012" s="20" t="s">
        <v>3452</v>
      </c>
      <c r="P1012" s="45">
        <v>45979</v>
      </c>
      <c r="Q1012" s="39" t="s">
        <v>3453</v>
      </c>
      <c r="R1012" s="19">
        <v>1625.34</v>
      </c>
      <c r="S1012" s="21">
        <v>0.1</v>
      </c>
      <c r="T1012" s="21">
        <v>1787.874</v>
      </c>
      <c r="U1012" s="44" t="s">
        <v>3454</v>
      </c>
      <c r="V1012" s="22">
        <v>45980</v>
      </c>
      <c r="W1012" s="54" t="s">
        <v>91</v>
      </c>
      <c r="X1012" s="23"/>
      <c r="Y1012" s="23" t="s">
        <v>92</v>
      </c>
      <c r="Z1012" s="56"/>
      <c r="AA1012" s="24">
        <v>863996</v>
      </c>
      <c r="AB1012" s="19"/>
      <c r="AC1012" s="46" t="s">
        <v>94</v>
      </c>
      <c r="AD1012" s="15" t="str">
        <f ca="1">IF(AND($D1012&lt;&gt;"",COUNTIF(OFFSET(UFS!$E$2,MATCH($D1012&amp;"",UFS!$A$2:$A$175,0)-1,0,COUNTIF(UFS!$A$2:$A$175,$D1012&amp;""),1),M1012)&gt;0),"Valide","Invalide")</f>
        <v>Valide</v>
      </c>
      <c r="AH1012" s="15" t="str">
        <f t="shared" si="15"/>
        <v>En attente</v>
      </c>
    </row>
    <row r="1013" spans="1:34" s="15" customFormat="1" ht="45" hidden="1" customHeight="1" x14ac:dyDescent="0.3">
      <c r="A1013" s="42">
        <v>1014</v>
      </c>
      <c r="B1013" s="19" t="s">
        <v>24</v>
      </c>
      <c r="C1013" s="19" t="s">
        <v>15</v>
      </c>
      <c r="D1013" s="20" t="s">
        <v>1659</v>
      </c>
      <c r="E1013" s="20" t="s">
        <v>79</v>
      </c>
      <c r="F1013" s="21" t="s">
        <v>80</v>
      </c>
      <c r="G1013" s="38" t="s">
        <v>81</v>
      </c>
      <c r="H1013" s="39" t="s">
        <v>139</v>
      </c>
      <c r="I1013" s="39" t="s">
        <v>83</v>
      </c>
      <c r="J1013" s="21" t="s">
        <v>144</v>
      </c>
      <c r="K1013" s="21" t="s">
        <v>145</v>
      </c>
      <c r="L1013" s="21" t="s">
        <v>1660</v>
      </c>
      <c r="M1013" s="21" t="s">
        <v>1661</v>
      </c>
      <c r="N1013" s="21" t="s">
        <v>1662</v>
      </c>
      <c r="O1013" s="20" t="s">
        <v>3455</v>
      </c>
      <c r="P1013" s="45">
        <v>45826</v>
      </c>
      <c r="Q1013" s="39" t="s">
        <v>3456</v>
      </c>
      <c r="R1013" s="53">
        <v>1955.45</v>
      </c>
      <c r="S1013" s="21">
        <v>0.2</v>
      </c>
      <c r="T1013" s="21">
        <v>2346.54</v>
      </c>
      <c r="U1013" s="44" t="s">
        <v>3457</v>
      </c>
      <c r="V1013" s="22">
        <v>45980</v>
      </c>
      <c r="W1013" s="54" t="s">
        <v>91</v>
      </c>
      <c r="X1013" s="23"/>
      <c r="Y1013" s="23" t="s">
        <v>92</v>
      </c>
      <c r="Z1013" s="56" t="s">
        <v>928</v>
      </c>
      <c r="AA1013" s="24">
        <v>864356</v>
      </c>
      <c r="AB1013" s="19"/>
      <c r="AC1013" s="46" t="s">
        <v>94</v>
      </c>
      <c r="AD1013" s="15" t="str">
        <f ca="1">IF(AND($D1013&lt;&gt;"",COUNTIF(OFFSET(UFS!$E$2,MATCH($D1013&amp;"",UFS!$A$2:$A$175,0)-1,0,COUNTIF(UFS!$A$2:$A$175,$D1013&amp;""),1),M1013)&gt;0),"Valide","Invalide")</f>
        <v>Valide</v>
      </c>
      <c r="AH1013" s="15" t="str">
        <f t="shared" si="15"/>
        <v>En attente</v>
      </c>
    </row>
    <row r="1014" spans="1:34" s="15" customFormat="1" ht="45" hidden="1" customHeight="1" x14ac:dyDescent="0.3">
      <c r="A1014" s="42">
        <v>1015</v>
      </c>
      <c r="B1014" s="19" t="s">
        <v>24</v>
      </c>
      <c r="C1014" s="19" t="s">
        <v>15</v>
      </c>
      <c r="D1014" s="20" t="s">
        <v>123</v>
      </c>
      <c r="E1014" s="20" t="s">
        <v>79</v>
      </c>
      <c r="F1014" s="21" t="s">
        <v>80</v>
      </c>
      <c r="G1014" s="38" t="s">
        <v>81</v>
      </c>
      <c r="H1014" s="39" t="s">
        <v>139</v>
      </c>
      <c r="I1014" s="39" t="s">
        <v>83</v>
      </c>
      <c r="J1014" s="21" t="s">
        <v>124</v>
      </c>
      <c r="K1014" s="21" t="s">
        <v>125</v>
      </c>
      <c r="L1014" s="21" t="s">
        <v>126</v>
      </c>
      <c r="M1014" s="21" t="s">
        <v>109</v>
      </c>
      <c r="N1014" s="21" t="s">
        <v>109</v>
      </c>
      <c r="O1014" s="20" t="s">
        <v>3458</v>
      </c>
      <c r="P1014" s="45">
        <v>45824</v>
      </c>
      <c r="Q1014" s="39" t="s">
        <v>3459</v>
      </c>
      <c r="R1014" s="19">
        <v>195.71</v>
      </c>
      <c r="S1014" s="21">
        <v>0.1</v>
      </c>
      <c r="T1014" s="21">
        <v>215.28100000000001</v>
      </c>
      <c r="U1014" s="44" t="s">
        <v>3460</v>
      </c>
      <c r="V1014" s="22">
        <v>45980</v>
      </c>
      <c r="W1014" s="54" t="s">
        <v>91</v>
      </c>
      <c r="X1014" s="23"/>
      <c r="Y1014" s="23" t="s">
        <v>92</v>
      </c>
      <c r="Z1014" s="56" t="s">
        <v>928</v>
      </c>
      <c r="AA1014" s="24">
        <v>864357</v>
      </c>
      <c r="AB1014" s="19"/>
      <c r="AC1014" s="46" t="s">
        <v>94</v>
      </c>
      <c r="AD1014" s="15" t="str">
        <f ca="1">IF(AND($D1014&lt;&gt;"",COUNTIF(OFFSET(UFS!$E$2,MATCH($D1014&amp;"",UFS!$A$2:$A$175,0)-1,0,COUNTIF(UFS!$A$2:$A$175,$D1014&amp;""),1),M1014)&gt;0),"Valide","Invalide")</f>
        <v>Valide</v>
      </c>
      <c r="AH1014" s="15" t="str">
        <f t="shared" si="15"/>
        <v>En attente</v>
      </c>
    </row>
    <row r="1015" spans="1:34" s="15" customFormat="1" ht="45" hidden="1" customHeight="1" x14ac:dyDescent="0.3">
      <c r="A1015" s="42">
        <v>1016</v>
      </c>
      <c r="B1015" s="19" t="s">
        <v>16</v>
      </c>
      <c r="C1015" s="19" t="s">
        <v>3</v>
      </c>
      <c r="D1015" s="20" t="s">
        <v>1090</v>
      </c>
      <c r="E1015" s="20" t="s">
        <v>79</v>
      </c>
      <c r="F1015" s="21" t="s">
        <v>80</v>
      </c>
      <c r="G1015" s="38" t="s">
        <v>163</v>
      </c>
      <c r="H1015" s="39"/>
      <c r="I1015" s="39"/>
      <c r="J1015" s="21" t="s">
        <v>144</v>
      </c>
      <c r="K1015" s="21" t="s">
        <v>145</v>
      </c>
      <c r="L1015" s="21" t="s">
        <v>636</v>
      </c>
      <c r="M1015" s="21" t="s">
        <v>1091</v>
      </c>
      <c r="N1015" s="21" t="s">
        <v>102</v>
      </c>
      <c r="O1015" s="20" t="s">
        <v>3461</v>
      </c>
      <c r="P1015" s="45">
        <v>45975</v>
      </c>
      <c r="Q1015" s="39" t="s">
        <v>3462</v>
      </c>
      <c r="R1015" s="19">
        <v>412.44</v>
      </c>
      <c r="S1015" s="21">
        <v>0.1</v>
      </c>
      <c r="T1015" s="21">
        <v>453.68400000000003</v>
      </c>
      <c r="U1015" s="44" t="s">
        <v>3463</v>
      </c>
      <c r="V1015" s="22">
        <v>45981</v>
      </c>
      <c r="W1015" s="54" t="s">
        <v>91</v>
      </c>
      <c r="X1015" s="23"/>
      <c r="Y1015" s="23" t="s">
        <v>92</v>
      </c>
      <c r="Z1015" s="56" t="s">
        <v>3464</v>
      </c>
      <c r="AA1015" s="24">
        <v>864358</v>
      </c>
      <c r="AB1015" s="19" t="s">
        <v>3256</v>
      </c>
      <c r="AC1015" s="46" t="s">
        <v>94</v>
      </c>
      <c r="AD1015" s="15" t="str">
        <f ca="1">IF(AND($D1015&lt;&gt;"",COUNTIF(OFFSET(UFS!$E$2,MATCH($D1015&amp;"",UFS!$A$2:$A$175,0)-1,0,COUNTIF(UFS!$A$2:$A$175,$D1015&amp;""),1),M1015)&gt;0),"Valide","Invalide")</f>
        <v>Valide</v>
      </c>
      <c r="AH1015" s="15" t="str">
        <f t="shared" si="15"/>
        <v>En attente</v>
      </c>
    </row>
    <row r="1016" spans="1:34" s="15" customFormat="1" ht="45" customHeight="1" x14ac:dyDescent="0.3">
      <c r="A1016" s="42">
        <v>1017</v>
      </c>
      <c r="B1016" s="19" t="s">
        <v>24</v>
      </c>
      <c r="C1016" s="19" t="s">
        <v>35</v>
      </c>
      <c r="D1016" s="20" t="s">
        <v>460</v>
      </c>
      <c r="E1016" s="20" t="s">
        <v>79</v>
      </c>
      <c r="F1016" s="21" t="s">
        <v>80</v>
      </c>
      <c r="G1016" s="38" t="s">
        <v>81</v>
      </c>
      <c r="H1016" s="39" t="s">
        <v>215</v>
      </c>
      <c r="I1016" s="39" t="s">
        <v>83</v>
      </c>
      <c r="J1016" s="21" t="s">
        <v>461</v>
      </c>
      <c r="K1016" s="21" t="s">
        <v>145</v>
      </c>
      <c r="L1016" s="21" t="s">
        <v>120</v>
      </c>
      <c r="M1016" s="21" t="s">
        <v>343</v>
      </c>
      <c r="N1016" s="21" t="s">
        <v>87</v>
      </c>
      <c r="O1016" s="20" t="s">
        <v>3465</v>
      </c>
      <c r="P1016" s="45">
        <v>45980</v>
      </c>
      <c r="Q1016" s="39" t="s">
        <v>3466</v>
      </c>
      <c r="R1016" s="19">
        <v>5726.28</v>
      </c>
      <c r="S1016" s="21">
        <v>0.2</v>
      </c>
      <c r="T1016" s="21">
        <v>6871.5360000000001</v>
      </c>
      <c r="U1016" s="44" t="s">
        <v>3467</v>
      </c>
      <c r="V1016" s="22">
        <v>45981</v>
      </c>
      <c r="W1016" s="54" t="s">
        <v>91</v>
      </c>
      <c r="X1016" s="23"/>
      <c r="Y1016" s="23" t="s">
        <v>92</v>
      </c>
      <c r="Z1016" s="56" t="s">
        <v>1338</v>
      </c>
      <c r="AA1016" s="24">
        <v>864360</v>
      </c>
      <c r="AB1016" s="47">
        <v>45986</v>
      </c>
      <c r="AC1016" s="46" t="s">
        <v>94</v>
      </c>
      <c r="AD1016" s="15" t="str">
        <f ca="1">IF(AND($D1016&lt;&gt;"",COUNTIF(OFFSET(UFS!$E$2,MATCH($D1016&amp;"",UFS!$A$2:$A$175,0)-1,0,COUNTIF(UFS!$A$2:$A$175,$D1016&amp;""),1),M1016)&gt;0),"Valide","Invalide")</f>
        <v>Valide</v>
      </c>
      <c r="AH1016" s="15" t="str">
        <f t="shared" si="15"/>
        <v>En attente</v>
      </c>
    </row>
    <row r="1017" spans="1:34" s="15" customFormat="1" ht="45" hidden="1" customHeight="1" x14ac:dyDescent="0.3">
      <c r="A1017" s="42">
        <v>1018</v>
      </c>
      <c r="B1017" s="19" t="s">
        <v>24</v>
      </c>
      <c r="C1017" s="19" t="s">
        <v>33</v>
      </c>
      <c r="D1017" s="20" t="s">
        <v>260</v>
      </c>
      <c r="E1017" s="20" t="s">
        <v>79</v>
      </c>
      <c r="F1017" s="21" t="s">
        <v>80</v>
      </c>
      <c r="G1017" s="38" t="s">
        <v>81</v>
      </c>
      <c r="H1017" s="39" t="s">
        <v>234</v>
      </c>
      <c r="I1017" s="39"/>
      <c r="J1017" s="21" t="s">
        <v>84</v>
      </c>
      <c r="K1017" s="21" t="s">
        <v>113</v>
      </c>
      <c r="L1017" s="21" t="s">
        <v>86</v>
      </c>
      <c r="M1017" s="21" t="s">
        <v>109</v>
      </c>
      <c r="N1017" s="21" t="s">
        <v>109</v>
      </c>
      <c r="O1017" s="20" t="s">
        <v>3468</v>
      </c>
      <c r="P1017" s="45">
        <v>45922</v>
      </c>
      <c r="Q1017" s="39" t="s">
        <v>3469</v>
      </c>
      <c r="R1017" s="19">
        <v>320.39</v>
      </c>
      <c r="S1017" s="21">
        <v>0.1</v>
      </c>
      <c r="T1017" s="21">
        <v>352.42899999999997</v>
      </c>
      <c r="U1017" s="44" t="s">
        <v>3470</v>
      </c>
      <c r="V1017" s="22">
        <v>45981</v>
      </c>
      <c r="W1017" s="54" t="s">
        <v>91</v>
      </c>
      <c r="X1017" s="23"/>
      <c r="Y1017" s="23" t="s">
        <v>92</v>
      </c>
      <c r="Z1017" s="56" t="s">
        <v>3471</v>
      </c>
      <c r="AA1017" s="24">
        <v>864362</v>
      </c>
      <c r="AB1017" s="47">
        <v>45930</v>
      </c>
      <c r="AC1017" s="46" t="s">
        <v>94</v>
      </c>
      <c r="AD1017" s="15" t="str">
        <f ca="1">IF(AND($D1017&lt;&gt;"",COUNTIF(OFFSET(UFS!$E$2,MATCH($D1017&amp;"",UFS!$A$2:$A$175,0)-1,0,COUNTIF(UFS!$A$2:$A$175,$D1017&amp;""),1),M1017)&gt;0),"Valide","Invalide")</f>
        <v>Valide</v>
      </c>
      <c r="AH1017" s="15" t="str">
        <f t="shared" si="15"/>
        <v>En attente</v>
      </c>
    </row>
    <row r="1018" spans="1:34" s="15" customFormat="1" ht="45" hidden="1" customHeight="1" x14ac:dyDescent="0.3">
      <c r="A1018" s="42">
        <v>1019</v>
      </c>
      <c r="B1018" s="19" t="s">
        <v>24</v>
      </c>
      <c r="C1018" s="19" t="s">
        <v>5</v>
      </c>
      <c r="D1018" s="20" t="s">
        <v>3365</v>
      </c>
      <c r="E1018" s="20" t="s">
        <v>79</v>
      </c>
      <c r="F1018" s="21" t="s">
        <v>80</v>
      </c>
      <c r="G1018" s="38" t="s">
        <v>81</v>
      </c>
      <c r="H1018" s="39" t="s">
        <v>82</v>
      </c>
      <c r="I1018" s="39"/>
      <c r="J1018" s="21" t="s">
        <v>84</v>
      </c>
      <c r="K1018" s="21" t="s">
        <v>3366</v>
      </c>
      <c r="L1018" s="21" t="s">
        <v>114</v>
      </c>
      <c r="M1018" s="21" t="s">
        <v>3367</v>
      </c>
      <c r="N1018" s="21" t="s">
        <v>3368</v>
      </c>
      <c r="O1018" s="20" t="s">
        <v>3472</v>
      </c>
      <c r="P1018" s="45">
        <v>45981</v>
      </c>
      <c r="Q1018" s="39" t="s">
        <v>3473</v>
      </c>
      <c r="R1018" s="19">
        <v>3106.67</v>
      </c>
      <c r="S1018" s="21">
        <v>0.2</v>
      </c>
      <c r="T1018" s="21">
        <v>3728.0039999999999</v>
      </c>
      <c r="U1018" s="44" t="s">
        <v>3474</v>
      </c>
      <c r="V1018" s="22">
        <v>45982</v>
      </c>
      <c r="W1018" s="54" t="s">
        <v>91</v>
      </c>
      <c r="X1018" s="23"/>
      <c r="Y1018" s="23" t="s">
        <v>92</v>
      </c>
      <c r="Z1018" s="157" t="s">
        <v>3475</v>
      </c>
      <c r="AA1018" s="24">
        <v>864363</v>
      </c>
      <c r="AB1018" s="47">
        <v>45974</v>
      </c>
      <c r="AC1018" s="46" t="s">
        <v>94</v>
      </c>
      <c r="AD1018" s="15" t="str">
        <f ca="1">IF(AND($D1018&lt;&gt;"",COUNTIF(OFFSET(UFS!$E$2,MATCH($D1018&amp;"",UFS!$A$2:$A$175,0)-1,0,COUNTIF(UFS!$A$2:$A$175,$D1018&amp;""),1),M1018)&gt;0),"Valide","Invalide")</f>
        <v>Valide</v>
      </c>
      <c r="AH1018" s="15" t="str">
        <f t="shared" si="15"/>
        <v>En attente</v>
      </c>
    </row>
    <row r="1019" spans="1:34" s="15" customFormat="1" ht="45" hidden="1" customHeight="1" x14ac:dyDescent="0.3">
      <c r="A1019" s="42">
        <v>1020</v>
      </c>
      <c r="B1019" s="19" t="s">
        <v>24</v>
      </c>
      <c r="C1019" s="19" t="s">
        <v>5</v>
      </c>
      <c r="D1019" s="20" t="s">
        <v>825</v>
      </c>
      <c r="E1019" s="20" t="s">
        <v>79</v>
      </c>
      <c r="F1019" s="21" t="s">
        <v>80</v>
      </c>
      <c r="G1019" s="38" t="s">
        <v>81</v>
      </c>
      <c r="H1019" s="39" t="s">
        <v>82</v>
      </c>
      <c r="I1019" s="39"/>
      <c r="J1019" s="21" t="s">
        <v>244</v>
      </c>
      <c r="K1019" s="21" t="s">
        <v>827</v>
      </c>
      <c r="L1019" s="21" t="s">
        <v>629</v>
      </c>
      <c r="M1019" s="21" t="s">
        <v>828</v>
      </c>
      <c r="N1019" s="21" t="s">
        <v>87</v>
      </c>
      <c r="O1019" s="20" t="s">
        <v>3476</v>
      </c>
      <c r="P1019" s="45">
        <v>45981</v>
      </c>
      <c r="Q1019" s="39" t="s">
        <v>3477</v>
      </c>
      <c r="R1019" s="19">
        <v>1114.29</v>
      </c>
      <c r="S1019" s="21">
        <v>0.2</v>
      </c>
      <c r="T1019" s="21">
        <v>1337.1479999999999</v>
      </c>
      <c r="U1019" s="44" t="s">
        <v>3478</v>
      </c>
      <c r="V1019" s="22">
        <v>45982</v>
      </c>
      <c r="W1019" s="54" t="s">
        <v>91</v>
      </c>
      <c r="X1019" s="23"/>
      <c r="Y1019" s="23" t="s">
        <v>92</v>
      </c>
      <c r="Z1019" s="56" t="s">
        <v>1338</v>
      </c>
      <c r="AA1019" s="24">
        <v>864371</v>
      </c>
      <c r="AB1019" s="47">
        <v>45974</v>
      </c>
      <c r="AC1019" s="46" t="s">
        <v>94</v>
      </c>
      <c r="AD1019" s="15" t="str">
        <f ca="1">IF(AND($D1019&lt;&gt;"",COUNTIF(OFFSET(UFS!$E$2,MATCH($D1019&amp;"",UFS!$A$2:$A$175,0)-1,0,COUNTIF(UFS!$A$2:$A$175,$D1019&amp;""),1),M1019)&gt;0),"Valide","Invalide")</f>
        <v>Valide</v>
      </c>
      <c r="AH1019" s="15" t="str">
        <f t="shared" si="15"/>
        <v>En attente</v>
      </c>
    </row>
    <row r="1020" spans="1:34" s="15" customFormat="1" ht="45" hidden="1" customHeight="1" x14ac:dyDescent="0.3">
      <c r="A1020" s="42">
        <v>1021</v>
      </c>
      <c r="B1020" s="19" t="s">
        <v>26</v>
      </c>
      <c r="C1020" s="19" t="s">
        <v>15</v>
      </c>
      <c r="D1020" s="20" t="s">
        <v>181</v>
      </c>
      <c r="E1020" s="20" t="s">
        <v>79</v>
      </c>
      <c r="F1020" s="21" t="s">
        <v>80</v>
      </c>
      <c r="G1020" s="38" t="s">
        <v>182</v>
      </c>
      <c r="H1020" s="39" t="s">
        <v>139</v>
      </c>
      <c r="I1020" s="39" t="s">
        <v>83</v>
      </c>
      <c r="J1020" s="21" t="s">
        <v>183</v>
      </c>
      <c r="K1020" s="21" t="s">
        <v>184</v>
      </c>
      <c r="L1020" s="21" t="s">
        <v>185</v>
      </c>
      <c r="M1020" s="21" t="s">
        <v>186</v>
      </c>
      <c r="N1020" s="21" t="s">
        <v>102</v>
      </c>
      <c r="O1020" s="20" t="s">
        <v>3479</v>
      </c>
      <c r="P1020" s="45">
        <v>45978</v>
      </c>
      <c r="Q1020" s="39" t="s">
        <v>3480</v>
      </c>
      <c r="R1020" s="19">
        <v>3689.28</v>
      </c>
      <c r="S1020" s="21">
        <v>0.1</v>
      </c>
      <c r="T1020" s="21">
        <v>4058.2080000000001</v>
      </c>
      <c r="U1020" s="60" t="s">
        <v>3481</v>
      </c>
      <c r="V1020" s="22">
        <v>45982</v>
      </c>
      <c r="W1020" s="54" t="s">
        <v>91</v>
      </c>
      <c r="X1020" s="23"/>
      <c r="Y1020" s="23" t="s">
        <v>92</v>
      </c>
      <c r="Z1020" s="56" t="s">
        <v>928</v>
      </c>
      <c r="AA1020" s="24">
        <v>864380</v>
      </c>
      <c r="AB1020" s="47">
        <v>45985</v>
      </c>
      <c r="AC1020" s="49" t="s">
        <v>161</v>
      </c>
      <c r="AD1020" s="15" t="str">
        <f ca="1">IF(AND($D1020&lt;&gt;"",COUNTIF(OFFSET(UFS!$E$2,MATCH($D1020&amp;"",UFS!$A$2:$A$175,0)-1,0,COUNTIF(UFS!$A$2:$A$175,$D1020&amp;""),1),M1020)&gt;0),"Valide","Invalide")</f>
        <v>Valide</v>
      </c>
      <c r="AH1020" s="15" t="str">
        <f t="shared" si="15"/>
        <v>En attente</v>
      </c>
    </row>
    <row r="1021" spans="1:34" s="15" customFormat="1" ht="45" hidden="1" customHeight="1" x14ac:dyDescent="0.3">
      <c r="A1021" s="42">
        <v>1022</v>
      </c>
      <c r="B1021" s="19" t="s">
        <v>26</v>
      </c>
      <c r="C1021" s="19" t="s">
        <v>11</v>
      </c>
      <c r="D1021" s="20" t="s">
        <v>95</v>
      </c>
      <c r="E1021" s="20" t="s">
        <v>96</v>
      </c>
      <c r="F1021" s="21" t="s">
        <v>80</v>
      </c>
      <c r="G1021" s="38" t="s">
        <v>169</v>
      </c>
      <c r="H1021" s="39"/>
      <c r="I1021" s="39"/>
      <c r="J1021" s="21" t="s">
        <v>98</v>
      </c>
      <c r="K1021" s="21" t="s">
        <v>99</v>
      </c>
      <c r="L1021" s="21" t="s">
        <v>100</v>
      </c>
      <c r="M1021" s="21" t="s">
        <v>101</v>
      </c>
      <c r="N1021" s="21" t="s">
        <v>102</v>
      </c>
      <c r="O1021" s="20" t="s">
        <v>3482</v>
      </c>
      <c r="P1021" s="45">
        <v>45982</v>
      </c>
      <c r="Q1021" s="39" t="s">
        <v>3483</v>
      </c>
      <c r="R1021" s="19">
        <v>4229.68</v>
      </c>
      <c r="S1021" s="21">
        <v>0.1</v>
      </c>
      <c r="T1021" s="21">
        <v>4652.6480000000001</v>
      </c>
      <c r="U1021" s="44" t="s">
        <v>3484</v>
      </c>
      <c r="V1021" s="22">
        <v>45985</v>
      </c>
      <c r="W1021" s="54" t="s">
        <v>91</v>
      </c>
      <c r="X1021" s="23"/>
      <c r="Y1021" s="23" t="s">
        <v>92</v>
      </c>
      <c r="Z1021" s="56" t="s">
        <v>3485</v>
      </c>
      <c r="AA1021" s="24">
        <v>864398</v>
      </c>
      <c r="AB1021" s="47">
        <v>46022</v>
      </c>
      <c r="AC1021" s="49" t="s">
        <v>161</v>
      </c>
      <c r="AD1021" s="15" t="str">
        <f ca="1">IF(AND($D1021&lt;&gt;"",COUNTIF(OFFSET(UFS!$E$2,MATCH($D1021&amp;"",UFS!$A$2:$A$175,0)-1,0,COUNTIF(UFS!$A$2:$A$175,$D1021&amp;""),1),M1021)&gt;0),"Valide","Invalide")</f>
        <v>Valide</v>
      </c>
      <c r="AH1021" s="15" t="str">
        <f t="shared" si="15"/>
        <v>En attente</v>
      </c>
    </row>
    <row r="1022" spans="1:34" s="15" customFormat="1" ht="45" hidden="1" customHeight="1" x14ac:dyDescent="0.3">
      <c r="A1022" s="42">
        <v>1023</v>
      </c>
      <c r="B1022" s="19" t="s">
        <v>26</v>
      </c>
      <c r="C1022" s="19" t="s">
        <v>11</v>
      </c>
      <c r="D1022" s="20" t="s">
        <v>95</v>
      </c>
      <c r="E1022" s="20" t="s">
        <v>96</v>
      </c>
      <c r="F1022" s="21" t="s">
        <v>80</v>
      </c>
      <c r="G1022" s="38" t="s">
        <v>169</v>
      </c>
      <c r="H1022" s="39"/>
      <c r="I1022" s="39"/>
      <c r="J1022" s="21" t="s">
        <v>98</v>
      </c>
      <c r="K1022" s="21" t="s">
        <v>99</v>
      </c>
      <c r="L1022" s="21" t="s">
        <v>100</v>
      </c>
      <c r="M1022" s="21" t="s">
        <v>101</v>
      </c>
      <c r="N1022" s="21" t="s">
        <v>102</v>
      </c>
      <c r="O1022" s="20" t="s">
        <v>3486</v>
      </c>
      <c r="P1022" s="45">
        <v>45982</v>
      </c>
      <c r="Q1022" s="39" t="s">
        <v>3487</v>
      </c>
      <c r="R1022" s="19">
        <v>2552.6799999999998</v>
      </c>
      <c r="S1022" s="21">
        <v>0.1</v>
      </c>
      <c r="T1022" s="21">
        <v>2807.9479999999999</v>
      </c>
      <c r="U1022" s="44" t="s">
        <v>3488</v>
      </c>
      <c r="V1022" s="22">
        <v>45985</v>
      </c>
      <c r="W1022" s="54" t="s">
        <v>91</v>
      </c>
      <c r="X1022" s="23"/>
      <c r="Y1022" s="23" t="s">
        <v>92</v>
      </c>
      <c r="Z1022" s="56" t="s">
        <v>3485</v>
      </c>
      <c r="AA1022" s="24">
        <v>864399</v>
      </c>
      <c r="AB1022" s="47">
        <v>46022</v>
      </c>
      <c r="AC1022" s="46" t="s">
        <v>94</v>
      </c>
      <c r="AD1022" s="15" t="str">
        <f ca="1">IF(AND($D1022&lt;&gt;"",COUNTIF(OFFSET(UFS!$E$2,MATCH($D1022&amp;"",UFS!$A$2:$A$175,0)-1,0,COUNTIF(UFS!$A$2:$A$175,$D1022&amp;""),1),M1022)&gt;0),"Valide","Invalide")</f>
        <v>Valide</v>
      </c>
      <c r="AH1022" s="15" t="str">
        <f t="shared" si="15"/>
        <v>En attente</v>
      </c>
    </row>
    <row r="1023" spans="1:34" s="15" customFormat="1" ht="45" hidden="1" customHeight="1" x14ac:dyDescent="0.3">
      <c r="A1023" s="42">
        <v>1024</v>
      </c>
      <c r="B1023" s="19" t="s">
        <v>14</v>
      </c>
      <c r="C1023" s="19" t="s">
        <v>13</v>
      </c>
      <c r="D1023" s="20" t="s">
        <v>200</v>
      </c>
      <c r="E1023" s="20" t="s">
        <v>96</v>
      </c>
      <c r="F1023" s="21" t="s">
        <v>80</v>
      </c>
      <c r="G1023" s="38" t="s">
        <v>681</v>
      </c>
      <c r="H1023" s="39"/>
      <c r="I1023" s="39" t="s">
        <v>682</v>
      </c>
      <c r="J1023" s="21" t="s">
        <v>144</v>
      </c>
      <c r="K1023" s="21" t="s">
        <v>145</v>
      </c>
      <c r="L1023" s="21" t="s">
        <v>203</v>
      </c>
      <c r="M1023" s="21" t="s">
        <v>109</v>
      </c>
      <c r="N1023" s="21" t="s">
        <v>109</v>
      </c>
      <c r="O1023" s="152" t="s">
        <v>3489</v>
      </c>
      <c r="P1023" s="45">
        <v>45982</v>
      </c>
      <c r="Q1023" s="39" t="s">
        <v>3490</v>
      </c>
      <c r="R1023" s="19">
        <v>4874.28</v>
      </c>
      <c r="S1023" s="21">
        <v>0.2</v>
      </c>
      <c r="T1023" s="21">
        <v>5849.1359999999995</v>
      </c>
      <c r="U1023" s="60" t="s">
        <v>3491</v>
      </c>
      <c r="V1023" s="22">
        <v>45985</v>
      </c>
      <c r="W1023" s="54" t="s">
        <v>91</v>
      </c>
      <c r="X1023" s="23"/>
      <c r="Y1023" s="23" t="s">
        <v>92</v>
      </c>
      <c r="Z1023" s="56" t="s">
        <v>1338</v>
      </c>
      <c r="AA1023" s="24">
        <v>864401</v>
      </c>
      <c r="AB1023" s="19"/>
      <c r="AC1023" s="19"/>
      <c r="AD1023" s="15" t="e">
        <f ca="1">IF(AND($D1023&lt;&gt;"",COUNTIF(OFFSET(UFS!$E$2,MATCH($D1023&amp;"",UFS!$A$2:$A$175,0)-1,0,COUNTIF(UFS!$A$2:$A$175,$D1023&amp;""),1),M1023)&gt;0),"Valide","Invalide")</f>
        <v>#N/A</v>
      </c>
      <c r="AH1023" s="15" t="str">
        <f t="shared" si="15"/>
        <v>En attente</v>
      </c>
    </row>
    <row r="1024" spans="1:34" s="15" customFormat="1" ht="45" hidden="1" customHeight="1" x14ac:dyDescent="0.3">
      <c r="A1024" s="42">
        <v>1025</v>
      </c>
      <c r="B1024" s="19" t="s">
        <v>16</v>
      </c>
      <c r="C1024" s="19" t="s">
        <v>30</v>
      </c>
      <c r="D1024" s="20" t="s">
        <v>1740</v>
      </c>
      <c r="E1024" s="20" t="s">
        <v>79</v>
      </c>
      <c r="F1024" s="21" t="s">
        <v>80</v>
      </c>
      <c r="G1024" s="38"/>
      <c r="H1024" s="39"/>
      <c r="I1024" s="39"/>
      <c r="J1024" s="21" t="s">
        <v>144</v>
      </c>
      <c r="K1024" s="21" t="s">
        <v>145</v>
      </c>
      <c r="L1024" s="21" t="s">
        <v>342</v>
      </c>
      <c r="M1024" s="21" t="s">
        <v>1741</v>
      </c>
      <c r="N1024" s="21" t="s">
        <v>87</v>
      </c>
      <c r="O1024" s="20" t="s">
        <v>3492</v>
      </c>
      <c r="P1024" s="45">
        <v>45855</v>
      </c>
      <c r="Q1024" s="39" t="s">
        <v>3493</v>
      </c>
      <c r="R1024" s="19">
        <v>2011.7</v>
      </c>
      <c r="S1024" s="21">
        <v>0.2</v>
      </c>
      <c r="T1024" s="21">
        <v>2414.04</v>
      </c>
      <c r="U1024" s="60" t="s">
        <v>3494</v>
      </c>
      <c r="V1024" s="22">
        <v>45986</v>
      </c>
      <c r="W1024" s="54" t="s">
        <v>91</v>
      </c>
      <c r="X1024" s="23"/>
      <c r="Y1024" s="23" t="s">
        <v>92</v>
      </c>
      <c r="Z1024" s="56" t="s">
        <v>928</v>
      </c>
      <c r="AA1024" s="24">
        <v>864402</v>
      </c>
      <c r="AB1024" s="19" t="s">
        <v>3495</v>
      </c>
      <c r="AC1024" s="46" t="s">
        <v>94</v>
      </c>
      <c r="AD1024" s="15" t="str">
        <f ca="1">IF(AND($D1024&lt;&gt;"",COUNTIF(OFFSET(UFS!$E$2,MATCH($D1024&amp;"",UFS!$A$2:$A$175,0)-1,0,COUNTIF(UFS!$A$2:$A$175,$D1024&amp;""),1),M1024)&gt;0),"Valide","Invalide")</f>
        <v>Valide</v>
      </c>
      <c r="AH1024" s="15" t="str">
        <f t="shared" si="15"/>
        <v>En attente</v>
      </c>
    </row>
    <row r="1025" spans="1:34" s="15" customFormat="1" ht="45" hidden="1" customHeight="1" x14ac:dyDescent="0.3">
      <c r="A1025" s="42">
        <v>1026</v>
      </c>
      <c r="B1025" s="19" t="s">
        <v>16</v>
      </c>
      <c r="C1025" s="19" t="s">
        <v>30</v>
      </c>
      <c r="D1025" s="20" t="s">
        <v>902</v>
      </c>
      <c r="E1025" s="20" t="s">
        <v>79</v>
      </c>
      <c r="F1025" s="21" t="s">
        <v>80</v>
      </c>
      <c r="G1025" s="38" t="s">
        <v>81</v>
      </c>
      <c r="H1025" s="39" t="s">
        <v>82</v>
      </c>
      <c r="I1025" s="39"/>
      <c r="J1025" s="21" t="s">
        <v>144</v>
      </c>
      <c r="K1025" s="21" t="s">
        <v>145</v>
      </c>
      <c r="L1025" s="21" t="s">
        <v>192</v>
      </c>
      <c r="M1025" s="21" t="s">
        <v>903</v>
      </c>
      <c r="N1025" s="21" t="s">
        <v>102</v>
      </c>
      <c r="O1025" s="20" t="s">
        <v>3496</v>
      </c>
      <c r="P1025" s="45">
        <v>45733</v>
      </c>
      <c r="Q1025" s="39" t="s">
        <v>3497</v>
      </c>
      <c r="R1025" s="19">
        <v>1416.08</v>
      </c>
      <c r="S1025" s="21">
        <v>0.1</v>
      </c>
      <c r="T1025" s="21">
        <v>1557.6879999999999</v>
      </c>
      <c r="U1025" s="44" t="s">
        <v>3494</v>
      </c>
      <c r="V1025" s="22">
        <v>45986</v>
      </c>
      <c r="W1025" s="54" t="s">
        <v>91</v>
      </c>
      <c r="X1025" s="23"/>
      <c r="Y1025" s="23" t="s">
        <v>92</v>
      </c>
      <c r="Z1025" s="56" t="s">
        <v>928</v>
      </c>
      <c r="AA1025" s="24">
        <v>864403</v>
      </c>
      <c r="AB1025" s="19"/>
      <c r="AC1025" s="46" t="s">
        <v>94</v>
      </c>
      <c r="AD1025" s="15" t="str">
        <f ca="1">IF(AND($D1025&lt;&gt;"",COUNTIF(OFFSET(UFS!$E$2,MATCH($D1025&amp;"",UFS!$A$2:$A$175,0)-1,0,COUNTIF(UFS!$A$2:$A$175,$D1025&amp;""),1),M1025)&gt;0),"Valide","Invalide")</f>
        <v>Valide</v>
      </c>
      <c r="AH1025" s="15" t="str">
        <f t="shared" si="15"/>
        <v>En attente</v>
      </c>
    </row>
    <row r="1026" spans="1:34" s="15" customFormat="1" ht="45" hidden="1" customHeight="1" x14ac:dyDescent="0.3">
      <c r="A1026" s="42">
        <v>1027</v>
      </c>
      <c r="B1026" s="19" t="s">
        <v>26</v>
      </c>
      <c r="C1026" s="19" t="s">
        <v>30</v>
      </c>
      <c r="D1026" s="20" t="s">
        <v>598</v>
      </c>
      <c r="E1026" s="20" t="s">
        <v>79</v>
      </c>
      <c r="F1026" s="21" t="s">
        <v>80</v>
      </c>
      <c r="G1026" s="38" t="s">
        <v>182</v>
      </c>
      <c r="H1026" s="39" t="s">
        <v>82</v>
      </c>
      <c r="I1026" s="39" t="s">
        <v>83</v>
      </c>
      <c r="J1026" s="21" t="s">
        <v>183</v>
      </c>
      <c r="K1026" s="21" t="s">
        <v>184</v>
      </c>
      <c r="L1026" s="21" t="s">
        <v>492</v>
      </c>
      <c r="M1026" s="21" t="s">
        <v>186</v>
      </c>
      <c r="N1026" s="21" t="s">
        <v>102</v>
      </c>
      <c r="O1026" s="20" t="s">
        <v>3498</v>
      </c>
      <c r="P1026" s="45">
        <v>45986</v>
      </c>
      <c r="Q1026" s="39" t="s">
        <v>3499</v>
      </c>
      <c r="R1026" s="19">
        <v>2229.54</v>
      </c>
      <c r="S1026" s="21">
        <v>0.1</v>
      </c>
      <c r="T1026" s="21">
        <v>2452.4940000000001</v>
      </c>
      <c r="U1026" s="44" t="s">
        <v>3500</v>
      </c>
      <c r="V1026" s="22">
        <v>45986</v>
      </c>
      <c r="W1026" s="54" t="s">
        <v>91</v>
      </c>
      <c r="X1026" s="23"/>
      <c r="Y1026" s="23" t="s">
        <v>92</v>
      </c>
      <c r="Z1026" s="56" t="s">
        <v>928</v>
      </c>
      <c r="AA1026" s="24">
        <v>864405</v>
      </c>
      <c r="AB1026" s="45">
        <v>45987</v>
      </c>
      <c r="AC1026" s="49" t="s">
        <v>161</v>
      </c>
      <c r="AD1026" s="15" t="str">
        <f ca="1">IF(AND($D1026&lt;&gt;"",COUNTIF(OFFSET(UFS!$E$2,MATCH($D1026&amp;"",UFS!$A$2:$A$175,0)-1,0,COUNTIF(UFS!$A$2:$A$175,$D1026&amp;""),1),M1026)&gt;0),"Valide","Invalide")</f>
        <v>Valide</v>
      </c>
      <c r="AH1026" s="15" t="str">
        <f t="shared" si="15"/>
        <v>En attente</v>
      </c>
    </row>
    <row r="1027" spans="1:34" s="15" customFormat="1" ht="45" hidden="1" customHeight="1" x14ac:dyDescent="0.3">
      <c r="A1027" s="42">
        <v>1028</v>
      </c>
      <c r="B1027" s="19" t="s">
        <v>26</v>
      </c>
      <c r="C1027" s="19" t="s">
        <v>30</v>
      </c>
      <c r="D1027" s="20" t="s">
        <v>743</v>
      </c>
      <c r="E1027" s="20" t="s">
        <v>79</v>
      </c>
      <c r="F1027" s="21" t="s">
        <v>80</v>
      </c>
      <c r="G1027" s="38" t="s">
        <v>182</v>
      </c>
      <c r="H1027" s="39" t="s">
        <v>82</v>
      </c>
      <c r="I1027" s="39" t="s">
        <v>83</v>
      </c>
      <c r="J1027" s="21" t="s">
        <v>407</v>
      </c>
      <c r="K1027" s="21" t="s">
        <v>744</v>
      </c>
      <c r="L1027" s="21" t="s">
        <v>100</v>
      </c>
      <c r="M1027" s="21" t="s">
        <v>744</v>
      </c>
      <c r="N1027" s="21" t="s">
        <v>151</v>
      </c>
      <c r="O1027" s="20" t="s">
        <v>3501</v>
      </c>
      <c r="P1027" s="45">
        <v>45741</v>
      </c>
      <c r="Q1027" s="39" t="s">
        <v>3502</v>
      </c>
      <c r="R1027" s="19">
        <v>1621.75</v>
      </c>
      <c r="S1027" s="21">
        <v>0.2</v>
      </c>
      <c r="T1027" s="21">
        <v>1946.1</v>
      </c>
      <c r="U1027" s="44" t="s">
        <v>3503</v>
      </c>
      <c r="V1027" s="22">
        <v>45986</v>
      </c>
      <c r="W1027" s="54" t="s">
        <v>91</v>
      </c>
      <c r="X1027" s="23"/>
      <c r="Y1027" s="23" t="s">
        <v>92</v>
      </c>
      <c r="Z1027" s="56" t="s">
        <v>3504</v>
      </c>
      <c r="AA1027" s="24">
        <v>864408</v>
      </c>
      <c r="AB1027" s="19"/>
      <c r="AC1027" s="46" t="s">
        <v>94</v>
      </c>
      <c r="AD1027" s="15" t="str">
        <f ca="1">IF(AND($D1027&lt;&gt;"",COUNTIF(OFFSET(UFS!$E$2,MATCH($D1027&amp;"",UFS!$A$2:$A$175,0)-1,0,COUNTIF(UFS!$A$2:$A$175,$D1027&amp;""),1),M1027)&gt;0),"Valide","Invalide")</f>
        <v>Valide</v>
      </c>
      <c r="AH1027" s="15" t="str">
        <f t="shared" ref="AH1027:AH1090" si="16">IF(T1027&lt;&gt;"","En attente","")</f>
        <v>En attente</v>
      </c>
    </row>
    <row r="1028" spans="1:34" s="15" customFormat="1" ht="45" hidden="1" customHeight="1" x14ac:dyDescent="0.3">
      <c r="A1028" s="42">
        <v>1029</v>
      </c>
      <c r="B1028" s="19" t="s">
        <v>4</v>
      </c>
      <c r="C1028" s="19" t="s">
        <v>36</v>
      </c>
      <c r="D1028" s="20" t="s">
        <v>123</v>
      </c>
      <c r="E1028" s="20" t="s">
        <v>79</v>
      </c>
      <c r="F1028" s="21" t="s">
        <v>80</v>
      </c>
      <c r="G1028" s="38" t="s">
        <v>241</v>
      </c>
      <c r="H1028" s="39" t="s">
        <v>252</v>
      </c>
      <c r="I1028" s="39" t="s">
        <v>253</v>
      </c>
      <c r="J1028" s="21" t="s">
        <v>124</v>
      </c>
      <c r="K1028" s="21" t="s">
        <v>125</v>
      </c>
      <c r="L1028" s="21" t="s">
        <v>126</v>
      </c>
      <c r="M1028" s="21" t="s">
        <v>109</v>
      </c>
      <c r="N1028" s="21" t="s">
        <v>109</v>
      </c>
      <c r="O1028" s="20" t="s">
        <v>3505</v>
      </c>
      <c r="P1028" s="45">
        <v>45922</v>
      </c>
      <c r="Q1028" s="39" t="s">
        <v>3506</v>
      </c>
      <c r="R1028" s="19">
        <v>1085</v>
      </c>
      <c r="S1028" s="21">
        <v>0.1</v>
      </c>
      <c r="T1028" s="21">
        <v>1193.5</v>
      </c>
      <c r="U1028" s="60" t="s">
        <v>399</v>
      </c>
      <c r="V1028" s="22">
        <v>45986</v>
      </c>
      <c r="W1028" s="54" t="s">
        <v>91</v>
      </c>
      <c r="X1028" s="23"/>
      <c r="Y1028" s="23" t="s">
        <v>92</v>
      </c>
      <c r="Z1028" s="56" t="s">
        <v>1338</v>
      </c>
      <c r="AA1028" s="24">
        <v>864411</v>
      </c>
      <c r="AB1028" s="19"/>
      <c r="AC1028" s="46" t="s">
        <v>94</v>
      </c>
      <c r="AD1028" s="15" t="str">
        <f ca="1">IF(AND($D1028&lt;&gt;"",COUNTIF(OFFSET(UFS!$E$2,MATCH($D1028&amp;"",UFS!$A$2:$A$175,0)-1,0,COUNTIF(UFS!$A$2:$A$175,$D1028&amp;""),1),M1028)&gt;0),"Valide","Invalide")</f>
        <v>Valide</v>
      </c>
      <c r="AH1028" s="15" t="str">
        <f t="shared" si="16"/>
        <v>En attente</v>
      </c>
    </row>
    <row r="1029" spans="1:34" s="15" customFormat="1" ht="45" hidden="1" customHeight="1" x14ac:dyDescent="0.3">
      <c r="A1029" s="42">
        <v>1030</v>
      </c>
      <c r="B1029" s="19" t="s">
        <v>20</v>
      </c>
      <c r="C1029" s="19" t="s">
        <v>37</v>
      </c>
      <c r="D1029" s="20" t="s">
        <v>123</v>
      </c>
      <c r="E1029" s="20" t="s">
        <v>79</v>
      </c>
      <c r="F1029" s="21" t="s">
        <v>80</v>
      </c>
      <c r="G1029" s="38" t="s">
        <v>241</v>
      </c>
      <c r="H1029" s="39" t="s">
        <v>367</v>
      </c>
      <c r="I1029" s="39" t="s">
        <v>368</v>
      </c>
      <c r="J1029" s="21" t="s">
        <v>124</v>
      </c>
      <c r="K1029" s="21" t="s">
        <v>125</v>
      </c>
      <c r="L1029" s="21" t="s">
        <v>126</v>
      </c>
      <c r="M1029" s="21" t="s">
        <v>109</v>
      </c>
      <c r="N1029" s="21" t="s">
        <v>109</v>
      </c>
      <c r="O1029" s="20" t="s">
        <v>3507</v>
      </c>
      <c r="P1029" s="45">
        <v>45985</v>
      </c>
      <c r="Q1029" s="39" t="s">
        <v>3508</v>
      </c>
      <c r="R1029" s="19">
        <v>180</v>
      </c>
      <c r="S1029" s="21">
        <v>0.1</v>
      </c>
      <c r="T1029" s="21">
        <v>198</v>
      </c>
      <c r="U1029" s="60" t="s">
        <v>371</v>
      </c>
      <c r="V1029" s="22">
        <v>45986</v>
      </c>
      <c r="W1029" s="54" t="s">
        <v>91</v>
      </c>
      <c r="X1029" s="23"/>
      <c r="Y1029" s="23" t="s">
        <v>92</v>
      </c>
      <c r="Z1029" s="56" t="s">
        <v>1338</v>
      </c>
      <c r="AA1029" s="24">
        <v>864412</v>
      </c>
      <c r="AB1029" s="19"/>
      <c r="AC1029" s="46" t="s">
        <v>94</v>
      </c>
      <c r="AD1029" s="15" t="str">
        <f ca="1">IF(AND($D1029&lt;&gt;"",COUNTIF(OFFSET(UFS!$E$2,MATCH($D1029&amp;"",UFS!$A$2:$A$175,0)-1,0,COUNTIF(UFS!$A$2:$A$175,$D1029&amp;""),1),M1029)&gt;0),"Valide","Invalide")</f>
        <v>Valide</v>
      </c>
      <c r="AH1029" s="15" t="str">
        <f t="shared" si="16"/>
        <v>En attente</v>
      </c>
    </row>
    <row r="1030" spans="1:34" s="15" customFormat="1" ht="45" hidden="1" customHeight="1" x14ac:dyDescent="0.3">
      <c r="A1030" s="42">
        <v>1031</v>
      </c>
      <c r="B1030" s="19" t="s">
        <v>20</v>
      </c>
      <c r="C1030" s="19" t="s">
        <v>35</v>
      </c>
      <c r="D1030" s="15">
        <v>8955</v>
      </c>
      <c r="E1030" s="20" t="s">
        <v>79</v>
      </c>
      <c r="F1030" s="21" t="s">
        <v>80</v>
      </c>
      <c r="G1030" s="38"/>
      <c r="H1030" s="39"/>
      <c r="I1030" s="39"/>
      <c r="J1030" s="21" t="s">
        <v>244</v>
      </c>
      <c r="K1030" s="21" t="s">
        <v>827</v>
      </c>
      <c r="L1030" s="21" t="s">
        <v>629</v>
      </c>
      <c r="M1030" s="21" t="s">
        <v>828</v>
      </c>
      <c r="N1030" s="21" t="s">
        <v>3509</v>
      </c>
      <c r="O1030" s="20" t="s">
        <v>3510</v>
      </c>
      <c r="P1030" s="45">
        <v>45964</v>
      </c>
      <c r="Q1030" s="39" t="s">
        <v>3511</v>
      </c>
      <c r="R1030" s="19">
        <v>2157</v>
      </c>
      <c r="S1030" s="21">
        <v>0.2</v>
      </c>
      <c r="T1030" s="21">
        <v>2588.4</v>
      </c>
      <c r="U1030" s="60" t="s">
        <v>2433</v>
      </c>
      <c r="V1030" s="22">
        <v>45986</v>
      </c>
      <c r="W1030" s="54" t="s">
        <v>91</v>
      </c>
      <c r="X1030" s="23"/>
      <c r="Y1030" s="23" t="s">
        <v>347</v>
      </c>
      <c r="Z1030" s="56" t="s">
        <v>3512</v>
      </c>
      <c r="AA1030" s="24"/>
      <c r="AB1030" s="19"/>
      <c r="AC1030" s="49" t="s">
        <v>161</v>
      </c>
      <c r="AD1030" s="15" t="e">
        <f ca="1">IF(AND($E1030&lt;&gt;"",COUNTIF(OFFSET(UFS!$E$2,MATCH($E1030&amp;"",UFS!$A$2:$A$175,0)-1,0,COUNTIF(UFS!$A$2:$A$175,$E1030&amp;""),1),M1030)&gt;0),"Valide","Invalide")</f>
        <v>#N/A</v>
      </c>
      <c r="AH1030" s="15" t="str">
        <f t="shared" si="16"/>
        <v>En attente</v>
      </c>
    </row>
    <row r="1031" spans="1:34" s="15" customFormat="1" ht="45" hidden="1" customHeight="1" x14ac:dyDescent="0.3">
      <c r="A1031" s="42">
        <v>1032</v>
      </c>
      <c r="B1031" s="19" t="s">
        <v>20</v>
      </c>
      <c r="C1031" s="19" t="s">
        <v>35</v>
      </c>
      <c r="D1031" s="20" t="s">
        <v>276</v>
      </c>
      <c r="E1031" s="20" t="s">
        <v>79</v>
      </c>
      <c r="F1031" s="21" t="s">
        <v>80</v>
      </c>
      <c r="G1031" s="38"/>
      <c r="H1031" s="39"/>
      <c r="I1031" s="39"/>
      <c r="J1031" s="21" t="s">
        <v>144</v>
      </c>
      <c r="K1031" s="21" t="s">
        <v>277</v>
      </c>
      <c r="L1031" s="21" t="s">
        <v>278</v>
      </c>
      <c r="M1031" s="21" t="s">
        <v>279</v>
      </c>
      <c r="N1031" s="21" t="s">
        <v>151</v>
      </c>
      <c r="O1031" s="20" t="s">
        <v>3513</v>
      </c>
      <c r="P1031" s="45">
        <v>45966</v>
      </c>
      <c r="Q1031" s="39" t="s">
        <v>3514</v>
      </c>
      <c r="R1031" s="19">
        <v>3932.56</v>
      </c>
      <c r="S1031" s="21">
        <v>0.2</v>
      </c>
      <c r="T1031" s="21">
        <v>4719.0720000000001</v>
      </c>
      <c r="U1031" s="60" t="s">
        <v>2433</v>
      </c>
      <c r="V1031" s="22">
        <v>45986</v>
      </c>
      <c r="W1031" s="54" t="s">
        <v>91</v>
      </c>
      <c r="X1031" s="23"/>
      <c r="Y1031" s="23" t="s">
        <v>347</v>
      </c>
      <c r="Z1031" s="79" t="s">
        <v>3515</v>
      </c>
      <c r="AA1031" s="24"/>
      <c r="AB1031" s="19"/>
      <c r="AC1031" s="49" t="s">
        <v>161</v>
      </c>
      <c r="AD1031" s="15" t="str">
        <f ca="1">IF(AND($D1031&lt;&gt;"",COUNTIF(OFFSET(UFS!$E$2,MATCH($D1031&amp;"",UFS!$A$2:$A$175,0)-1,0,COUNTIF(UFS!$A$2:$A$175,$D1031&amp;""),1),M1031)&gt;0),"Valide","Invalide")</f>
        <v>Valide</v>
      </c>
      <c r="AH1031" s="15" t="str">
        <f t="shared" si="16"/>
        <v>En attente</v>
      </c>
    </row>
    <row r="1032" spans="1:34" s="15" customFormat="1" ht="45" hidden="1" customHeight="1" x14ac:dyDescent="0.3">
      <c r="A1032" s="42">
        <v>1033</v>
      </c>
      <c r="B1032" s="19" t="s">
        <v>20</v>
      </c>
      <c r="C1032" s="19" t="s">
        <v>35</v>
      </c>
      <c r="D1032" s="20" t="s">
        <v>413</v>
      </c>
      <c r="E1032" s="20" t="s">
        <v>79</v>
      </c>
      <c r="F1032" s="21" t="s">
        <v>80</v>
      </c>
      <c r="G1032" s="38" t="s">
        <v>81</v>
      </c>
      <c r="H1032" s="39"/>
      <c r="I1032" s="39" t="s">
        <v>83</v>
      </c>
      <c r="J1032" s="21" t="s">
        <v>183</v>
      </c>
      <c r="K1032" s="21" t="s">
        <v>184</v>
      </c>
      <c r="L1032" s="21" t="s">
        <v>185</v>
      </c>
      <c r="M1032" s="21" t="s">
        <v>109</v>
      </c>
      <c r="N1032" s="21" t="s">
        <v>109</v>
      </c>
      <c r="O1032" s="20" t="s">
        <v>3516</v>
      </c>
      <c r="P1032" s="45">
        <v>45980</v>
      </c>
      <c r="Q1032" s="39" t="s">
        <v>3517</v>
      </c>
      <c r="R1032" s="19">
        <v>3225.31</v>
      </c>
      <c r="S1032" s="21">
        <v>0.1</v>
      </c>
      <c r="T1032" s="21">
        <v>3547.8409999999999</v>
      </c>
      <c r="U1032" s="60" t="s">
        <v>2433</v>
      </c>
      <c r="V1032" s="22">
        <v>45986</v>
      </c>
      <c r="W1032" s="54" t="s">
        <v>91</v>
      </c>
      <c r="X1032" s="23"/>
      <c r="Y1032" s="23" t="s">
        <v>92</v>
      </c>
      <c r="Z1032" s="56" t="s">
        <v>1338</v>
      </c>
      <c r="AA1032" s="24">
        <v>864414</v>
      </c>
      <c r="AB1032" s="19"/>
      <c r="AC1032" s="49" t="s">
        <v>161</v>
      </c>
      <c r="AD1032" s="15" t="str">
        <f ca="1">IF(AND($D1032&lt;&gt;"",COUNTIF(OFFSET(UFS!$E$2,MATCH($D1032&amp;"",UFS!$A$2:$A$175,0)-1,0,COUNTIF(UFS!$A$2:$A$175,$D1032&amp;""),1),M1032)&gt;0),"Valide","Invalide")</f>
        <v>Valide</v>
      </c>
      <c r="AH1032" s="15" t="str">
        <f t="shared" si="16"/>
        <v>En attente</v>
      </c>
    </row>
    <row r="1033" spans="1:34" s="15" customFormat="1" ht="45" hidden="1" customHeight="1" x14ac:dyDescent="0.3">
      <c r="A1033" s="42">
        <v>1034</v>
      </c>
      <c r="B1033" s="19" t="s">
        <v>24</v>
      </c>
      <c r="C1033" s="19" t="s">
        <v>30</v>
      </c>
      <c r="D1033" s="20" t="s">
        <v>2924</v>
      </c>
      <c r="E1033" s="20" t="s">
        <v>79</v>
      </c>
      <c r="F1033" s="21" t="s">
        <v>80</v>
      </c>
      <c r="G1033" s="38" t="s">
        <v>81</v>
      </c>
      <c r="H1033" s="39" t="s">
        <v>82</v>
      </c>
      <c r="I1033" s="39"/>
      <c r="J1033" s="21" t="s">
        <v>124</v>
      </c>
      <c r="K1033" s="21" t="s">
        <v>2925</v>
      </c>
      <c r="L1033" s="21" t="s">
        <v>1660</v>
      </c>
      <c r="M1033" s="21" t="s">
        <v>2926</v>
      </c>
      <c r="N1033" s="21" t="s">
        <v>2926</v>
      </c>
      <c r="O1033" s="20" t="s">
        <v>3518</v>
      </c>
      <c r="P1033" s="45">
        <v>45986</v>
      </c>
      <c r="Q1033" s="39" t="s">
        <v>3519</v>
      </c>
      <c r="R1033" s="19">
        <v>614.78</v>
      </c>
      <c r="S1033" s="21">
        <v>0.2</v>
      </c>
      <c r="T1033" s="21">
        <v>737.73599999999999</v>
      </c>
      <c r="U1033" s="60" t="s">
        <v>3520</v>
      </c>
      <c r="V1033" s="22">
        <v>45986</v>
      </c>
      <c r="W1033" s="54" t="s">
        <v>91</v>
      </c>
      <c r="X1033" s="23"/>
      <c r="Y1033" s="23" t="s">
        <v>92</v>
      </c>
      <c r="Z1033" s="56" t="s">
        <v>928</v>
      </c>
      <c r="AA1033" s="24">
        <v>864407</v>
      </c>
      <c r="AB1033" s="45">
        <v>45940</v>
      </c>
      <c r="AC1033" s="46" t="s">
        <v>94</v>
      </c>
      <c r="AD1033" s="15" t="str">
        <f ca="1">IF(AND($D1033&lt;&gt;"",COUNTIF(OFFSET(UFS!$E$2,MATCH($D1033&amp;"",UFS!$A$2:$A$175,0)-1,0,COUNTIF(UFS!$A$2:$A$175,$D1033&amp;""),1),M1033)&gt;0),"Valide","Invalide")</f>
        <v>Valide</v>
      </c>
      <c r="AH1033" s="15" t="str">
        <f t="shared" si="16"/>
        <v>En attente</v>
      </c>
    </row>
    <row r="1034" spans="1:34" s="15" customFormat="1" ht="45" hidden="1" customHeight="1" x14ac:dyDescent="0.3">
      <c r="A1034" s="42">
        <v>1035</v>
      </c>
      <c r="B1034" s="19" t="s">
        <v>24</v>
      </c>
      <c r="C1034" s="19" t="s">
        <v>30</v>
      </c>
      <c r="D1034" s="20" t="s">
        <v>260</v>
      </c>
      <c r="E1034" s="20" t="s">
        <v>79</v>
      </c>
      <c r="F1034" s="21" t="s">
        <v>80</v>
      </c>
      <c r="G1034" s="38" t="s">
        <v>81</v>
      </c>
      <c r="H1034" s="39" t="s">
        <v>82</v>
      </c>
      <c r="I1034" s="39"/>
      <c r="J1034" s="21" t="s">
        <v>84</v>
      </c>
      <c r="K1034" s="21" t="s">
        <v>113</v>
      </c>
      <c r="L1034" s="21" t="s">
        <v>86</v>
      </c>
      <c r="M1034" s="21" t="s">
        <v>109</v>
      </c>
      <c r="N1034" s="21" t="s">
        <v>109</v>
      </c>
      <c r="O1034" s="20" t="s">
        <v>3521</v>
      </c>
      <c r="P1034" s="45">
        <v>45986</v>
      </c>
      <c r="Q1034" s="39" t="s">
        <v>3522</v>
      </c>
      <c r="R1034" s="19">
        <v>1203.82</v>
      </c>
      <c r="S1034" s="21">
        <v>0.1</v>
      </c>
      <c r="T1034" s="21">
        <v>1324.202</v>
      </c>
      <c r="U1034" s="60" t="s">
        <v>3523</v>
      </c>
      <c r="V1034" s="22">
        <v>45986</v>
      </c>
      <c r="W1034" s="54" t="s">
        <v>91</v>
      </c>
      <c r="X1034" s="23"/>
      <c r="Y1034" s="23" t="s">
        <v>92</v>
      </c>
      <c r="Z1034" s="56" t="s">
        <v>928</v>
      </c>
      <c r="AA1034" s="24">
        <v>864404</v>
      </c>
      <c r="AB1034" s="45">
        <v>45999</v>
      </c>
      <c r="AC1034" s="46" t="s">
        <v>94</v>
      </c>
      <c r="AD1034" s="15" t="str">
        <f ca="1">IF(AND($D1034&lt;&gt;"",COUNTIF(OFFSET(UFS!$E$2,MATCH($D1034&amp;"",UFS!$A$2:$A$175,0)-1,0,COUNTIF(UFS!$A$2:$A$175,$D1034&amp;""),1),M1034)&gt;0),"Valide","Invalide")</f>
        <v>Valide</v>
      </c>
      <c r="AH1034" s="15" t="str">
        <f t="shared" si="16"/>
        <v>En attente</v>
      </c>
    </row>
    <row r="1035" spans="1:34" s="15" customFormat="1" ht="45" hidden="1" customHeight="1" x14ac:dyDescent="0.3">
      <c r="A1035" s="42">
        <v>1036</v>
      </c>
      <c r="B1035" s="19" t="s">
        <v>709</v>
      </c>
      <c r="C1035" s="19" t="s">
        <v>23</v>
      </c>
      <c r="D1035" s="20" t="s">
        <v>152</v>
      </c>
      <c r="E1035" s="20" t="s">
        <v>79</v>
      </c>
      <c r="F1035" s="21" t="s">
        <v>80</v>
      </c>
      <c r="G1035" s="38" t="s">
        <v>241</v>
      </c>
      <c r="H1035" s="39" t="s">
        <v>643</v>
      </c>
      <c r="I1035" s="39" t="s">
        <v>644</v>
      </c>
      <c r="J1035" s="21" t="s">
        <v>84</v>
      </c>
      <c r="K1035" s="21" t="s">
        <v>113</v>
      </c>
      <c r="L1035" s="21" t="s">
        <v>711</v>
      </c>
      <c r="M1035" s="21" t="s">
        <v>115</v>
      </c>
      <c r="N1035" s="21" t="s">
        <v>109</v>
      </c>
      <c r="O1035" s="20" t="s">
        <v>3524</v>
      </c>
      <c r="P1035" s="45">
        <v>45986</v>
      </c>
      <c r="Q1035" s="39" t="s">
        <v>3525</v>
      </c>
      <c r="R1035" s="19">
        <v>2688.98</v>
      </c>
      <c r="S1035" s="21">
        <v>0.1</v>
      </c>
      <c r="T1035" s="21">
        <v>2957.88</v>
      </c>
      <c r="U1035" s="60" t="s">
        <v>3526</v>
      </c>
      <c r="V1035" s="22">
        <v>45986</v>
      </c>
      <c r="W1035" s="54" t="s">
        <v>91</v>
      </c>
      <c r="X1035" s="23"/>
      <c r="Y1035" s="23" t="s">
        <v>92</v>
      </c>
      <c r="Z1035" s="56" t="s">
        <v>3527</v>
      </c>
      <c r="AA1035" s="24">
        <v>864400</v>
      </c>
      <c r="AB1035" s="19"/>
      <c r="AC1035" s="19"/>
      <c r="AD1035" s="15" t="str">
        <f ca="1">IF(AND($D1035&lt;&gt;"",COUNTIF(OFFSET(UFS!$E$2,MATCH($D1035&amp;"",UFS!$A$2:$A$175,0)-1,0,COUNTIF(UFS!$A$2:$A$175,$D1035&amp;""),1),M1035)&gt;0),"Valide","Invalide")</f>
        <v>Valide</v>
      </c>
      <c r="AH1035" s="15" t="str">
        <f t="shared" si="16"/>
        <v>En attente</v>
      </c>
    </row>
    <row r="1036" spans="1:34" s="15" customFormat="1" ht="45" hidden="1" customHeight="1" x14ac:dyDescent="0.3">
      <c r="A1036" s="42">
        <v>1037</v>
      </c>
      <c r="B1036" s="19" t="s">
        <v>24</v>
      </c>
      <c r="C1036" s="19" t="s">
        <v>11</v>
      </c>
      <c r="D1036" s="20" t="s">
        <v>112</v>
      </c>
      <c r="E1036" s="20" t="s">
        <v>96</v>
      </c>
      <c r="F1036" s="21" t="s">
        <v>80</v>
      </c>
      <c r="G1036" s="38" t="s">
        <v>169</v>
      </c>
      <c r="H1036" s="39"/>
      <c r="I1036" s="39" t="s">
        <v>170</v>
      </c>
      <c r="J1036" s="21" t="s">
        <v>84</v>
      </c>
      <c r="K1036" s="21" t="s">
        <v>113</v>
      </c>
      <c r="L1036" s="21" t="s">
        <v>114</v>
      </c>
      <c r="M1036" s="21" t="s">
        <v>115</v>
      </c>
      <c r="N1036" s="21" t="s">
        <v>102</v>
      </c>
      <c r="O1036" s="20" t="s">
        <v>3528</v>
      </c>
      <c r="P1036" s="45">
        <v>45581</v>
      </c>
      <c r="Q1036" s="39" t="s">
        <v>3529</v>
      </c>
      <c r="R1036" s="19">
        <v>1893.02</v>
      </c>
      <c r="S1036" s="21">
        <v>0.1</v>
      </c>
      <c r="T1036" s="21">
        <v>2082.3220000000001</v>
      </c>
      <c r="U1036" s="60" t="s">
        <v>3530</v>
      </c>
      <c r="V1036" s="22">
        <v>45987</v>
      </c>
      <c r="W1036" s="54" t="s">
        <v>91</v>
      </c>
      <c r="X1036" s="23"/>
      <c r="Y1036" s="23" t="s">
        <v>92</v>
      </c>
      <c r="Z1036" s="56" t="s">
        <v>928</v>
      </c>
      <c r="AA1036" s="24">
        <v>864624</v>
      </c>
      <c r="AB1036" s="19"/>
      <c r="AC1036" s="46" t="s">
        <v>94</v>
      </c>
      <c r="AD1036" s="15" t="str">
        <f ca="1">IF(AND($D1036&lt;&gt;"",COUNTIF(OFFSET(UFS!$E$2,MATCH($D1036&amp;"",UFS!$A$2:$A$175,0)-1,0,COUNTIF(UFS!$A$2:$A$175,$D1036&amp;""),1),M1036)&gt;0),"Valide","Invalide")</f>
        <v>Valide</v>
      </c>
      <c r="AH1036" s="15" t="str">
        <f t="shared" si="16"/>
        <v>En attente</v>
      </c>
    </row>
    <row r="1037" spans="1:34" s="15" customFormat="1" ht="45" hidden="1" customHeight="1" x14ac:dyDescent="0.3">
      <c r="A1037" s="42">
        <v>1038</v>
      </c>
      <c r="B1037" s="19" t="s">
        <v>709</v>
      </c>
      <c r="C1037" s="19" t="s">
        <v>23</v>
      </c>
      <c r="D1037" s="20" t="s">
        <v>1726</v>
      </c>
      <c r="E1037" s="20" t="s">
        <v>79</v>
      </c>
      <c r="F1037" s="21" t="s">
        <v>80</v>
      </c>
      <c r="G1037" s="38" t="s">
        <v>241</v>
      </c>
      <c r="H1037" s="39" t="s">
        <v>643</v>
      </c>
      <c r="I1037" s="39" t="s">
        <v>644</v>
      </c>
      <c r="J1037" s="21" t="s">
        <v>124</v>
      </c>
      <c r="K1037" s="21" t="s">
        <v>235</v>
      </c>
      <c r="L1037" s="21" t="s">
        <v>711</v>
      </c>
      <c r="M1037" s="21" t="s">
        <v>2566</v>
      </c>
      <c r="N1037" s="21" t="s">
        <v>711</v>
      </c>
      <c r="O1037" s="20" t="s">
        <v>3531</v>
      </c>
      <c r="P1037" s="45">
        <v>45983</v>
      </c>
      <c r="Q1037" s="39" t="s">
        <v>3532</v>
      </c>
      <c r="R1037" s="19">
        <v>1678.8</v>
      </c>
      <c r="S1037" s="21">
        <v>0.1</v>
      </c>
      <c r="T1037" s="21">
        <v>1846.68</v>
      </c>
      <c r="U1037" s="60" t="s">
        <v>3533</v>
      </c>
      <c r="V1037" s="22">
        <v>45987</v>
      </c>
      <c r="W1037" s="54" t="s">
        <v>91</v>
      </c>
      <c r="X1037" s="23"/>
      <c r="Y1037" s="23" t="s">
        <v>92</v>
      </c>
      <c r="Z1037" s="56" t="s">
        <v>928</v>
      </c>
      <c r="AA1037" s="24">
        <v>864594</v>
      </c>
      <c r="AB1037" s="19"/>
      <c r="AC1037" s="19"/>
      <c r="AD1037" s="15" t="str">
        <f ca="1">IF(AND($D1037&lt;&gt;"",COUNTIF(OFFSET(UFS!$E$2,MATCH($D1037&amp;"",UFS!$A$2:$A$175,0)-1,0,COUNTIF(UFS!$A$2:$A$175,$D1037&amp;""),1),M1037)&gt;0),"Valide","Invalide")</f>
        <v>Invalide</v>
      </c>
      <c r="AH1037" s="15" t="str">
        <f t="shared" si="16"/>
        <v>En attente</v>
      </c>
    </row>
    <row r="1038" spans="1:34" s="15" customFormat="1" ht="45" hidden="1" customHeight="1" x14ac:dyDescent="0.3">
      <c r="A1038" s="42">
        <v>1039</v>
      </c>
      <c r="B1038" s="19" t="s">
        <v>2</v>
      </c>
      <c r="C1038" s="19" t="s">
        <v>3291</v>
      </c>
      <c r="D1038" s="20" t="s">
        <v>200</v>
      </c>
      <c r="E1038" s="20" t="s">
        <v>79</v>
      </c>
      <c r="F1038" s="21" t="s">
        <v>80</v>
      </c>
      <c r="G1038" s="38" t="s">
        <v>1169</v>
      </c>
      <c r="H1038" s="39" t="s">
        <v>1085</v>
      </c>
      <c r="I1038" s="39"/>
      <c r="J1038" s="21" t="s">
        <v>144</v>
      </c>
      <c r="K1038" s="21" t="s">
        <v>145</v>
      </c>
      <c r="L1038" s="21" t="s">
        <v>203</v>
      </c>
      <c r="M1038" s="21" t="s">
        <v>109</v>
      </c>
      <c r="N1038" s="21" t="s">
        <v>109</v>
      </c>
      <c r="O1038" s="20" t="s">
        <v>3534</v>
      </c>
      <c r="P1038" s="45">
        <v>45982</v>
      </c>
      <c r="Q1038" s="39" t="s">
        <v>3535</v>
      </c>
      <c r="R1038" s="19">
        <v>1000</v>
      </c>
      <c r="S1038" s="21">
        <v>0.2</v>
      </c>
      <c r="T1038" s="21">
        <v>1200</v>
      </c>
      <c r="U1038" s="60" t="s">
        <v>3294</v>
      </c>
      <c r="V1038" s="22">
        <v>45987</v>
      </c>
      <c r="W1038" s="54" t="s">
        <v>91</v>
      </c>
      <c r="X1038" s="23"/>
      <c r="Y1038" s="23" t="s">
        <v>92</v>
      </c>
      <c r="Z1038" s="56" t="s">
        <v>928</v>
      </c>
      <c r="AA1038" s="24">
        <v>864597</v>
      </c>
      <c r="AB1038" s="19"/>
      <c r="AC1038" s="19"/>
      <c r="AD1038" s="15" t="e">
        <f ca="1">IF(AND($D1038&lt;&gt;"",COUNTIF(OFFSET(UFS!$E$2,MATCH($D1038&amp;"",UFS!$A$2:$A$175,0)-1,0,COUNTIF(UFS!$A$2:$A$175,$D1038&amp;""),1),M1038)&gt;0),"Valide","Invalide")</f>
        <v>#N/A</v>
      </c>
      <c r="AH1038" s="15" t="str">
        <f t="shared" si="16"/>
        <v>En attente</v>
      </c>
    </row>
    <row r="1039" spans="1:34" s="15" customFormat="1" ht="45" hidden="1" customHeight="1" x14ac:dyDescent="0.3">
      <c r="A1039" s="42">
        <v>1040</v>
      </c>
      <c r="B1039" s="19" t="s">
        <v>10</v>
      </c>
      <c r="C1039" s="19" t="s">
        <v>3536</v>
      </c>
      <c r="D1039" s="20" t="s">
        <v>200</v>
      </c>
      <c r="E1039" s="20" t="s">
        <v>96</v>
      </c>
      <c r="F1039" s="21" t="s">
        <v>80</v>
      </c>
      <c r="G1039" s="38"/>
      <c r="H1039" s="39"/>
      <c r="I1039" s="39"/>
      <c r="J1039" s="21" t="s">
        <v>144</v>
      </c>
      <c r="K1039" s="21" t="s">
        <v>145</v>
      </c>
      <c r="L1039" s="21" t="s">
        <v>203</v>
      </c>
      <c r="M1039" s="21" t="s">
        <v>109</v>
      </c>
      <c r="N1039" s="21" t="s">
        <v>109</v>
      </c>
      <c r="O1039" s="20" t="s">
        <v>3537</v>
      </c>
      <c r="P1039" s="45">
        <v>45987</v>
      </c>
      <c r="Q1039" s="39" t="s">
        <v>3538</v>
      </c>
      <c r="R1039" s="19">
        <v>6000</v>
      </c>
      <c r="S1039" s="21">
        <v>0.2</v>
      </c>
      <c r="T1039" s="21">
        <v>7200</v>
      </c>
      <c r="U1039" s="39"/>
      <c r="V1039" s="22">
        <v>45987</v>
      </c>
      <c r="W1039" s="54" t="s">
        <v>91</v>
      </c>
      <c r="X1039" s="23"/>
      <c r="Y1039" s="23" t="s">
        <v>92</v>
      </c>
      <c r="Z1039" s="56" t="s">
        <v>3539</v>
      </c>
      <c r="AA1039" s="24">
        <v>864949</v>
      </c>
      <c r="AB1039" s="19"/>
      <c r="AC1039" s="19"/>
      <c r="AD1039" s="15" t="e">
        <f ca="1">IF(AND($D1039&lt;&gt;"",COUNTIF(OFFSET(UFS!$E$2,MATCH($D1039&amp;"",UFS!$A$2:$A$175,0)-1,0,COUNTIF(UFS!$A$2:$A$175,$D1039&amp;""),1),M1039)&gt;0),"Valide","Invalide")</f>
        <v>#N/A</v>
      </c>
      <c r="AH1039" s="15" t="str">
        <f t="shared" si="16"/>
        <v>En attente</v>
      </c>
    </row>
    <row r="1040" spans="1:34" s="15" customFormat="1" ht="45" hidden="1" customHeight="1" x14ac:dyDescent="0.3">
      <c r="A1040" s="42">
        <v>1041</v>
      </c>
      <c r="B1040" s="19" t="s">
        <v>26</v>
      </c>
      <c r="C1040" s="19" t="s">
        <v>35</v>
      </c>
      <c r="D1040" s="20" t="s">
        <v>2398</v>
      </c>
      <c r="E1040" s="20" t="s">
        <v>96</v>
      </c>
      <c r="F1040" s="21" t="s">
        <v>80</v>
      </c>
      <c r="G1040" s="38" t="s">
        <v>169</v>
      </c>
      <c r="H1040" s="39"/>
      <c r="I1040" s="39"/>
      <c r="J1040" s="21" t="s">
        <v>144</v>
      </c>
      <c r="K1040" s="21" t="s">
        <v>145</v>
      </c>
      <c r="L1040" s="21" t="s">
        <v>203</v>
      </c>
      <c r="M1040" s="21" t="s">
        <v>2399</v>
      </c>
      <c r="N1040" s="21" t="s">
        <v>2399</v>
      </c>
      <c r="O1040" s="20" t="s">
        <v>3540</v>
      </c>
      <c r="P1040" s="45">
        <v>45915</v>
      </c>
      <c r="Q1040" s="39" t="s">
        <v>3541</v>
      </c>
      <c r="R1040" s="19">
        <v>7391.88</v>
      </c>
      <c r="S1040" s="21">
        <v>0.2</v>
      </c>
      <c r="T1040" s="21">
        <v>8870.2559999999994</v>
      </c>
      <c r="U1040" s="60" t="s">
        <v>3542</v>
      </c>
      <c r="V1040" s="22">
        <v>45987</v>
      </c>
      <c r="W1040" s="54" t="s">
        <v>91</v>
      </c>
      <c r="X1040" s="23"/>
      <c r="Y1040" s="23" t="s">
        <v>92</v>
      </c>
      <c r="Z1040" s="56" t="s">
        <v>1338</v>
      </c>
      <c r="AA1040" s="24">
        <v>864629</v>
      </c>
      <c r="AB1040" s="47">
        <v>45999</v>
      </c>
      <c r="AC1040" s="46" t="s">
        <v>94</v>
      </c>
      <c r="AD1040" s="15" t="str">
        <f ca="1">IF(AND($D1040&lt;&gt;"",COUNTIF(OFFSET(UFS!$E$2,MATCH($D1040&amp;"",UFS!$A$2:$A$175,0)-1,0,COUNTIF(UFS!$A$2:$A$175,$D1040&amp;""),1),M1040)&gt;0),"Valide","Invalide")</f>
        <v>Valide</v>
      </c>
      <c r="AH1040" s="15" t="str">
        <f t="shared" si="16"/>
        <v>En attente</v>
      </c>
    </row>
    <row r="1041" spans="1:34" s="15" customFormat="1" ht="45" hidden="1" customHeight="1" x14ac:dyDescent="0.3">
      <c r="A1041" s="42">
        <v>1042</v>
      </c>
      <c r="B1041" s="19" t="s">
        <v>26</v>
      </c>
      <c r="C1041" s="19" t="s">
        <v>15</v>
      </c>
      <c r="D1041" s="20" t="s">
        <v>2398</v>
      </c>
      <c r="E1041" s="20" t="s">
        <v>96</v>
      </c>
      <c r="F1041" s="21" t="s">
        <v>80</v>
      </c>
      <c r="G1041" s="38" t="s">
        <v>169</v>
      </c>
      <c r="H1041" s="39"/>
      <c r="I1041" s="39"/>
      <c r="J1041" s="21" t="s">
        <v>144</v>
      </c>
      <c r="K1041" s="21" t="s">
        <v>145</v>
      </c>
      <c r="L1041" s="21" t="s">
        <v>203</v>
      </c>
      <c r="M1041" s="21" t="s">
        <v>2399</v>
      </c>
      <c r="N1041" s="21" t="s">
        <v>2399</v>
      </c>
      <c r="O1041" s="20" t="s">
        <v>3543</v>
      </c>
      <c r="P1041" s="45">
        <v>45912</v>
      </c>
      <c r="Q1041" s="39" t="s">
        <v>3541</v>
      </c>
      <c r="R1041" s="19">
        <v>2840.75</v>
      </c>
      <c r="S1041" s="21">
        <v>0.2</v>
      </c>
      <c r="T1041" s="21">
        <v>3408.9</v>
      </c>
      <c r="U1041" s="60" t="s">
        <v>3544</v>
      </c>
      <c r="V1041" s="22">
        <v>45987</v>
      </c>
      <c r="W1041" s="54" t="s">
        <v>91</v>
      </c>
      <c r="X1041" s="23"/>
      <c r="Y1041" s="23" t="s">
        <v>92</v>
      </c>
      <c r="Z1041" s="78" t="s">
        <v>1338</v>
      </c>
      <c r="AA1041" s="24">
        <v>864630</v>
      </c>
      <c r="AB1041" s="47">
        <v>46000</v>
      </c>
      <c r="AC1041" s="49" t="s">
        <v>161</v>
      </c>
      <c r="AD1041" s="15" t="str">
        <f ca="1">IF(AND($D1041&lt;&gt;"",COUNTIF(OFFSET(UFS!$E$2,MATCH($D1041&amp;"",UFS!$A$2:$A$175,0)-1,0,COUNTIF(UFS!$A$2:$A$175,$D1041&amp;""),1),M1041)&gt;0),"Valide","Invalide")</f>
        <v>Valide</v>
      </c>
      <c r="AH1041" s="15" t="str">
        <f t="shared" si="16"/>
        <v>En attente</v>
      </c>
    </row>
    <row r="1042" spans="1:34" s="15" customFormat="1" ht="45" hidden="1" customHeight="1" x14ac:dyDescent="0.3">
      <c r="A1042" s="42">
        <v>1043</v>
      </c>
      <c r="B1042" s="19" t="s">
        <v>26</v>
      </c>
      <c r="C1042" s="19" t="s">
        <v>11</v>
      </c>
      <c r="D1042" s="20" t="s">
        <v>2398</v>
      </c>
      <c r="E1042" s="20" t="s">
        <v>96</v>
      </c>
      <c r="F1042" s="21" t="s">
        <v>80</v>
      </c>
      <c r="G1042" s="38" t="s">
        <v>169</v>
      </c>
      <c r="H1042" s="39"/>
      <c r="I1042" s="39"/>
      <c r="J1042" s="21" t="s">
        <v>144</v>
      </c>
      <c r="K1042" s="21" t="s">
        <v>145</v>
      </c>
      <c r="L1042" s="21" t="s">
        <v>203</v>
      </c>
      <c r="M1042" s="21" t="s">
        <v>2399</v>
      </c>
      <c r="N1042" s="21" t="s">
        <v>2399</v>
      </c>
      <c r="O1042" s="20" t="s">
        <v>3545</v>
      </c>
      <c r="P1042" s="45">
        <v>45915</v>
      </c>
      <c r="Q1042" s="39" t="s">
        <v>3541</v>
      </c>
      <c r="R1042" s="19">
        <v>2202.5100000000002</v>
      </c>
      <c r="S1042" s="21">
        <v>0.2</v>
      </c>
      <c r="T1042" s="21">
        <v>2643.0120000000002</v>
      </c>
      <c r="U1042" s="60" t="s">
        <v>3546</v>
      </c>
      <c r="V1042" s="22">
        <v>45987</v>
      </c>
      <c r="W1042" s="54" t="s">
        <v>91</v>
      </c>
      <c r="X1042" s="23"/>
      <c r="Y1042" s="23" t="s">
        <v>92</v>
      </c>
      <c r="Z1042" s="56" t="s">
        <v>1338</v>
      </c>
      <c r="AA1042" s="24">
        <v>864631</v>
      </c>
      <c r="AB1042" s="47">
        <v>46001</v>
      </c>
      <c r="AC1042" s="46" t="s">
        <v>94</v>
      </c>
      <c r="AD1042" s="15" t="str">
        <f ca="1">IF(AND($D1042&lt;&gt;"",COUNTIF(OFFSET(UFS!$E$2,MATCH($D1042&amp;"",UFS!$A$2:$A$175,0)-1,0,COUNTIF(UFS!$A$2:$A$175,$D1042&amp;""),1),M1042)&gt;0),"Valide","Invalide")</f>
        <v>Valide</v>
      </c>
      <c r="AH1042" s="15" t="str">
        <f t="shared" si="16"/>
        <v>En attente</v>
      </c>
    </row>
    <row r="1043" spans="1:34" s="15" customFormat="1" ht="45" hidden="1" customHeight="1" x14ac:dyDescent="0.3">
      <c r="A1043" s="42">
        <v>1044</v>
      </c>
      <c r="B1043" s="19" t="s">
        <v>16</v>
      </c>
      <c r="C1043" s="19" t="s">
        <v>11</v>
      </c>
      <c r="D1043" s="20" t="s">
        <v>810</v>
      </c>
      <c r="E1043" s="20" t="s">
        <v>96</v>
      </c>
      <c r="F1043" s="21" t="s">
        <v>80</v>
      </c>
      <c r="G1043" s="38" t="s">
        <v>169</v>
      </c>
      <c r="H1043" s="39"/>
      <c r="I1043" s="39" t="s">
        <v>3310</v>
      </c>
      <c r="J1043" s="21" t="s">
        <v>144</v>
      </c>
      <c r="K1043" s="21" t="s">
        <v>145</v>
      </c>
      <c r="L1043" s="21" t="s">
        <v>146</v>
      </c>
      <c r="M1043" s="21" t="s">
        <v>812</v>
      </c>
      <c r="N1043" s="21" t="s">
        <v>813</v>
      </c>
      <c r="O1043" s="20" t="s">
        <v>3547</v>
      </c>
      <c r="P1043" s="45">
        <v>45987</v>
      </c>
      <c r="Q1043" s="39" t="s">
        <v>3548</v>
      </c>
      <c r="R1043" s="15">
        <v>594.02</v>
      </c>
      <c r="S1043" s="21">
        <v>0.1</v>
      </c>
      <c r="T1043" s="21">
        <v>653.42200000000003</v>
      </c>
      <c r="U1043" s="44" t="s">
        <v>2321</v>
      </c>
      <c r="V1043" s="22">
        <v>45987</v>
      </c>
      <c r="W1043" s="54" t="s">
        <v>91</v>
      </c>
      <c r="X1043" s="23"/>
      <c r="Y1043" s="23" t="s">
        <v>92</v>
      </c>
      <c r="Z1043" s="56" t="s">
        <v>1338</v>
      </c>
      <c r="AA1043" s="24">
        <v>864843</v>
      </c>
      <c r="AB1043" s="19"/>
      <c r="AC1043" s="46" t="s">
        <v>94</v>
      </c>
      <c r="AD1043" s="15" t="str">
        <f ca="1">IF(AND($D1043&lt;&gt;"",COUNTIF(OFFSET(UFS!$E$2,MATCH($D1043&amp;"",UFS!$A$2:$A$175,0)-1,0,COUNTIF(UFS!$A$2:$A$175,$D1043&amp;""),1),M1043)&gt;0),"Valide","Invalide")</f>
        <v>Valide</v>
      </c>
      <c r="AH1043" s="15" t="str">
        <f t="shared" si="16"/>
        <v>En attente</v>
      </c>
    </row>
    <row r="1044" spans="1:34" s="15" customFormat="1" ht="45" hidden="1" customHeight="1" x14ac:dyDescent="0.3">
      <c r="A1044" s="42">
        <v>1045</v>
      </c>
      <c r="B1044" s="19" t="s">
        <v>20</v>
      </c>
      <c r="C1044" s="19" t="s">
        <v>37</v>
      </c>
      <c r="D1044" s="20" t="s">
        <v>106</v>
      </c>
      <c r="E1044" s="20" t="s">
        <v>79</v>
      </c>
      <c r="F1044" s="21" t="s">
        <v>80</v>
      </c>
      <c r="G1044" s="38" t="s">
        <v>241</v>
      </c>
      <c r="H1044" s="39" t="s">
        <v>367</v>
      </c>
      <c r="I1044" s="39" t="s">
        <v>368</v>
      </c>
      <c r="J1044" s="21" t="s">
        <v>98</v>
      </c>
      <c r="K1044" s="21" t="s">
        <v>108</v>
      </c>
      <c r="L1044" s="21" t="s">
        <v>100</v>
      </c>
      <c r="M1044" s="21" t="s">
        <v>109</v>
      </c>
      <c r="N1044" s="21" t="s">
        <v>109</v>
      </c>
      <c r="O1044" s="20" t="s">
        <v>3549</v>
      </c>
      <c r="P1044" s="45">
        <v>45988</v>
      </c>
      <c r="Q1044" s="39" t="s">
        <v>3550</v>
      </c>
      <c r="R1044" s="19">
        <v>3092.7</v>
      </c>
      <c r="S1044" s="21">
        <v>0.1</v>
      </c>
      <c r="T1044" s="21">
        <v>3401.97</v>
      </c>
      <c r="U1044" s="60" t="s">
        <v>371</v>
      </c>
      <c r="V1044" s="22">
        <v>45988</v>
      </c>
      <c r="W1044" s="54" t="s">
        <v>91</v>
      </c>
      <c r="X1044" s="23"/>
      <c r="Y1044" s="23" t="s">
        <v>92</v>
      </c>
      <c r="Z1044" s="56" t="s">
        <v>1338</v>
      </c>
      <c r="AA1044" s="24">
        <v>864813</v>
      </c>
      <c r="AB1044" s="19"/>
      <c r="AC1044" s="46" t="s">
        <v>94</v>
      </c>
      <c r="AD1044" s="15" t="str">
        <f ca="1">IF(AND($D1044&lt;&gt;"",COUNTIF(OFFSET(UFS!$E$2,MATCH($D1044&amp;"",UFS!$A$2:$A$175,0)-1,0,COUNTIF(UFS!$A$2:$A$175,$D1044&amp;""),1),M1044)&gt;0),"Valide","Invalide")</f>
        <v>Valide</v>
      </c>
      <c r="AH1044" s="15" t="str">
        <f t="shared" si="16"/>
        <v>En attente</v>
      </c>
    </row>
    <row r="1045" spans="1:34" s="15" customFormat="1" ht="45" hidden="1" customHeight="1" x14ac:dyDescent="0.3">
      <c r="A1045" s="42">
        <v>1046</v>
      </c>
      <c r="B1045" s="19" t="s">
        <v>4</v>
      </c>
      <c r="C1045" s="19" t="s">
        <v>36</v>
      </c>
      <c r="D1045" s="20" t="s">
        <v>413</v>
      </c>
      <c r="E1045" s="20" t="s">
        <v>79</v>
      </c>
      <c r="F1045" s="21" t="s">
        <v>80</v>
      </c>
      <c r="G1045" s="38" t="s">
        <v>241</v>
      </c>
      <c r="H1045" s="39" t="s">
        <v>252</v>
      </c>
      <c r="I1045" s="39" t="s">
        <v>253</v>
      </c>
      <c r="J1045" s="21" t="s">
        <v>183</v>
      </c>
      <c r="K1045" s="21" t="s">
        <v>184</v>
      </c>
      <c r="L1045" s="21" t="s">
        <v>185</v>
      </c>
      <c r="M1045" s="21" t="s">
        <v>109</v>
      </c>
      <c r="N1045" s="21" t="s">
        <v>109</v>
      </c>
      <c r="O1045" s="20" t="s">
        <v>3551</v>
      </c>
      <c r="P1045" s="45">
        <v>45989</v>
      </c>
      <c r="Q1045" s="39" t="s">
        <v>3552</v>
      </c>
      <c r="R1045" s="19">
        <v>2576.8000000000002</v>
      </c>
      <c r="S1045" s="21">
        <v>0.1</v>
      </c>
      <c r="T1045" s="21">
        <v>2834.48</v>
      </c>
      <c r="U1045" s="44" t="s">
        <v>399</v>
      </c>
      <c r="V1045" s="22">
        <v>45989</v>
      </c>
      <c r="W1045" s="54" t="s">
        <v>91</v>
      </c>
      <c r="X1045" s="23"/>
      <c r="Y1045" s="23" t="s">
        <v>92</v>
      </c>
      <c r="Z1045" s="67" t="s">
        <v>3553</v>
      </c>
      <c r="AA1045" s="24">
        <v>864844</v>
      </c>
      <c r="AB1045" s="19"/>
      <c r="AC1045" s="19"/>
      <c r="AD1045" s="15" t="str">
        <f ca="1">IF(AND($D1045&lt;&gt;"",COUNTIF(OFFSET(UFS!$E$2,MATCH($D1045&amp;"",UFS!$A$2:$A$175,0)-1,0,COUNTIF(UFS!$A$2:$A$175,$D1045&amp;""),1),M1045)&gt;0),"Valide","Invalide")</f>
        <v>Valide</v>
      </c>
      <c r="AH1045" s="15" t="str">
        <f t="shared" si="16"/>
        <v>En attente</v>
      </c>
    </row>
    <row r="1046" spans="1:34" s="15" customFormat="1" ht="44.25" hidden="1" customHeight="1" x14ac:dyDescent="0.3">
      <c r="A1046" s="42">
        <v>1047</v>
      </c>
      <c r="B1046" s="19" t="s">
        <v>4</v>
      </c>
      <c r="C1046" s="19" t="s">
        <v>36</v>
      </c>
      <c r="D1046" s="20" t="s">
        <v>251</v>
      </c>
      <c r="E1046" s="20" t="s">
        <v>79</v>
      </c>
      <c r="F1046" s="21" t="s">
        <v>80</v>
      </c>
      <c r="G1046" s="38" t="s">
        <v>241</v>
      </c>
      <c r="H1046" s="39" t="s">
        <v>252</v>
      </c>
      <c r="I1046" s="39" t="s">
        <v>253</v>
      </c>
      <c r="J1046" s="21" t="s">
        <v>144</v>
      </c>
      <c r="K1046" s="21" t="s">
        <v>145</v>
      </c>
      <c r="L1046" s="21" t="s">
        <v>254</v>
      </c>
      <c r="M1046" s="21" t="s">
        <v>255</v>
      </c>
      <c r="N1046" s="21" t="s">
        <v>256</v>
      </c>
      <c r="O1046" s="20" t="s">
        <v>3554</v>
      </c>
      <c r="P1046" s="45">
        <v>45986</v>
      </c>
      <c r="Q1046" s="39" t="s">
        <v>3555</v>
      </c>
      <c r="R1046" s="19">
        <v>7969</v>
      </c>
      <c r="S1046" s="21">
        <v>0.2</v>
      </c>
      <c r="T1046" s="21">
        <v>9562.7999999999993</v>
      </c>
      <c r="U1046" s="44" t="s">
        <v>3556</v>
      </c>
      <c r="V1046" s="22">
        <v>45989</v>
      </c>
      <c r="W1046" s="54" t="s">
        <v>91</v>
      </c>
      <c r="X1046" s="23"/>
      <c r="Y1046" s="23" t="s">
        <v>92</v>
      </c>
      <c r="Z1046" s="56" t="s">
        <v>1338</v>
      </c>
      <c r="AA1046" s="24">
        <v>864817</v>
      </c>
      <c r="AB1046" s="19"/>
      <c r="AC1046" s="19"/>
      <c r="AD1046" s="15" t="str">
        <f ca="1">IF(AND($D1046&lt;&gt;"",COUNTIF(OFFSET(UFS!$E$2,MATCH($D1046&amp;"",UFS!$A$2:$A$175,0)-1,0,COUNTIF(UFS!$A$2:$A$175,$D1046&amp;""),1),M1046)&gt;0),"Valide","Invalide")</f>
        <v>Valide</v>
      </c>
      <c r="AH1046" s="15" t="str">
        <f t="shared" si="16"/>
        <v>En attente</v>
      </c>
    </row>
    <row r="1047" spans="1:34" s="15" customFormat="1" ht="45" hidden="1" customHeight="1" x14ac:dyDescent="0.3">
      <c r="A1047" s="42">
        <v>1048</v>
      </c>
      <c r="B1047" s="19" t="s">
        <v>6</v>
      </c>
      <c r="C1047" s="15" t="s">
        <v>1357</v>
      </c>
      <c r="D1047" s="20" t="s">
        <v>858</v>
      </c>
      <c r="E1047" s="20" t="s">
        <v>79</v>
      </c>
      <c r="F1047" s="21" t="s">
        <v>80</v>
      </c>
      <c r="G1047" s="38" t="s">
        <v>241</v>
      </c>
      <c r="H1047" s="39" t="s">
        <v>381</v>
      </c>
      <c r="I1047" s="39" t="s">
        <v>382</v>
      </c>
      <c r="J1047" s="21" t="s">
        <v>98</v>
      </c>
      <c r="K1047" s="21" t="s">
        <v>859</v>
      </c>
      <c r="L1047" s="21" t="s">
        <v>100</v>
      </c>
      <c r="M1047" s="21" t="s">
        <v>860</v>
      </c>
      <c r="N1047" s="21" t="s">
        <v>87</v>
      </c>
      <c r="O1047" s="20" t="s">
        <v>3557</v>
      </c>
      <c r="P1047" s="45">
        <v>45988</v>
      </c>
      <c r="Q1047" s="39" t="s">
        <v>3558</v>
      </c>
      <c r="R1047" s="19">
        <v>300</v>
      </c>
      <c r="S1047" s="21">
        <v>0.2</v>
      </c>
      <c r="T1047" s="21">
        <v>360</v>
      </c>
      <c r="U1047" s="44" t="s">
        <v>3559</v>
      </c>
      <c r="V1047" s="22">
        <v>45989</v>
      </c>
      <c r="W1047" s="54" t="s">
        <v>91</v>
      </c>
      <c r="X1047" s="23"/>
      <c r="Y1047" s="23" t="s">
        <v>92</v>
      </c>
      <c r="Z1047" s="56" t="s">
        <v>1338</v>
      </c>
      <c r="AA1047" s="24">
        <v>864846</v>
      </c>
      <c r="AB1047" s="19"/>
      <c r="AC1047" s="19"/>
      <c r="AD1047" s="15" t="str">
        <f ca="1">IF(AND($D1047&lt;&gt;"",COUNTIF(OFFSET(UFS!$E$2,MATCH($D1047&amp;"",UFS!$A$2:$A$175,0)-1,0,COUNTIF(UFS!$A$2:$A$175,$D1047&amp;""),1),M1047)&gt;0),"Valide","Invalide")</f>
        <v>Valide</v>
      </c>
      <c r="AH1047" s="15" t="str">
        <f t="shared" si="16"/>
        <v>En attente</v>
      </c>
    </row>
    <row r="1048" spans="1:34" s="15" customFormat="1" ht="45" hidden="1" customHeight="1" x14ac:dyDescent="0.3">
      <c r="A1048" s="42">
        <v>1049</v>
      </c>
      <c r="B1048" s="19" t="s">
        <v>6</v>
      </c>
      <c r="C1048" s="19" t="s">
        <v>21</v>
      </c>
      <c r="D1048" s="20" t="s">
        <v>587</v>
      </c>
      <c r="E1048" s="20" t="s">
        <v>853</v>
      </c>
      <c r="F1048" s="21" t="s">
        <v>80</v>
      </c>
      <c r="G1048" s="38" t="s">
        <v>854</v>
      </c>
      <c r="H1048" s="39" t="s">
        <v>534</v>
      </c>
      <c r="I1048" s="39"/>
      <c r="J1048" s="21" t="s">
        <v>144</v>
      </c>
      <c r="K1048" s="21" t="s">
        <v>145</v>
      </c>
      <c r="L1048" s="21" t="s">
        <v>203</v>
      </c>
      <c r="M1048" s="21" t="s">
        <v>589</v>
      </c>
      <c r="N1048" s="21" t="s">
        <v>589</v>
      </c>
      <c r="O1048" s="20" t="s">
        <v>3560</v>
      </c>
      <c r="P1048" s="45">
        <v>45979</v>
      </c>
      <c r="Q1048" s="39" t="s">
        <v>3561</v>
      </c>
      <c r="R1048" s="19">
        <v>858</v>
      </c>
      <c r="S1048" s="21">
        <v>0.2</v>
      </c>
      <c r="T1048" s="21">
        <v>1029.5999999999999</v>
      </c>
      <c r="U1048" s="44" t="s">
        <v>3562</v>
      </c>
      <c r="V1048" s="22">
        <v>45989</v>
      </c>
      <c r="W1048" s="54" t="s">
        <v>91</v>
      </c>
      <c r="X1048" s="23"/>
      <c r="Y1048" s="23" t="s">
        <v>92</v>
      </c>
      <c r="Z1048" s="56" t="s">
        <v>1338</v>
      </c>
      <c r="AA1048" s="24">
        <v>3023</v>
      </c>
      <c r="AB1048" s="19"/>
      <c r="AC1048" s="19"/>
      <c r="AD1048" s="15" t="str">
        <f ca="1">IF(AND($D1048&lt;&gt;"",COUNTIF(OFFSET(UFS!$E$2,MATCH($D1048&amp;"",UFS!$A$2:$A$175,0)-1,0,COUNTIF(UFS!$A$2:$A$175,$D1048&amp;""),1),M1048)&gt;0),"Valide","Invalide")</f>
        <v>Valide</v>
      </c>
      <c r="AH1048" s="15" t="str">
        <f t="shared" si="16"/>
        <v>En attente</v>
      </c>
    </row>
    <row r="1049" spans="1:34" s="15" customFormat="1" ht="45" hidden="1" customHeight="1" x14ac:dyDescent="0.3">
      <c r="A1049" s="42">
        <v>1050</v>
      </c>
      <c r="B1049" s="19" t="s">
        <v>6</v>
      </c>
      <c r="C1049" s="19" t="s">
        <v>21</v>
      </c>
      <c r="D1049" s="20" t="s">
        <v>587</v>
      </c>
      <c r="E1049" s="20" t="s">
        <v>79</v>
      </c>
      <c r="F1049" s="21" t="s">
        <v>80</v>
      </c>
      <c r="G1049" s="38" t="s">
        <v>533</v>
      </c>
      <c r="H1049" s="39" t="s">
        <v>534</v>
      </c>
      <c r="I1049" s="39"/>
      <c r="J1049" s="21" t="s">
        <v>144</v>
      </c>
      <c r="K1049" s="21" t="s">
        <v>145</v>
      </c>
      <c r="L1049" s="21" t="s">
        <v>203</v>
      </c>
      <c r="M1049" s="21" t="s">
        <v>589</v>
      </c>
      <c r="N1049" s="21" t="s">
        <v>589</v>
      </c>
      <c r="O1049" s="20" t="s">
        <v>3563</v>
      </c>
      <c r="P1049" s="45">
        <v>45986</v>
      </c>
      <c r="Q1049" s="39" t="s">
        <v>3564</v>
      </c>
      <c r="R1049" s="19">
        <v>13232.15</v>
      </c>
      <c r="S1049" s="21">
        <v>0.2</v>
      </c>
      <c r="T1049" s="21">
        <v>15878.58</v>
      </c>
      <c r="U1049" s="44" t="s">
        <v>3565</v>
      </c>
      <c r="V1049" s="22">
        <v>45989</v>
      </c>
      <c r="W1049" s="54" t="s">
        <v>91</v>
      </c>
      <c r="X1049" s="23"/>
      <c r="Y1049" s="23" t="s">
        <v>92</v>
      </c>
      <c r="Z1049" s="56" t="s">
        <v>3566</v>
      </c>
      <c r="AA1049" s="24">
        <v>864934</v>
      </c>
      <c r="AB1049" s="19"/>
      <c r="AC1049" s="19"/>
      <c r="AD1049" s="15" t="str">
        <f ca="1">IF(AND($D1049&lt;&gt;"",COUNTIF(OFFSET(UFS!$E$2,MATCH($D1049&amp;"",UFS!$A$2:$A$175,0)-1,0,COUNTIF(UFS!$A$2:$A$175,$D1049&amp;""),1),M1049)&gt;0),"Valide","Invalide")</f>
        <v>Valide</v>
      </c>
      <c r="AH1049" s="15" t="str">
        <f t="shared" si="16"/>
        <v>En attente</v>
      </c>
    </row>
    <row r="1050" spans="1:34" s="15" customFormat="1" ht="45" hidden="1" customHeight="1" x14ac:dyDescent="0.3">
      <c r="A1050" s="42">
        <v>1051</v>
      </c>
      <c r="B1050" s="19" t="s">
        <v>6</v>
      </c>
      <c r="C1050" s="19" t="s">
        <v>21</v>
      </c>
      <c r="D1050" s="20" t="s">
        <v>587</v>
      </c>
      <c r="E1050" s="20" t="s">
        <v>79</v>
      </c>
      <c r="F1050" s="21" t="s">
        <v>80</v>
      </c>
      <c r="G1050" s="38" t="s">
        <v>533</v>
      </c>
      <c r="H1050" s="39" t="s">
        <v>534</v>
      </c>
      <c r="I1050" s="39"/>
      <c r="J1050" s="21" t="s">
        <v>144</v>
      </c>
      <c r="K1050" s="21" t="s">
        <v>145</v>
      </c>
      <c r="L1050" s="21" t="s">
        <v>203</v>
      </c>
      <c r="M1050" s="21" t="s">
        <v>589</v>
      </c>
      <c r="N1050" s="21" t="s">
        <v>589</v>
      </c>
      <c r="O1050" s="20" t="s">
        <v>3567</v>
      </c>
      <c r="P1050" s="45">
        <v>45988</v>
      </c>
      <c r="Q1050" s="39" t="s">
        <v>3568</v>
      </c>
      <c r="R1050" s="19">
        <v>1240</v>
      </c>
      <c r="S1050" s="21">
        <v>0.2</v>
      </c>
      <c r="T1050" s="21">
        <v>1488</v>
      </c>
      <c r="U1050" s="44" t="s">
        <v>3569</v>
      </c>
      <c r="V1050" s="22">
        <v>45989</v>
      </c>
      <c r="W1050" s="54" t="s">
        <v>91</v>
      </c>
      <c r="X1050" s="23"/>
      <c r="Y1050" s="23" t="s">
        <v>92</v>
      </c>
      <c r="Z1050" s="56"/>
      <c r="AA1050" s="24">
        <v>864938</v>
      </c>
      <c r="AB1050" s="19"/>
      <c r="AC1050" s="19"/>
      <c r="AD1050" s="15" t="str">
        <f ca="1">IF(AND($D1050&lt;&gt;"",COUNTIF(OFFSET(UFS!$E$2,MATCH($D1050&amp;"",UFS!$A$2:$A$175,0)-1,0,COUNTIF(UFS!$A$2:$A$175,$D1050&amp;""),1),M1050)&gt;0),"Valide","Invalide")</f>
        <v>Valide</v>
      </c>
      <c r="AH1050" s="15" t="str">
        <f t="shared" si="16"/>
        <v>En attente</v>
      </c>
    </row>
    <row r="1051" spans="1:34" s="15" customFormat="1" ht="45" hidden="1" customHeight="1" x14ac:dyDescent="0.3">
      <c r="A1051" s="42">
        <v>1052</v>
      </c>
      <c r="B1051" s="19" t="s">
        <v>26</v>
      </c>
      <c r="C1051" s="19" t="s">
        <v>15</v>
      </c>
      <c r="D1051" s="20" t="s">
        <v>2444</v>
      </c>
      <c r="E1051" s="20" t="s">
        <v>79</v>
      </c>
      <c r="F1051" s="21" t="s">
        <v>80</v>
      </c>
      <c r="G1051" s="38" t="s">
        <v>81</v>
      </c>
      <c r="H1051" s="39" t="s">
        <v>139</v>
      </c>
      <c r="I1051" s="39" t="s">
        <v>83</v>
      </c>
      <c r="J1051" s="21" t="s">
        <v>144</v>
      </c>
      <c r="K1051" s="21" t="s">
        <v>145</v>
      </c>
      <c r="L1051" s="21" t="s">
        <v>203</v>
      </c>
      <c r="M1051" s="21" t="s">
        <v>2445</v>
      </c>
      <c r="N1051" s="21" t="s">
        <v>2445</v>
      </c>
      <c r="O1051" s="20" t="s">
        <v>3570</v>
      </c>
      <c r="P1051" s="45">
        <v>45989</v>
      </c>
      <c r="Q1051" s="39" t="s">
        <v>3571</v>
      </c>
      <c r="R1051" s="19">
        <v>1471.75</v>
      </c>
      <c r="S1051" s="21">
        <v>0.2</v>
      </c>
      <c r="T1051" s="21">
        <v>1766.1</v>
      </c>
      <c r="U1051" s="44" t="s">
        <v>3572</v>
      </c>
      <c r="V1051" s="22">
        <v>45989</v>
      </c>
      <c r="W1051" s="54" t="s">
        <v>91</v>
      </c>
      <c r="X1051" s="23"/>
      <c r="Y1051" s="23" t="s">
        <v>92</v>
      </c>
      <c r="Z1051" s="56" t="s">
        <v>1338</v>
      </c>
      <c r="AA1051" s="24">
        <v>864822</v>
      </c>
      <c r="AB1051" s="19"/>
      <c r="AC1051" s="19"/>
      <c r="AD1051" s="15" t="str">
        <f ca="1">IF(AND($D1051&lt;&gt;"",COUNTIF(OFFSET(UFS!$E$2,MATCH($D1051&amp;"",UFS!$A$2:$A$175,0)-1,0,COUNTIF(UFS!$A$2:$A$175,$D1051&amp;""),1),M1051)&gt;0),"Valide","Invalide")</f>
        <v>Valide</v>
      </c>
      <c r="AH1051" s="15" t="str">
        <f t="shared" si="16"/>
        <v>En attente</v>
      </c>
    </row>
    <row r="1052" spans="1:34" s="15" customFormat="1" ht="45" hidden="1" customHeight="1" x14ac:dyDescent="0.3">
      <c r="A1052" s="42">
        <v>1053</v>
      </c>
      <c r="B1052" s="19" t="s">
        <v>26</v>
      </c>
      <c r="C1052" s="19" t="s">
        <v>3573</v>
      </c>
      <c r="D1052" s="20" t="s">
        <v>3574</v>
      </c>
      <c r="E1052" s="20" t="s">
        <v>79</v>
      </c>
      <c r="F1052" s="21" t="s">
        <v>80</v>
      </c>
      <c r="G1052" s="38" t="s">
        <v>81</v>
      </c>
      <c r="H1052" s="39"/>
      <c r="I1052" s="39"/>
      <c r="J1052" s="21" t="s">
        <v>144</v>
      </c>
      <c r="K1052" s="21" t="s">
        <v>145</v>
      </c>
      <c r="L1052" s="21" t="s">
        <v>203</v>
      </c>
      <c r="M1052" s="21" t="s">
        <v>3575</v>
      </c>
      <c r="N1052" s="21" t="s">
        <v>3575</v>
      </c>
      <c r="O1052" s="20"/>
      <c r="P1052" s="45">
        <v>45985</v>
      </c>
      <c r="Q1052" s="39" t="s">
        <v>3576</v>
      </c>
      <c r="R1052" s="19">
        <v>2375</v>
      </c>
      <c r="S1052" s="21">
        <v>0.2</v>
      </c>
      <c r="T1052" s="21">
        <v>2850</v>
      </c>
      <c r="U1052" s="44" t="s">
        <v>3577</v>
      </c>
      <c r="V1052" s="22">
        <v>45992</v>
      </c>
      <c r="W1052" s="54" t="s">
        <v>91</v>
      </c>
      <c r="X1052" s="23"/>
      <c r="Y1052" s="23" t="s">
        <v>92</v>
      </c>
      <c r="Z1052" s="56" t="s">
        <v>928</v>
      </c>
      <c r="AA1052" s="24">
        <v>864947</v>
      </c>
      <c r="AB1052" s="19"/>
      <c r="AC1052" s="49" t="s">
        <v>161</v>
      </c>
      <c r="AD1052" s="15" t="str">
        <f ca="1">IF(AND($D1052&lt;&gt;"",COUNTIF(OFFSET(UFS!$E$2,MATCH($D1052&amp;"",UFS!$A$2:$A$175,0)-1,0,COUNTIF(UFS!$A$2:$A$175,$D1052&amp;""),1),M1052)&gt;0),"Valide","Invalide")</f>
        <v>Valide</v>
      </c>
      <c r="AH1052" s="15" t="str">
        <f t="shared" si="16"/>
        <v>En attente</v>
      </c>
    </row>
    <row r="1053" spans="1:34" s="15" customFormat="1" ht="45" hidden="1" customHeight="1" x14ac:dyDescent="0.3">
      <c r="A1053" s="42">
        <v>1054</v>
      </c>
      <c r="B1053" s="19" t="s">
        <v>20</v>
      </c>
      <c r="C1053" s="19" t="s">
        <v>37</v>
      </c>
      <c r="D1053" s="20" t="s">
        <v>123</v>
      </c>
      <c r="E1053" s="20" t="s">
        <v>79</v>
      </c>
      <c r="F1053" s="21" t="s">
        <v>80</v>
      </c>
      <c r="G1053" s="38" t="s">
        <v>241</v>
      </c>
      <c r="H1053" s="39" t="s">
        <v>367</v>
      </c>
      <c r="I1053" s="39" t="s">
        <v>368</v>
      </c>
      <c r="J1053" s="21" t="s">
        <v>124</v>
      </c>
      <c r="K1053" s="21" t="s">
        <v>125</v>
      </c>
      <c r="L1053" s="21" t="s">
        <v>126</v>
      </c>
      <c r="M1053" s="21" t="s">
        <v>109</v>
      </c>
      <c r="N1053" s="21" t="s">
        <v>109</v>
      </c>
      <c r="O1053" s="20" t="s">
        <v>3578</v>
      </c>
      <c r="P1053" s="45">
        <v>45988</v>
      </c>
      <c r="Q1053" s="39" t="s">
        <v>3579</v>
      </c>
      <c r="R1053" s="19">
        <v>272.7</v>
      </c>
      <c r="S1053" s="21">
        <v>0.1</v>
      </c>
      <c r="T1053" s="21">
        <v>299.96999999999997</v>
      </c>
      <c r="U1053" s="60" t="s">
        <v>371</v>
      </c>
      <c r="V1053" s="22">
        <v>45992</v>
      </c>
      <c r="W1053" s="54" t="s">
        <v>91</v>
      </c>
      <c r="X1053" s="23"/>
      <c r="Y1053" s="23" t="s">
        <v>92</v>
      </c>
      <c r="Z1053" s="56" t="s">
        <v>1338</v>
      </c>
      <c r="AA1053" s="24">
        <v>864835</v>
      </c>
      <c r="AB1053" s="19"/>
      <c r="AC1053" s="46" t="s">
        <v>94</v>
      </c>
      <c r="AD1053" s="15" t="str">
        <f ca="1">IF(AND($D1053&lt;&gt;"",COUNTIF(OFFSET(UFS!$E$2,MATCH($D1053&amp;"",UFS!$A$2:$A$175,0)-1,0,COUNTIF(UFS!$A$2:$A$175,$D1053&amp;""),1),M1053)&gt;0),"Valide","Invalide")</f>
        <v>Valide</v>
      </c>
      <c r="AH1053" s="15" t="str">
        <f t="shared" si="16"/>
        <v>En attente</v>
      </c>
    </row>
    <row r="1054" spans="1:34" s="15" customFormat="1" ht="45" hidden="1" customHeight="1" x14ac:dyDescent="0.3">
      <c r="A1054" s="42">
        <v>1055</v>
      </c>
      <c r="B1054" s="19" t="s">
        <v>26</v>
      </c>
      <c r="C1054" s="19" t="s">
        <v>3</v>
      </c>
      <c r="D1054" s="20" t="s">
        <v>3580</v>
      </c>
      <c r="E1054" s="20" t="s">
        <v>79</v>
      </c>
      <c r="F1054" s="21" t="s">
        <v>80</v>
      </c>
      <c r="G1054" s="38" t="s">
        <v>163</v>
      </c>
      <c r="H1054" s="39"/>
      <c r="I1054" s="39"/>
      <c r="J1054" s="21" t="s">
        <v>144</v>
      </c>
      <c r="K1054" s="21" t="s">
        <v>145</v>
      </c>
      <c r="L1054" s="21" t="s">
        <v>146</v>
      </c>
      <c r="M1054" s="21" t="s">
        <v>146</v>
      </c>
      <c r="N1054" s="21" t="s">
        <v>3581</v>
      </c>
      <c r="O1054" s="20" t="s">
        <v>3582</v>
      </c>
      <c r="P1054" s="45">
        <v>45992</v>
      </c>
      <c r="Q1054" s="39" t="s">
        <v>3583</v>
      </c>
      <c r="R1054" s="19">
        <v>531.03</v>
      </c>
      <c r="S1054" s="21">
        <v>0.2</v>
      </c>
      <c r="T1054" s="21">
        <v>637.23599999999999</v>
      </c>
      <c r="U1054" s="60" t="s">
        <v>3584</v>
      </c>
      <c r="V1054" s="22">
        <v>45992</v>
      </c>
      <c r="W1054" s="54" t="s">
        <v>91</v>
      </c>
      <c r="X1054" s="23"/>
      <c r="Y1054" s="23" t="s">
        <v>92</v>
      </c>
      <c r="Z1054" s="56" t="s">
        <v>3464</v>
      </c>
      <c r="AA1054" s="24">
        <v>864838</v>
      </c>
      <c r="AB1054" s="19"/>
      <c r="AC1054" s="19"/>
      <c r="AD1054" s="15" t="str">
        <f ca="1">IF(AND($D1054&lt;&gt;"",COUNTIF(OFFSET(UFS!$E$2,MATCH($D1054&amp;"",UFS!$A$2:$A$175,0)-1,0,COUNTIF(UFS!$A$2:$A$175,$D1054&amp;""),1),M1054)&gt;0),"Valide","Invalide")</f>
        <v>Valide</v>
      </c>
      <c r="AH1054" s="15" t="str">
        <f t="shared" si="16"/>
        <v>En attente</v>
      </c>
    </row>
    <row r="1055" spans="1:34" s="15" customFormat="1" ht="45" hidden="1" customHeight="1" x14ac:dyDescent="0.3">
      <c r="A1055" s="42">
        <v>1056</v>
      </c>
      <c r="B1055" s="19" t="s">
        <v>26</v>
      </c>
      <c r="C1055" s="19" t="s">
        <v>28</v>
      </c>
      <c r="D1055" s="20" t="s">
        <v>406</v>
      </c>
      <c r="E1055" s="20" t="s">
        <v>79</v>
      </c>
      <c r="F1055" s="21" t="s">
        <v>80</v>
      </c>
      <c r="G1055" s="38" t="s">
        <v>81</v>
      </c>
      <c r="H1055" s="39" t="s">
        <v>82</v>
      </c>
      <c r="I1055" s="39" t="s">
        <v>83</v>
      </c>
      <c r="J1055" s="21" t="s">
        <v>407</v>
      </c>
      <c r="K1055" s="21" t="s">
        <v>108</v>
      </c>
      <c r="L1055" s="21" t="s">
        <v>100</v>
      </c>
      <c r="M1055" s="21" t="s">
        <v>108</v>
      </c>
      <c r="N1055" s="21" t="s">
        <v>408</v>
      </c>
      <c r="O1055" s="20" t="s">
        <v>3585</v>
      </c>
      <c r="P1055" s="45">
        <v>45950</v>
      </c>
      <c r="Q1055" s="39" t="s">
        <v>3586</v>
      </c>
      <c r="R1055" s="19">
        <v>211.88</v>
      </c>
      <c r="S1055" s="21">
        <v>0.2</v>
      </c>
      <c r="T1055" s="21">
        <v>254.256</v>
      </c>
      <c r="U1055" s="60" t="s">
        <v>3587</v>
      </c>
      <c r="V1055" s="22">
        <v>45992</v>
      </c>
      <c r="W1055" s="54" t="s">
        <v>91</v>
      </c>
      <c r="X1055" s="23"/>
      <c r="Y1055" s="23" t="s">
        <v>92</v>
      </c>
      <c r="Z1055" s="56" t="s">
        <v>1338</v>
      </c>
      <c r="AA1055" s="24">
        <v>864840</v>
      </c>
      <c r="AB1055" s="19"/>
      <c r="AC1055" s="19"/>
      <c r="AD1055" s="15" t="str">
        <f ca="1">IF(AND($D1055&lt;&gt;"",COUNTIF(OFFSET(UFS!$E$2,MATCH($D1055&amp;"",UFS!$A$2:$A$175,0)-1,0,COUNTIF(UFS!$A$2:$A$175,$D1055&amp;""),1),M1055)&gt;0),"Valide","Invalide")</f>
        <v>Valide</v>
      </c>
      <c r="AH1055" s="15" t="str">
        <f t="shared" si="16"/>
        <v>En attente</v>
      </c>
    </row>
    <row r="1056" spans="1:34" s="15" customFormat="1" ht="45" customHeight="1" x14ac:dyDescent="0.3">
      <c r="A1056" s="42">
        <v>1057</v>
      </c>
      <c r="B1056" s="19" t="s">
        <v>24</v>
      </c>
      <c r="C1056" s="19" t="s">
        <v>11</v>
      </c>
      <c r="D1056" s="20" t="s">
        <v>123</v>
      </c>
      <c r="E1056" s="20" t="s">
        <v>79</v>
      </c>
      <c r="F1056" s="21" t="s">
        <v>80</v>
      </c>
      <c r="G1056" s="38" t="s">
        <v>81</v>
      </c>
      <c r="H1056" s="39" t="s">
        <v>211</v>
      </c>
      <c r="I1056" s="39" t="s">
        <v>83</v>
      </c>
      <c r="J1056" s="21" t="s">
        <v>124</v>
      </c>
      <c r="K1056" s="21" t="s">
        <v>125</v>
      </c>
      <c r="L1056" s="21" t="s">
        <v>126</v>
      </c>
      <c r="M1056" s="21" t="s">
        <v>109</v>
      </c>
      <c r="N1056" s="21" t="s">
        <v>109</v>
      </c>
      <c r="O1056" s="20" t="s">
        <v>3588</v>
      </c>
      <c r="P1056" s="45">
        <v>45988</v>
      </c>
      <c r="Q1056" s="39" t="s">
        <v>3589</v>
      </c>
      <c r="R1056" s="19">
        <v>5594.27</v>
      </c>
      <c r="S1056" s="21">
        <v>0.1</v>
      </c>
      <c r="T1056" s="21">
        <v>6153.6970000000001</v>
      </c>
      <c r="U1056" s="44" t="s">
        <v>3590</v>
      </c>
      <c r="V1056" s="22">
        <v>45992</v>
      </c>
      <c r="W1056" s="54" t="s">
        <v>91</v>
      </c>
      <c r="X1056" s="23"/>
      <c r="Y1056" s="23" t="s">
        <v>92</v>
      </c>
      <c r="Z1056" s="56"/>
      <c r="AA1056" s="24">
        <v>864842</v>
      </c>
      <c r="AB1056" s="47">
        <v>46055</v>
      </c>
      <c r="AC1056" s="46" t="s">
        <v>94</v>
      </c>
      <c r="AD1056" s="15" t="str">
        <f ca="1">IF(AND($D1056&lt;&gt;"",COUNTIF(OFFSET(UFS!$E$2,MATCH($D1056&amp;"",UFS!$A$2:$A$175,0)-1,0,COUNTIF(UFS!$A$2:$A$175,$D1056&amp;""),1),M1056)&gt;0),"Valide","Invalide")</f>
        <v>Valide</v>
      </c>
      <c r="AH1056" s="15" t="str">
        <f t="shared" si="16"/>
        <v>En attente</v>
      </c>
    </row>
    <row r="1057" spans="1:34" s="15" customFormat="1" ht="45" customHeight="1" x14ac:dyDescent="0.3">
      <c r="A1057" s="42">
        <v>1058</v>
      </c>
      <c r="B1057" s="19" t="s">
        <v>24</v>
      </c>
      <c r="C1057" s="19" t="s">
        <v>28</v>
      </c>
      <c r="D1057" s="20" t="s">
        <v>260</v>
      </c>
      <c r="E1057" s="20" t="s">
        <v>79</v>
      </c>
      <c r="F1057" s="21" t="s">
        <v>80</v>
      </c>
      <c r="G1057" s="38" t="s">
        <v>81</v>
      </c>
      <c r="H1057" s="39" t="s">
        <v>82</v>
      </c>
      <c r="I1057" s="39" t="s">
        <v>83</v>
      </c>
      <c r="J1057" s="21" t="s">
        <v>84</v>
      </c>
      <c r="K1057" s="21" t="s">
        <v>113</v>
      </c>
      <c r="L1057" s="21" t="s">
        <v>86</v>
      </c>
      <c r="M1057" s="21" t="s">
        <v>109</v>
      </c>
      <c r="N1057" s="21" t="s">
        <v>109</v>
      </c>
      <c r="O1057" s="20" t="s">
        <v>3591</v>
      </c>
      <c r="P1057" s="45">
        <v>45988</v>
      </c>
      <c r="Q1057" s="39" t="s">
        <v>3592</v>
      </c>
      <c r="R1057" s="19">
        <v>2180.0700000000002</v>
      </c>
      <c r="S1057" s="21">
        <v>0.1</v>
      </c>
      <c r="T1057" s="21">
        <v>2398.0770000000002</v>
      </c>
      <c r="U1057" s="44" t="s">
        <v>3593</v>
      </c>
      <c r="V1057" s="22">
        <v>45992</v>
      </c>
      <c r="W1057" s="54" t="s">
        <v>91</v>
      </c>
      <c r="X1057" s="23"/>
      <c r="Y1057" s="23" t="s">
        <v>92</v>
      </c>
      <c r="Z1057" s="56" t="s">
        <v>928</v>
      </c>
      <c r="AA1057" s="24">
        <v>864880</v>
      </c>
      <c r="AB1057" s="47">
        <v>45662</v>
      </c>
      <c r="AC1057" s="49" t="s">
        <v>161</v>
      </c>
      <c r="AD1057" s="15" t="str">
        <f ca="1">IF(AND($D1057&lt;&gt;"",COUNTIF(OFFSET(UFS!$E$2,MATCH($D1057&amp;"",UFS!$A$2:$A$175,0)-1,0,COUNTIF(UFS!$A$2:$A$175,$D1057&amp;""),1),M1057)&gt;0),"Valide","Invalide")</f>
        <v>Valide</v>
      </c>
      <c r="AH1057" s="15" t="str">
        <f t="shared" si="16"/>
        <v>En attente</v>
      </c>
    </row>
    <row r="1058" spans="1:34" s="15" customFormat="1" ht="45" hidden="1" customHeight="1" x14ac:dyDescent="0.3">
      <c r="A1058" s="42">
        <v>1059</v>
      </c>
      <c r="B1058" s="19" t="s">
        <v>2</v>
      </c>
      <c r="C1058" s="19" t="s">
        <v>1757</v>
      </c>
      <c r="D1058" s="20" t="s">
        <v>200</v>
      </c>
      <c r="E1058" s="20" t="s">
        <v>96</v>
      </c>
      <c r="F1058" s="21" t="s">
        <v>80</v>
      </c>
      <c r="G1058" s="38" t="s">
        <v>681</v>
      </c>
      <c r="H1058" s="39" t="s">
        <v>1085</v>
      </c>
      <c r="I1058" s="39"/>
      <c r="J1058" s="21" t="s">
        <v>144</v>
      </c>
      <c r="K1058" s="21" t="s">
        <v>145</v>
      </c>
      <c r="L1058" s="21" t="s">
        <v>203</v>
      </c>
      <c r="M1058" s="21" t="s">
        <v>109</v>
      </c>
      <c r="N1058" s="21" t="s">
        <v>109</v>
      </c>
      <c r="O1058" s="20" t="s">
        <v>3594</v>
      </c>
      <c r="P1058" s="45">
        <v>45954</v>
      </c>
      <c r="Q1058" s="39" t="s">
        <v>3595</v>
      </c>
      <c r="R1058" s="19">
        <v>1700</v>
      </c>
      <c r="S1058" s="21">
        <v>0.2</v>
      </c>
      <c r="T1058" s="21">
        <v>2040</v>
      </c>
      <c r="U1058" s="44" t="s">
        <v>3596</v>
      </c>
      <c r="V1058" s="22">
        <v>45992</v>
      </c>
      <c r="W1058" s="54" t="s">
        <v>91</v>
      </c>
      <c r="X1058" s="23"/>
      <c r="Y1058" s="23" t="s">
        <v>92</v>
      </c>
      <c r="Z1058" s="56" t="s">
        <v>1338</v>
      </c>
      <c r="AA1058" s="24">
        <v>864651</v>
      </c>
      <c r="AB1058" s="19"/>
      <c r="AC1058" s="19"/>
      <c r="AD1058" s="15" t="e">
        <f ca="1">IF(AND($D1058&lt;&gt;"",COUNTIF(OFFSET(UFS!$E$2,MATCH($D1058&amp;"",UFS!$A$2:$A$175,0)-1,0,COUNTIF(UFS!$A$2:$A$175,$D1058&amp;""),1),M1058)&gt;0),"Valide","Invalide")</f>
        <v>#N/A</v>
      </c>
      <c r="AH1058" s="15" t="str">
        <f t="shared" si="16"/>
        <v>En attente</v>
      </c>
    </row>
    <row r="1059" spans="1:34" s="15" customFormat="1" ht="45" hidden="1" customHeight="1" x14ac:dyDescent="0.3">
      <c r="A1059" s="42">
        <v>1060</v>
      </c>
      <c r="B1059" s="19" t="s">
        <v>2</v>
      </c>
      <c r="C1059" s="19" t="s">
        <v>1757</v>
      </c>
      <c r="D1059" s="20" t="s">
        <v>200</v>
      </c>
      <c r="E1059" s="20" t="s">
        <v>96</v>
      </c>
      <c r="F1059" s="21" t="s">
        <v>80</v>
      </c>
      <c r="G1059" s="38" t="s">
        <v>681</v>
      </c>
      <c r="H1059" s="39" t="s">
        <v>1085</v>
      </c>
      <c r="I1059" s="39"/>
      <c r="J1059" s="21" t="s">
        <v>144</v>
      </c>
      <c r="K1059" s="21" t="s">
        <v>145</v>
      </c>
      <c r="L1059" s="21" t="s">
        <v>203</v>
      </c>
      <c r="M1059" s="21" t="s">
        <v>109</v>
      </c>
      <c r="N1059" s="21" t="s">
        <v>109</v>
      </c>
      <c r="O1059" s="20" t="s">
        <v>3597</v>
      </c>
      <c r="P1059" s="45">
        <v>45987</v>
      </c>
      <c r="Q1059" s="39" t="s">
        <v>3598</v>
      </c>
      <c r="R1059" s="19">
        <v>2650</v>
      </c>
      <c r="S1059" s="21">
        <v>0.2</v>
      </c>
      <c r="T1059" s="21">
        <v>3180</v>
      </c>
      <c r="U1059" s="44" t="s">
        <v>3599</v>
      </c>
      <c r="V1059" s="22">
        <v>45992</v>
      </c>
      <c r="W1059" s="54" t="s">
        <v>91</v>
      </c>
      <c r="X1059" s="23"/>
      <c r="Y1059" s="23" t="s">
        <v>92</v>
      </c>
      <c r="Z1059" s="56" t="s">
        <v>1338</v>
      </c>
      <c r="AA1059" s="24">
        <v>864757</v>
      </c>
      <c r="AB1059" s="19"/>
      <c r="AC1059" s="19"/>
      <c r="AD1059" s="15" t="e">
        <f ca="1">IF(AND($D1059&lt;&gt;"",COUNTIF(OFFSET(UFS!$E$2,MATCH($D1059&amp;"",UFS!$A$2:$A$175,0)-1,0,COUNTIF(UFS!$A$2:$A$175,$D1059&amp;""),1),M1059)&gt;0),"Valide","Invalide")</f>
        <v>#N/A</v>
      </c>
      <c r="AH1059" s="15" t="str">
        <f t="shared" si="16"/>
        <v>En attente</v>
      </c>
    </row>
    <row r="1060" spans="1:34" s="15" customFormat="1" ht="45" hidden="1" customHeight="1" x14ac:dyDescent="0.3">
      <c r="A1060" s="42">
        <v>1061</v>
      </c>
      <c r="B1060" s="19" t="s">
        <v>20</v>
      </c>
      <c r="C1060" s="19" t="s">
        <v>37</v>
      </c>
      <c r="D1060" s="20" t="s">
        <v>123</v>
      </c>
      <c r="E1060" s="20" t="s">
        <v>79</v>
      </c>
      <c r="F1060" s="21" t="s">
        <v>80</v>
      </c>
      <c r="G1060" s="38" t="s">
        <v>241</v>
      </c>
      <c r="H1060" s="39" t="s">
        <v>367</v>
      </c>
      <c r="I1060" s="39" t="s">
        <v>368</v>
      </c>
      <c r="J1060" s="21" t="s">
        <v>124</v>
      </c>
      <c r="K1060" s="21" t="s">
        <v>125</v>
      </c>
      <c r="L1060" s="21" t="s">
        <v>126</v>
      </c>
      <c r="M1060" s="21" t="s">
        <v>109</v>
      </c>
      <c r="N1060" s="21" t="s">
        <v>109</v>
      </c>
      <c r="O1060" s="20" t="s">
        <v>3600</v>
      </c>
      <c r="P1060" s="45">
        <v>45992</v>
      </c>
      <c r="Q1060" s="39" t="s">
        <v>3601</v>
      </c>
      <c r="R1060" s="19">
        <v>272.7</v>
      </c>
      <c r="S1060" s="21">
        <v>0.1</v>
      </c>
      <c r="T1060" s="21">
        <v>299.96999999999997</v>
      </c>
      <c r="U1060" s="60" t="s">
        <v>371</v>
      </c>
      <c r="V1060" s="22">
        <v>45993</v>
      </c>
      <c r="W1060" s="54" t="s">
        <v>91</v>
      </c>
      <c r="X1060" s="23"/>
      <c r="Y1060" s="23" t="s">
        <v>92</v>
      </c>
      <c r="Z1060" s="56" t="s">
        <v>1338</v>
      </c>
      <c r="AA1060" s="24">
        <v>864847</v>
      </c>
      <c r="AB1060" s="19"/>
      <c r="AC1060" s="46" t="s">
        <v>94</v>
      </c>
      <c r="AD1060" s="15" t="str">
        <f ca="1">IF(AND($D1060&lt;&gt;"",COUNTIF(OFFSET(UFS!$E$2,MATCH($D1060&amp;"",UFS!$A$2:$A$175,0)-1,0,COUNTIF(UFS!$A$2:$A$175,$D1060&amp;""),1),M1060)&gt;0),"Valide","Invalide")</f>
        <v>Valide</v>
      </c>
      <c r="AH1060" s="15" t="str">
        <f t="shared" si="16"/>
        <v>En attente</v>
      </c>
    </row>
    <row r="1061" spans="1:34" s="15" customFormat="1" ht="45" hidden="1" customHeight="1" x14ac:dyDescent="0.3">
      <c r="A1061" s="42">
        <v>1062</v>
      </c>
      <c r="B1061" s="19" t="s">
        <v>20</v>
      </c>
      <c r="C1061" s="19" t="s">
        <v>37</v>
      </c>
      <c r="D1061" s="20" t="s">
        <v>106</v>
      </c>
      <c r="E1061" s="20" t="s">
        <v>79</v>
      </c>
      <c r="F1061" s="21" t="s">
        <v>80</v>
      </c>
      <c r="G1061" s="38" t="s">
        <v>241</v>
      </c>
      <c r="H1061" s="39" t="s">
        <v>367</v>
      </c>
      <c r="I1061" s="39" t="s">
        <v>368</v>
      </c>
      <c r="J1061" s="21" t="s">
        <v>98</v>
      </c>
      <c r="K1061" s="21" t="s">
        <v>108</v>
      </c>
      <c r="L1061" s="21" t="s">
        <v>100</v>
      </c>
      <c r="M1061" s="21" t="s">
        <v>109</v>
      </c>
      <c r="N1061" s="21" t="s">
        <v>109</v>
      </c>
      <c r="O1061" s="20" t="s">
        <v>3602</v>
      </c>
      <c r="P1061" s="45">
        <v>45992</v>
      </c>
      <c r="Q1061" s="39" t="s">
        <v>3603</v>
      </c>
      <c r="R1061" s="19">
        <v>2262.25</v>
      </c>
      <c r="S1061" s="21">
        <v>0.1</v>
      </c>
      <c r="T1061" s="21">
        <v>2488.4749999999999</v>
      </c>
      <c r="U1061" s="60" t="s">
        <v>371</v>
      </c>
      <c r="V1061" s="22">
        <v>45993</v>
      </c>
      <c r="W1061" s="54" t="s">
        <v>91</v>
      </c>
      <c r="X1061" s="23"/>
      <c r="Y1061" s="23" t="s">
        <v>92</v>
      </c>
      <c r="Z1061" s="56" t="s">
        <v>1338</v>
      </c>
      <c r="AA1061" s="24">
        <v>864845</v>
      </c>
      <c r="AB1061" s="19"/>
      <c r="AC1061" s="46" t="s">
        <v>94</v>
      </c>
      <c r="AD1061" s="15" t="str">
        <f ca="1">IF(AND($D1061&lt;&gt;"",COUNTIF(OFFSET(UFS!$E$2,MATCH($D1061&amp;"",UFS!$A$2:$A$175,0)-1,0,COUNTIF(UFS!$A$2:$A$175,$D1061&amp;""),1),M1061)&gt;0),"Valide","Invalide")</f>
        <v>Valide</v>
      </c>
      <c r="AH1061" s="15" t="str">
        <f t="shared" si="16"/>
        <v>En attente</v>
      </c>
    </row>
    <row r="1062" spans="1:34" s="15" customFormat="1" ht="45" hidden="1" customHeight="1" x14ac:dyDescent="0.3">
      <c r="A1062" s="42">
        <v>1063</v>
      </c>
      <c r="B1062" s="19" t="s">
        <v>2</v>
      </c>
      <c r="C1062" s="19" t="s">
        <v>3604</v>
      </c>
      <c r="D1062" s="20" t="s">
        <v>200</v>
      </c>
      <c r="E1062" s="20" t="s">
        <v>96</v>
      </c>
      <c r="F1062" s="21" t="s">
        <v>80</v>
      </c>
      <c r="G1062" s="38" t="s">
        <v>1422</v>
      </c>
      <c r="H1062" s="39"/>
      <c r="I1062" s="39"/>
      <c r="J1062" s="21" t="s">
        <v>144</v>
      </c>
      <c r="K1062" s="21" t="s">
        <v>145</v>
      </c>
      <c r="L1062" s="21" t="s">
        <v>203</v>
      </c>
      <c r="M1062" s="21" t="s">
        <v>109</v>
      </c>
      <c r="N1062" s="21" t="s">
        <v>109</v>
      </c>
      <c r="O1062" s="20" t="s">
        <v>3605</v>
      </c>
      <c r="P1062" s="45">
        <v>45992</v>
      </c>
      <c r="Q1062" s="39" t="s">
        <v>3606</v>
      </c>
      <c r="R1062" s="19">
        <v>13307.85</v>
      </c>
      <c r="S1062" s="21">
        <v>0.2</v>
      </c>
      <c r="T1062" s="21">
        <v>15969.42</v>
      </c>
      <c r="U1062" s="60" t="s">
        <v>3607</v>
      </c>
      <c r="V1062" s="22">
        <v>45993</v>
      </c>
      <c r="W1062" s="54" t="s">
        <v>91</v>
      </c>
      <c r="X1062" s="23"/>
      <c r="Y1062" s="23" t="s">
        <v>92</v>
      </c>
      <c r="Z1062" s="56" t="s">
        <v>1338</v>
      </c>
      <c r="AA1062" s="24">
        <v>864849</v>
      </c>
      <c r="AB1062" s="19"/>
      <c r="AC1062" s="46" t="s">
        <v>94</v>
      </c>
      <c r="AD1062" s="15" t="e">
        <f ca="1">IF(AND($D1062&lt;&gt;"",COUNTIF(OFFSET(UFS!$E$2,MATCH($D1062&amp;"",UFS!$A$2:$A$175,0)-1,0,COUNTIF(UFS!$A$2:$A$175,$D1062&amp;""),1),M1062)&gt;0),"Valide","Invalide")</f>
        <v>#N/A</v>
      </c>
      <c r="AH1062" s="15" t="str">
        <f t="shared" si="16"/>
        <v>En attente</v>
      </c>
    </row>
    <row r="1063" spans="1:34" s="15" customFormat="1" ht="45" hidden="1" customHeight="1" x14ac:dyDescent="0.3">
      <c r="A1063" s="42">
        <v>1064</v>
      </c>
      <c r="B1063" s="19" t="s">
        <v>10</v>
      </c>
      <c r="C1063" s="19" t="s">
        <v>13</v>
      </c>
      <c r="D1063" s="20" t="s">
        <v>200</v>
      </c>
      <c r="E1063" s="20" t="s">
        <v>79</v>
      </c>
      <c r="F1063" s="21" t="s">
        <v>80</v>
      </c>
      <c r="G1063" s="38" t="s">
        <v>81</v>
      </c>
      <c r="H1063" s="39" t="s">
        <v>3608</v>
      </c>
      <c r="I1063" s="39" t="s">
        <v>83</v>
      </c>
      <c r="J1063" s="21" t="s">
        <v>144</v>
      </c>
      <c r="K1063" s="21" t="s">
        <v>145</v>
      </c>
      <c r="L1063" s="21" t="s">
        <v>203</v>
      </c>
      <c r="M1063" s="21" t="s">
        <v>109</v>
      </c>
      <c r="N1063" s="21" t="s">
        <v>109</v>
      </c>
      <c r="O1063" s="20" t="s">
        <v>3609</v>
      </c>
      <c r="P1063" s="45">
        <v>45987</v>
      </c>
      <c r="Q1063" s="39" t="s">
        <v>3610</v>
      </c>
      <c r="R1063" s="19">
        <v>49294.98</v>
      </c>
      <c r="S1063" s="21">
        <v>0.2</v>
      </c>
      <c r="T1063" s="111">
        <v>59153.976000000002</v>
      </c>
      <c r="U1063" s="44" t="s">
        <v>3611</v>
      </c>
      <c r="V1063" s="22">
        <v>45994</v>
      </c>
      <c r="W1063" s="54"/>
      <c r="X1063" s="23"/>
      <c r="Y1063" s="23" t="s">
        <v>347</v>
      </c>
      <c r="Z1063" s="56" t="s">
        <v>3612</v>
      </c>
      <c r="AA1063" s="24"/>
      <c r="AB1063" s="19"/>
      <c r="AC1063" s="19"/>
      <c r="AD1063" s="15" t="e">
        <f ca="1">IF(AND($D1063&lt;&gt;"",COUNTIF(OFFSET(UFS!$E$2,MATCH($D1063&amp;"",UFS!$A$2:$A$175,0)-1,0,COUNTIF(UFS!$A$2:$A$175,$D1063&amp;""),1),M1063)&gt;0),"Valide","Invalide")</f>
        <v>#N/A</v>
      </c>
      <c r="AH1063" s="15" t="str">
        <f t="shared" si="16"/>
        <v>En attente</v>
      </c>
    </row>
    <row r="1064" spans="1:34" s="15" customFormat="1" ht="45" hidden="1" customHeight="1" x14ac:dyDescent="0.3">
      <c r="A1064" s="42">
        <v>1065</v>
      </c>
      <c r="B1064" s="19" t="s">
        <v>4</v>
      </c>
      <c r="C1064" s="122" t="s">
        <v>34</v>
      </c>
      <c r="D1064" s="20" t="s">
        <v>200</v>
      </c>
      <c r="E1064" s="20" t="s">
        <v>79</v>
      </c>
      <c r="F1064" s="21" t="s">
        <v>80</v>
      </c>
      <c r="G1064" s="38" t="s">
        <v>81</v>
      </c>
      <c r="H1064" s="39" t="s">
        <v>267</v>
      </c>
      <c r="I1064" s="39" t="s">
        <v>83</v>
      </c>
      <c r="J1064" s="21" t="s">
        <v>144</v>
      </c>
      <c r="K1064" s="21" t="s">
        <v>145</v>
      </c>
      <c r="L1064" s="21" t="s">
        <v>203</v>
      </c>
      <c r="M1064" s="21" t="s">
        <v>109</v>
      </c>
      <c r="N1064" s="21" t="s">
        <v>109</v>
      </c>
      <c r="O1064" s="20" t="s">
        <v>3613</v>
      </c>
      <c r="P1064" s="45">
        <v>45989</v>
      </c>
      <c r="Q1064" s="39" t="s">
        <v>3614</v>
      </c>
      <c r="R1064" s="19">
        <v>16396.28</v>
      </c>
      <c r="S1064" s="21">
        <v>0.2</v>
      </c>
      <c r="T1064" s="21">
        <v>19675.536</v>
      </c>
      <c r="U1064" s="44" t="s">
        <v>2109</v>
      </c>
      <c r="V1064" s="22">
        <v>45994</v>
      </c>
      <c r="W1064" s="54" t="s">
        <v>91</v>
      </c>
      <c r="X1064" s="23"/>
      <c r="Y1064" s="23" t="s">
        <v>92</v>
      </c>
      <c r="Z1064" s="56"/>
      <c r="AA1064" s="24">
        <v>865211</v>
      </c>
      <c r="AB1064" s="19"/>
      <c r="AC1064" s="19"/>
      <c r="AD1064" s="15" t="e">
        <f ca="1">IF(AND($D1064&lt;&gt;"",COUNTIF(OFFSET(UFS!$E$2,MATCH($D1064&amp;"",UFS!$A$2:$A$175,0)-1,0,COUNTIF(UFS!$A$2:$A$175,$D1064&amp;""),1),M1064)&gt;0),"Valide","Invalide")</f>
        <v>#N/A</v>
      </c>
      <c r="AH1064" s="15" t="str">
        <f t="shared" si="16"/>
        <v>En attente</v>
      </c>
    </row>
    <row r="1065" spans="1:34" s="15" customFormat="1" ht="45" hidden="1" customHeight="1" x14ac:dyDescent="0.3">
      <c r="A1065" s="42">
        <v>1066</v>
      </c>
      <c r="B1065" s="19" t="s">
        <v>4</v>
      </c>
      <c r="C1065" s="19" t="s">
        <v>34</v>
      </c>
      <c r="D1065" s="20" t="s">
        <v>200</v>
      </c>
      <c r="E1065" s="20" t="s">
        <v>79</v>
      </c>
      <c r="F1065" s="21" t="s">
        <v>80</v>
      </c>
      <c r="G1065" s="38" t="s">
        <v>81</v>
      </c>
      <c r="H1065" s="39" t="s">
        <v>267</v>
      </c>
      <c r="I1065" s="39" t="s">
        <v>83</v>
      </c>
      <c r="J1065" s="21" t="s">
        <v>144</v>
      </c>
      <c r="K1065" s="21" t="s">
        <v>145</v>
      </c>
      <c r="L1065" s="21" t="s">
        <v>203</v>
      </c>
      <c r="M1065" s="21" t="s">
        <v>109</v>
      </c>
      <c r="N1065" s="21" t="s">
        <v>109</v>
      </c>
      <c r="O1065" s="20" t="s">
        <v>3615</v>
      </c>
      <c r="P1065" s="45">
        <v>45989</v>
      </c>
      <c r="Q1065" s="39" t="s">
        <v>3616</v>
      </c>
      <c r="R1065" s="19">
        <v>4034.69</v>
      </c>
      <c r="S1065" s="21">
        <v>0.2</v>
      </c>
      <c r="T1065" s="21">
        <v>4841.6279999999997</v>
      </c>
      <c r="U1065" s="44" t="s">
        <v>2109</v>
      </c>
      <c r="V1065" s="22">
        <v>45994</v>
      </c>
      <c r="W1065" s="54" t="s">
        <v>91</v>
      </c>
      <c r="X1065" s="23"/>
      <c r="Y1065" s="23" t="s">
        <v>92</v>
      </c>
      <c r="Z1065" s="56"/>
      <c r="AA1065" s="24">
        <v>865214</v>
      </c>
      <c r="AB1065" s="19"/>
      <c r="AC1065" s="19"/>
      <c r="AD1065" s="15" t="e">
        <f ca="1">IF(AND($D1065&lt;&gt;"",COUNTIF(OFFSET(UFS!$E$2,MATCH($D1065&amp;"",UFS!$A$2:$A$175,0)-1,0,COUNTIF(UFS!$A$2:$A$175,$D1065&amp;""),1),M1065)&gt;0),"Valide","Invalide")</f>
        <v>#N/A</v>
      </c>
      <c r="AH1065" s="15" t="str">
        <f t="shared" si="16"/>
        <v>En attente</v>
      </c>
    </row>
    <row r="1066" spans="1:34" s="15" customFormat="1" ht="45" hidden="1" customHeight="1" x14ac:dyDescent="0.3">
      <c r="A1066" s="42">
        <v>1067</v>
      </c>
      <c r="B1066" s="19" t="s">
        <v>20</v>
      </c>
      <c r="C1066" s="19" t="s">
        <v>37</v>
      </c>
      <c r="D1066" s="20" t="s">
        <v>251</v>
      </c>
      <c r="E1066" s="20" t="s">
        <v>79</v>
      </c>
      <c r="F1066" s="21" t="s">
        <v>80</v>
      </c>
      <c r="G1066" s="38" t="s">
        <v>241</v>
      </c>
      <c r="H1066" s="39" t="s">
        <v>367</v>
      </c>
      <c r="I1066" s="39" t="s">
        <v>368</v>
      </c>
      <c r="J1066" s="21" t="s">
        <v>144</v>
      </c>
      <c r="K1066" s="21" t="s">
        <v>145</v>
      </c>
      <c r="L1066" s="21" t="s">
        <v>254</v>
      </c>
      <c r="M1066" s="21" t="s">
        <v>255</v>
      </c>
      <c r="N1066" s="21" t="s">
        <v>256</v>
      </c>
      <c r="O1066" s="20"/>
      <c r="P1066" s="45">
        <v>45988</v>
      </c>
      <c r="Q1066" s="39" t="s">
        <v>3617</v>
      </c>
      <c r="R1066" s="19">
        <v>225</v>
      </c>
      <c r="S1066" s="21">
        <v>0.2</v>
      </c>
      <c r="T1066" s="21">
        <v>270</v>
      </c>
      <c r="U1066" s="44" t="s">
        <v>371</v>
      </c>
      <c r="V1066" s="22">
        <v>45995</v>
      </c>
      <c r="W1066" s="54" t="s">
        <v>91</v>
      </c>
      <c r="X1066" s="23"/>
      <c r="Y1066" s="23" t="s">
        <v>92</v>
      </c>
      <c r="Z1066" s="56"/>
      <c r="AA1066" s="24">
        <v>865225</v>
      </c>
      <c r="AB1066" s="19"/>
      <c r="AC1066" s="46" t="s">
        <v>94</v>
      </c>
      <c r="AD1066" s="15" t="str">
        <f ca="1">IF(AND($D1066&lt;&gt;"",COUNTIF(OFFSET(UFS!$E$2,MATCH($D1066&amp;"",UFS!$A$2:$A$175,0)-1,0,COUNTIF(UFS!$A$2:$A$175,$D1066&amp;""),1),M1066)&gt;0),"Valide","Invalide")</f>
        <v>Valide</v>
      </c>
      <c r="AH1066" s="15" t="str">
        <f t="shared" si="16"/>
        <v>En attente</v>
      </c>
    </row>
    <row r="1067" spans="1:34" s="15" customFormat="1" ht="45" hidden="1" customHeight="1" x14ac:dyDescent="0.3">
      <c r="A1067" s="42">
        <v>1068</v>
      </c>
      <c r="B1067" s="19" t="s">
        <v>20</v>
      </c>
      <c r="C1067" s="19" t="s">
        <v>37</v>
      </c>
      <c r="D1067" s="20" t="s">
        <v>260</v>
      </c>
      <c r="E1067" s="20" t="s">
        <v>79</v>
      </c>
      <c r="F1067" s="21" t="s">
        <v>80</v>
      </c>
      <c r="G1067" s="38" t="s">
        <v>241</v>
      </c>
      <c r="H1067" s="39" t="s">
        <v>367</v>
      </c>
      <c r="I1067" s="39" t="s">
        <v>368</v>
      </c>
      <c r="J1067" s="21" t="s">
        <v>84</v>
      </c>
      <c r="K1067" s="21" t="s">
        <v>113</v>
      </c>
      <c r="L1067" s="21" t="s">
        <v>86</v>
      </c>
      <c r="M1067" s="21" t="s">
        <v>109</v>
      </c>
      <c r="N1067" s="21" t="s">
        <v>109</v>
      </c>
      <c r="O1067" s="20" t="s">
        <v>3618</v>
      </c>
      <c r="P1067" s="45">
        <v>45987</v>
      </c>
      <c r="Q1067" s="39" t="s">
        <v>3619</v>
      </c>
      <c r="R1067" s="19">
        <v>247.5</v>
      </c>
      <c r="S1067" s="21">
        <v>0.1</v>
      </c>
      <c r="T1067" s="21">
        <v>272.25</v>
      </c>
      <c r="U1067" s="44" t="s">
        <v>371</v>
      </c>
      <c r="V1067" s="22">
        <v>45995</v>
      </c>
      <c r="W1067" s="54" t="s">
        <v>91</v>
      </c>
      <c r="X1067" s="23"/>
      <c r="Y1067" s="23" t="s">
        <v>92</v>
      </c>
      <c r="Z1067" s="56"/>
      <c r="AA1067" s="24">
        <v>865230</v>
      </c>
      <c r="AB1067" s="19"/>
      <c r="AC1067" s="46" t="s">
        <v>94</v>
      </c>
      <c r="AD1067" s="15" t="str">
        <f ca="1">IF(AND($D1067&lt;&gt;"",COUNTIF(OFFSET(UFS!$E$2,MATCH($D1067&amp;"",UFS!$A$2:$A$175,0)-1,0,COUNTIF(UFS!$A$2:$A$175,$D1067&amp;""),1),M1067)&gt;0),"Valide","Invalide")</f>
        <v>Valide</v>
      </c>
      <c r="AH1067" s="15" t="str">
        <f t="shared" si="16"/>
        <v>En attente</v>
      </c>
    </row>
    <row r="1068" spans="1:34" s="15" customFormat="1" ht="45" customHeight="1" x14ac:dyDescent="0.3">
      <c r="A1068" s="42">
        <v>1069</v>
      </c>
      <c r="B1068" s="19" t="s">
        <v>24</v>
      </c>
      <c r="C1068" s="19" t="s">
        <v>15</v>
      </c>
      <c r="D1068" s="20" t="s">
        <v>3620</v>
      </c>
      <c r="E1068" s="20" t="s">
        <v>79</v>
      </c>
      <c r="F1068" s="21" t="s">
        <v>80</v>
      </c>
      <c r="G1068" s="38" t="s">
        <v>182</v>
      </c>
      <c r="H1068" s="39" t="s">
        <v>139</v>
      </c>
      <c r="I1068" s="39" t="s">
        <v>83</v>
      </c>
      <c r="J1068" s="21" t="s">
        <v>3621</v>
      </c>
      <c r="K1068" s="21" t="s">
        <v>3622</v>
      </c>
      <c r="L1068" s="21" t="s">
        <v>246</v>
      </c>
      <c r="M1068" s="21" t="s">
        <v>637</v>
      </c>
      <c r="N1068" s="21" t="s">
        <v>151</v>
      </c>
      <c r="O1068" s="20" t="s">
        <v>3623</v>
      </c>
      <c r="P1068" s="45">
        <v>45979</v>
      </c>
      <c r="Q1068" s="39" t="s">
        <v>3624</v>
      </c>
      <c r="R1068" s="19">
        <v>3402.72</v>
      </c>
      <c r="S1068" s="21">
        <v>0.2</v>
      </c>
      <c r="T1068" s="21">
        <v>4083.2639999999997</v>
      </c>
      <c r="U1068" s="44" t="s">
        <v>3625</v>
      </c>
      <c r="V1068" s="22">
        <v>45995</v>
      </c>
      <c r="W1068" s="54" t="s">
        <v>91</v>
      </c>
      <c r="X1068" s="23"/>
      <c r="Y1068" s="23" t="s">
        <v>92</v>
      </c>
      <c r="Z1068" s="56"/>
      <c r="AA1068" s="24">
        <v>865142</v>
      </c>
      <c r="AB1068" s="47">
        <v>45662</v>
      </c>
      <c r="AC1068" s="46" t="s">
        <v>94</v>
      </c>
      <c r="AD1068" s="15" t="str">
        <f ca="1">IF(AND($D1068&lt;&gt;"",COUNTIF(OFFSET(UFS!$E$2,MATCH($D1068&amp;"",UFS!$A$2:$A$175,0)-1,0,COUNTIF(UFS!$A$2:$A$175,$D1068&amp;""),1),M1068)&gt;0),"Valide","Invalide")</f>
        <v>Valide</v>
      </c>
      <c r="AH1068" s="15" t="str">
        <f t="shared" si="16"/>
        <v>En attente</v>
      </c>
    </row>
    <row r="1069" spans="1:34" s="15" customFormat="1" ht="45" hidden="1" customHeight="1" x14ac:dyDescent="0.3">
      <c r="A1069" s="42">
        <v>1070</v>
      </c>
      <c r="B1069" s="19" t="s">
        <v>10</v>
      </c>
      <c r="C1069" s="19" t="s">
        <v>3626</v>
      </c>
      <c r="D1069" s="20"/>
      <c r="E1069" s="20" t="s">
        <v>96</v>
      </c>
      <c r="F1069" s="21"/>
      <c r="G1069" s="38"/>
      <c r="H1069" s="39"/>
      <c r="I1069" s="39"/>
      <c r="J1069" s="21"/>
      <c r="K1069" s="21"/>
      <c r="L1069" s="21"/>
      <c r="M1069" s="21"/>
      <c r="N1069" s="21"/>
      <c r="O1069" s="20" t="s">
        <v>3627</v>
      </c>
      <c r="P1069" s="45">
        <v>45998</v>
      </c>
      <c r="Q1069" s="39" t="s">
        <v>3628</v>
      </c>
      <c r="R1069" s="19">
        <v>6300</v>
      </c>
      <c r="S1069" s="21"/>
      <c r="T1069" s="21">
        <v>6300</v>
      </c>
      <c r="U1069" s="44" t="s">
        <v>3629</v>
      </c>
      <c r="V1069" s="22">
        <v>45998</v>
      </c>
      <c r="W1069" s="54" t="s">
        <v>91</v>
      </c>
      <c r="X1069" s="23"/>
      <c r="Y1069" s="23" t="s">
        <v>92</v>
      </c>
      <c r="Z1069" s="79" t="s">
        <v>3630</v>
      </c>
      <c r="AA1069" s="24">
        <v>865690</v>
      </c>
      <c r="AB1069" s="19"/>
      <c r="AC1069" s="19"/>
      <c r="AD1069" s="15" t="e">
        <f ca="1">IF(AND($D1069&lt;&gt;"",COUNTIF(OFFSET(UFS!$E$2,MATCH($D1069&amp;"",UFS!$A$2:$A$175,0)-1,0,COUNTIF(UFS!$A$2:$A$175,$D1069&amp;""),1),M1069)&gt;0),"Valide","Invalide")</f>
        <v>#N/A</v>
      </c>
      <c r="AH1069" s="15" t="str">
        <f t="shared" si="16"/>
        <v>En attente</v>
      </c>
    </row>
    <row r="1070" spans="1:34" s="15" customFormat="1" ht="45" customHeight="1" x14ac:dyDescent="0.3">
      <c r="A1070" s="42">
        <v>1071</v>
      </c>
      <c r="B1070" s="19" t="s">
        <v>24</v>
      </c>
      <c r="C1070" s="19" t="s">
        <v>25</v>
      </c>
      <c r="D1070" s="20" t="s">
        <v>1726</v>
      </c>
      <c r="E1070" s="20" t="s">
        <v>79</v>
      </c>
      <c r="F1070" s="21" t="s">
        <v>80</v>
      </c>
      <c r="G1070" s="38" t="s">
        <v>81</v>
      </c>
      <c r="H1070" s="39" t="s">
        <v>82</v>
      </c>
      <c r="I1070" s="39"/>
      <c r="J1070" s="21" t="s">
        <v>124</v>
      </c>
      <c r="K1070" s="21" t="s">
        <v>235</v>
      </c>
      <c r="L1070" s="21" t="s">
        <v>246</v>
      </c>
      <c r="M1070" s="21" t="s">
        <v>284</v>
      </c>
      <c r="N1070" s="21" t="s">
        <v>1727</v>
      </c>
      <c r="O1070" s="20" t="s">
        <v>3631</v>
      </c>
      <c r="P1070" s="45">
        <v>45996</v>
      </c>
      <c r="Q1070" s="39" t="s">
        <v>3632</v>
      </c>
      <c r="R1070" s="19">
        <v>4280.2299999999996</v>
      </c>
      <c r="S1070" s="21">
        <v>0.2</v>
      </c>
      <c r="T1070" s="21">
        <v>5136.2759999999998</v>
      </c>
      <c r="U1070" s="44" t="s">
        <v>3633</v>
      </c>
      <c r="V1070" s="22">
        <v>45999</v>
      </c>
      <c r="W1070" s="54" t="s">
        <v>91</v>
      </c>
      <c r="X1070" s="23"/>
      <c r="Y1070" s="23"/>
      <c r="Z1070" s="56"/>
      <c r="AA1070" s="24"/>
      <c r="AB1070" s="47">
        <v>45703</v>
      </c>
      <c r="AC1070" s="49" t="s">
        <v>161</v>
      </c>
      <c r="AD1070" s="15" t="str">
        <f ca="1">IF(AND($D1070&lt;&gt;"",COUNTIF(OFFSET(UFS!$E$2,MATCH($D1070&amp;"",UFS!$A$2:$A$175,0)-1,0,COUNTIF(UFS!$A$2:$A$175,$D1070&amp;""),1),M1070)&gt;0),"Valide","Invalide")</f>
        <v>Valide</v>
      </c>
      <c r="AH1070" s="15" t="str">
        <f t="shared" si="16"/>
        <v>En attente</v>
      </c>
    </row>
    <row r="1071" spans="1:34" s="15" customFormat="1" ht="45" hidden="1" customHeight="1" x14ac:dyDescent="0.3">
      <c r="A1071" s="42">
        <v>1072</v>
      </c>
      <c r="B1071" s="19" t="s">
        <v>709</v>
      </c>
      <c r="C1071" s="19" t="s">
        <v>23</v>
      </c>
      <c r="D1071" s="20" t="s">
        <v>3634</v>
      </c>
      <c r="E1071" s="20" t="s">
        <v>79</v>
      </c>
      <c r="F1071" s="21" t="s">
        <v>80</v>
      </c>
      <c r="G1071" s="38" t="s">
        <v>241</v>
      </c>
      <c r="H1071" s="39" t="s">
        <v>643</v>
      </c>
      <c r="I1071" s="39" t="s">
        <v>644</v>
      </c>
      <c r="J1071" s="21" t="s">
        <v>3635</v>
      </c>
      <c r="K1071" s="21" t="s">
        <v>1298</v>
      </c>
      <c r="L1071" s="21" t="s">
        <v>203</v>
      </c>
      <c r="M1071" s="21" t="s">
        <v>1298</v>
      </c>
      <c r="N1071" s="21" t="s">
        <v>2381</v>
      </c>
      <c r="O1071" s="20" t="s">
        <v>3636</v>
      </c>
      <c r="P1071" s="45">
        <v>45999</v>
      </c>
      <c r="Q1071" s="39" t="s">
        <v>3637</v>
      </c>
      <c r="R1071" s="19" t="s">
        <v>3638</v>
      </c>
      <c r="S1071" s="21">
        <v>0.2</v>
      </c>
      <c r="T1071" s="21" t="s">
        <v>3639</v>
      </c>
      <c r="U1071" s="60" t="s">
        <v>3640</v>
      </c>
      <c r="V1071" s="22">
        <v>46000</v>
      </c>
      <c r="W1071" s="54" t="s">
        <v>91</v>
      </c>
      <c r="X1071" s="23"/>
      <c r="Y1071" s="23"/>
      <c r="Z1071" s="56"/>
      <c r="AA1071" s="24"/>
      <c r="AB1071" s="19"/>
      <c r="AC1071" s="19"/>
      <c r="AD1071" s="15" t="str">
        <f ca="1">IF(AND($D1071&lt;&gt;"",COUNTIF(OFFSET(UFS!$E$2,MATCH($D1071&amp;"",UFS!$A$2:$A$175,0)-1,0,COUNTIF(UFS!$A$2:$A$175,$D1071&amp;""),1),M1071)&gt;0),"Valide","Invalide")</f>
        <v>Invalide</v>
      </c>
      <c r="AH1071" s="15" t="str">
        <f t="shared" si="16"/>
        <v>En attente</v>
      </c>
    </row>
    <row r="1072" spans="1:34" s="15" customFormat="1" ht="45" customHeight="1" x14ac:dyDescent="0.3">
      <c r="A1072" s="42">
        <v>1073</v>
      </c>
      <c r="B1072" s="19" t="s">
        <v>24</v>
      </c>
      <c r="C1072" s="19"/>
      <c r="D1072" s="20"/>
      <c r="E1072" s="20"/>
      <c r="F1072" s="21"/>
      <c r="G1072" s="38"/>
      <c r="H1072" s="39"/>
      <c r="I1072" s="39"/>
      <c r="J1072" s="21"/>
      <c r="K1072" s="21"/>
      <c r="L1072" s="21"/>
      <c r="M1072" s="21"/>
      <c r="N1072" s="21"/>
      <c r="O1072" s="20"/>
      <c r="P1072" s="19"/>
      <c r="Q1072" s="39"/>
      <c r="R1072" s="19"/>
      <c r="S1072" s="21"/>
      <c r="T1072" s="21"/>
      <c r="U1072" s="60"/>
      <c r="V1072" s="21"/>
      <c r="W1072" s="54"/>
      <c r="X1072" s="23"/>
      <c r="Y1072" s="23"/>
      <c r="Z1072" s="56"/>
      <c r="AA1072" s="24"/>
      <c r="AB1072" s="19"/>
      <c r="AC1072" s="19"/>
      <c r="AD1072" s="15" t="e">
        <f ca="1">IF(AND($D1072&lt;&gt;"",COUNTIF(OFFSET(UFS!$E$2,MATCH($D1072&amp;"",UFS!$A$2:$A$175,0)-1,0,COUNTIF(UFS!$A$2:$A$175,$D1072&amp;""),1),M1072)&gt;0),"Valide","Invalide")</f>
        <v>#N/A</v>
      </c>
      <c r="AH1072" s="15" t="str">
        <f t="shared" si="16"/>
        <v/>
      </c>
    </row>
    <row r="1073" spans="1:34" s="15" customFormat="1" ht="45" hidden="1" customHeight="1" x14ac:dyDescent="0.3">
      <c r="A1073" s="42">
        <v>1074</v>
      </c>
      <c r="B1073" s="19" t="s">
        <v>26</v>
      </c>
      <c r="C1073" s="19" t="s">
        <v>30</v>
      </c>
      <c r="D1073" s="20" t="s">
        <v>1076</v>
      </c>
      <c r="E1073" s="20" t="s">
        <v>96</v>
      </c>
      <c r="F1073" s="21" t="s">
        <v>80</v>
      </c>
      <c r="G1073" s="38" t="s">
        <v>169</v>
      </c>
      <c r="H1073" s="39"/>
      <c r="I1073" s="39"/>
      <c r="J1073" s="21" t="s">
        <v>144</v>
      </c>
      <c r="K1073" s="21" t="s">
        <v>145</v>
      </c>
      <c r="L1073" s="21" t="s">
        <v>120</v>
      </c>
      <c r="M1073" s="21" t="s">
        <v>1077</v>
      </c>
      <c r="N1073" s="21" t="s">
        <v>165</v>
      </c>
      <c r="O1073" s="20"/>
      <c r="P1073" s="19"/>
      <c r="Q1073" s="39"/>
      <c r="R1073" s="19"/>
      <c r="S1073" s="21">
        <v>0.2</v>
      </c>
      <c r="T1073" s="21"/>
      <c r="U1073" s="39"/>
      <c r="V1073" s="21"/>
      <c r="W1073" s="54"/>
      <c r="X1073" s="23"/>
      <c r="Y1073" s="23"/>
      <c r="Z1073" s="56"/>
      <c r="AA1073" s="24"/>
      <c r="AB1073" s="19"/>
      <c r="AC1073" s="19"/>
      <c r="AD1073" s="15" t="str">
        <f ca="1">IF(AND($D1073&lt;&gt;"",COUNTIF(OFFSET(UFS!$E$2,MATCH($D1073&amp;"",UFS!$A$2:$A$175,0)-1,0,COUNTIF(UFS!$A$2:$A$175,$D1073&amp;""),1),M1073)&gt;0),"Valide","Invalide")</f>
        <v>Valide</v>
      </c>
      <c r="AH1073" s="15" t="str">
        <f t="shared" si="16"/>
        <v/>
      </c>
    </row>
    <row r="1074" spans="1:34" s="15" customFormat="1" ht="45" hidden="1" customHeight="1" x14ac:dyDescent="0.3">
      <c r="A1074" s="42">
        <v>1075</v>
      </c>
      <c r="B1074" s="19" t="s">
        <v>14</v>
      </c>
      <c r="C1074" s="19" t="s">
        <v>13</v>
      </c>
      <c r="D1074" s="20" t="s">
        <v>200</v>
      </c>
      <c r="E1074" s="20" t="s">
        <v>96</v>
      </c>
      <c r="F1074" s="21" t="s">
        <v>80</v>
      </c>
      <c r="G1074" s="38" t="s">
        <v>681</v>
      </c>
      <c r="H1074" s="39"/>
      <c r="I1074" s="39" t="s">
        <v>682</v>
      </c>
      <c r="J1074" s="21" t="s">
        <v>144</v>
      </c>
      <c r="K1074" s="21" t="s">
        <v>145</v>
      </c>
      <c r="L1074" s="21" t="s">
        <v>203</v>
      </c>
      <c r="M1074" s="21" t="s">
        <v>109</v>
      </c>
      <c r="N1074" s="21" t="s">
        <v>109</v>
      </c>
      <c r="O1074" s="20" t="s">
        <v>3641</v>
      </c>
      <c r="P1074" s="45">
        <v>46000</v>
      </c>
      <c r="Q1074" s="39" t="s">
        <v>3642</v>
      </c>
      <c r="R1074" s="19">
        <v>8120.04</v>
      </c>
      <c r="S1074" s="21">
        <v>0.2</v>
      </c>
      <c r="T1074" s="21">
        <v>9744.0480000000007</v>
      </c>
      <c r="U1074" s="60" t="s">
        <v>3643</v>
      </c>
      <c r="V1074" s="22">
        <v>46001</v>
      </c>
      <c r="W1074" s="54" t="s">
        <v>91</v>
      </c>
      <c r="X1074" s="23"/>
      <c r="Y1074" s="23" t="s">
        <v>92</v>
      </c>
      <c r="Z1074" s="56"/>
      <c r="AA1074" s="24">
        <v>866341</v>
      </c>
      <c r="AB1074" s="45">
        <v>45662</v>
      </c>
      <c r="AC1074" s="19"/>
      <c r="AD1074" s="15" t="e">
        <f ca="1">IF(AND($D1074&lt;&gt;"",COUNTIF(OFFSET(UFS!$E$2,MATCH($D1074&amp;"",UFS!$A$2:$A$175,0)-1,0,COUNTIF(UFS!$A$2:$A$175,$D1074&amp;""),1),M1074)&gt;0),"Valide","Invalide")</f>
        <v>#N/A</v>
      </c>
      <c r="AH1074" s="15" t="str">
        <f t="shared" si="16"/>
        <v>En attente</v>
      </c>
    </row>
    <row r="1075" spans="1:34" s="15" customFormat="1" ht="45" hidden="1" customHeight="1" x14ac:dyDescent="0.3">
      <c r="A1075" s="42">
        <v>1076</v>
      </c>
      <c r="B1075" s="19" t="s">
        <v>24</v>
      </c>
      <c r="C1075" s="19" t="s">
        <v>35</v>
      </c>
      <c r="D1075" s="20" t="s">
        <v>123</v>
      </c>
      <c r="E1075" s="20" t="s">
        <v>79</v>
      </c>
      <c r="F1075" s="21" t="s">
        <v>80</v>
      </c>
      <c r="G1075" s="38" t="s">
        <v>81</v>
      </c>
      <c r="H1075" s="39" t="s">
        <v>215</v>
      </c>
      <c r="I1075" s="39" t="s">
        <v>83</v>
      </c>
      <c r="J1075" s="21" t="s">
        <v>124</v>
      </c>
      <c r="K1075" s="21" t="s">
        <v>125</v>
      </c>
      <c r="L1075" s="21" t="s">
        <v>126</v>
      </c>
      <c r="M1075" s="21" t="s">
        <v>109</v>
      </c>
      <c r="N1075" s="21" t="s">
        <v>109</v>
      </c>
      <c r="O1075" s="20" t="s">
        <v>3644</v>
      </c>
      <c r="P1075" s="45">
        <v>46001</v>
      </c>
      <c r="Q1075" s="39" t="s">
        <v>3645</v>
      </c>
      <c r="R1075" s="19">
        <v>218.19</v>
      </c>
      <c r="S1075" s="21">
        <v>0.1</v>
      </c>
      <c r="T1075" s="21">
        <v>240.00899999999999</v>
      </c>
      <c r="U1075" s="60" t="s">
        <v>3646</v>
      </c>
      <c r="V1075" s="22">
        <v>46001</v>
      </c>
      <c r="W1075" s="54" t="s">
        <v>91</v>
      </c>
      <c r="X1075" s="23"/>
      <c r="Y1075" s="23" t="s">
        <v>92</v>
      </c>
      <c r="Z1075" s="56" t="s">
        <v>928</v>
      </c>
      <c r="AA1075" s="24">
        <v>865992</v>
      </c>
      <c r="AB1075" s="47">
        <v>46008</v>
      </c>
      <c r="AC1075" s="46" t="s">
        <v>94</v>
      </c>
      <c r="AD1075" s="15" t="str">
        <f ca="1">IF(AND($D1075&lt;&gt;"",COUNTIF(OFFSET(UFS!$E$2,MATCH($D1075&amp;"",UFS!$A$2:$A$175,0)-1,0,COUNTIF(UFS!$A$2:$A$175,$D1075&amp;""),1),M1075)&gt;0),"Valide","Invalide")</f>
        <v>Valide</v>
      </c>
      <c r="AH1075" s="15" t="str">
        <f t="shared" si="16"/>
        <v>En attente</v>
      </c>
    </row>
    <row r="1076" spans="1:34" s="15" customFormat="1" ht="45" hidden="1" customHeight="1" x14ac:dyDescent="0.3">
      <c r="A1076" s="42">
        <v>1077</v>
      </c>
      <c r="B1076" s="19" t="s">
        <v>6</v>
      </c>
      <c r="C1076" s="19" t="s">
        <v>21</v>
      </c>
      <c r="D1076" s="20" t="s">
        <v>587</v>
      </c>
      <c r="E1076" s="20" t="s">
        <v>853</v>
      </c>
      <c r="F1076" s="21" t="s">
        <v>80</v>
      </c>
      <c r="G1076" s="38" t="s">
        <v>854</v>
      </c>
      <c r="H1076" s="39" t="s">
        <v>534</v>
      </c>
      <c r="I1076" s="39"/>
      <c r="J1076" s="21" t="s">
        <v>144</v>
      </c>
      <c r="K1076" s="21" t="s">
        <v>145</v>
      </c>
      <c r="L1076" s="21" t="s">
        <v>203</v>
      </c>
      <c r="M1076" s="21" t="s">
        <v>589</v>
      </c>
      <c r="N1076" s="21" t="s">
        <v>589</v>
      </c>
      <c r="O1076" s="20" t="s">
        <v>3647</v>
      </c>
      <c r="P1076" s="45">
        <v>45993</v>
      </c>
      <c r="Q1076" s="39" t="s">
        <v>3648</v>
      </c>
      <c r="R1076" s="19">
        <v>605</v>
      </c>
      <c r="S1076" s="21">
        <v>0.2</v>
      </c>
      <c r="T1076" s="21">
        <v>726</v>
      </c>
      <c r="U1076" s="60" t="s">
        <v>3649</v>
      </c>
      <c r="V1076" s="22">
        <v>46001</v>
      </c>
      <c r="W1076" s="54" t="s">
        <v>91</v>
      </c>
      <c r="X1076" s="23"/>
      <c r="Y1076" s="23" t="s">
        <v>347</v>
      </c>
      <c r="Z1076" s="56"/>
      <c r="AA1076" s="24"/>
      <c r="AB1076" s="19"/>
      <c r="AC1076" s="19"/>
      <c r="AD1076" s="15" t="str">
        <f ca="1">IF(AND($D1076&lt;&gt;"",COUNTIF(OFFSET(UFS!$E$2,MATCH($D1076&amp;"",UFS!$A$2:$A$175,0)-1,0,COUNTIF(UFS!$A$2:$A$175,$D1076&amp;""),1),M1076)&gt;0),"Valide","Invalide")</f>
        <v>Valide</v>
      </c>
      <c r="AH1076" s="15" t="str">
        <f t="shared" si="16"/>
        <v>En attente</v>
      </c>
    </row>
    <row r="1077" spans="1:34" s="15" customFormat="1" ht="45" hidden="1" customHeight="1" x14ac:dyDescent="0.3">
      <c r="A1077" s="42">
        <v>1078</v>
      </c>
      <c r="B1077" s="19" t="s">
        <v>6</v>
      </c>
      <c r="C1077" s="19" t="s">
        <v>21</v>
      </c>
      <c r="D1077" s="20" t="s">
        <v>587</v>
      </c>
      <c r="E1077" s="20" t="s">
        <v>853</v>
      </c>
      <c r="F1077" s="21" t="s">
        <v>80</v>
      </c>
      <c r="G1077" s="38" t="s">
        <v>854</v>
      </c>
      <c r="H1077" s="39" t="s">
        <v>534</v>
      </c>
      <c r="I1077" s="39"/>
      <c r="J1077" s="21" t="s">
        <v>144</v>
      </c>
      <c r="K1077" s="21" t="s">
        <v>145</v>
      </c>
      <c r="L1077" s="21" t="s">
        <v>203</v>
      </c>
      <c r="M1077" s="21" t="s">
        <v>589</v>
      </c>
      <c r="N1077" s="21" t="s">
        <v>589</v>
      </c>
      <c r="O1077" s="20" t="s">
        <v>3650</v>
      </c>
      <c r="P1077" s="45">
        <v>45993</v>
      </c>
      <c r="Q1077" s="39" t="s">
        <v>3651</v>
      </c>
      <c r="R1077" s="19">
        <v>338.8</v>
      </c>
      <c r="S1077" s="21">
        <v>0.2</v>
      </c>
      <c r="T1077" s="21">
        <v>406.56</v>
      </c>
      <c r="U1077" s="44" t="s">
        <v>3652</v>
      </c>
      <c r="V1077" s="22">
        <v>46001</v>
      </c>
      <c r="W1077" s="54" t="s">
        <v>91</v>
      </c>
      <c r="X1077" s="23"/>
      <c r="Y1077" s="23" t="s">
        <v>347</v>
      </c>
      <c r="Z1077" s="56"/>
      <c r="AA1077" s="24"/>
      <c r="AB1077" s="19"/>
      <c r="AC1077" s="19"/>
      <c r="AD1077" s="15" t="str">
        <f ca="1">IF(AND($D1077&lt;&gt;"",COUNTIF(OFFSET(UFS!$E$2,MATCH($D1077&amp;"",UFS!$A$2:$A$175,0)-1,0,COUNTIF(UFS!$A$2:$A$175,$D1077&amp;""),1),M1077)&gt;0),"Valide","Invalide")</f>
        <v>Valide</v>
      </c>
      <c r="AH1077" s="15" t="str">
        <f t="shared" si="16"/>
        <v>En attente</v>
      </c>
    </row>
    <row r="1078" spans="1:34" s="15" customFormat="1" ht="45" hidden="1" customHeight="1" x14ac:dyDescent="0.3">
      <c r="A1078" s="42">
        <v>1079</v>
      </c>
      <c r="B1078" s="19" t="s">
        <v>6</v>
      </c>
      <c r="C1078" s="19" t="s">
        <v>21</v>
      </c>
      <c r="D1078" s="20" t="s">
        <v>587</v>
      </c>
      <c r="E1078" s="20" t="s">
        <v>79</v>
      </c>
      <c r="F1078" s="21" t="s">
        <v>80</v>
      </c>
      <c r="G1078" s="38" t="s">
        <v>533</v>
      </c>
      <c r="H1078" s="39" t="s">
        <v>534</v>
      </c>
      <c r="I1078" s="39" t="s">
        <v>535</v>
      </c>
      <c r="J1078" s="21" t="s">
        <v>144</v>
      </c>
      <c r="K1078" s="21" t="s">
        <v>145</v>
      </c>
      <c r="L1078" s="21" t="s">
        <v>203</v>
      </c>
      <c r="M1078" s="21" t="s">
        <v>589</v>
      </c>
      <c r="N1078" s="21" t="s">
        <v>589</v>
      </c>
      <c r="O1078" s="20" t="s">
        <v>3653</v>
      </c>
      <c r="P1078" s="45">
        <v>45993</v>
      </c>
      <c r="Q1078" s="39" t="s">
        <v>3654</v>
      </c>
      <c r="R1078" s="19">
        <v>1604.5</v>
      </c>
      <c r="S1078" s="21">
        <v>0.2</v>
      </c>
      <c r="T1078" s="21">
        <v>1925.4</v>
      </c>
      <c r="U1078" s="44" t="s">
        <v>3655</v>
      </c>
      <c r="V1078" s="22">
        <v>46001</v>
      </c>
      <c r="W1078" s="54" t="s">
        <v>91</v>
      </c>
      <c r="X1078" s="23"/>
      <c r="Y1078" s="23" t="s">
        <v>347</v>
      </c>
      <c r="Z1078" s="56"/>
      <c r="AA1078" s="24"/>
      <c r="AB1078" s="19"/>
      <c r="AC1078" s="19"/>
      <c r="AD1078" s="15" t="str">
        <f ca="1">IF(AND($D1078&lt;&gt;"",COUNTIF(OFFSET(UFS!$E$2,MATCH($D1078&amp;"",UFS!$A$2:$A$175,0)-1,0,COUNTIF(UFS!$A$2:$A$175,$D1078&amp;""),1),M1078)&gt;0),"Valide","Invalide")</f>
        <v>Valide</v>
      </c>
      <c r="AH1078" s="15" t="str">
        <f t="shared" si="16"/>
        <v>En attente</v>
      </c>
    </row>
    <row r="1079" spans="1:34" s="15" customFormat="1" ht="45" hidden="1" customHeight="1" x14ac:dyDescent="0.3">
      <c r="A1079" s="42">
        <v>1080</v>
      </c>
      <c r="B1079" s="19" t="s">
        <v>6</v>
      </c>
      <c r="C1079" s="19" t="s">
        <v>21</v>
      </c>
      <c r="D1079" s="20" t="s">
        <v>587</v>
      </c>
      <c r="E1079" s="20" t="s">
        <v>79</v>
      </c>
      <c r="F1079" s="21" t="s">
        <v>80</v>
      </c>
      <c r="G1079" s="38" t="s">
        <v>533</v>
      </c>
      <c r="H1079" s="39" t="s">
        <v>534</v>
      </c>
      <c r="I1079" s="39" t="s">
        <v>535</v>
      </c>
      <c r="J1079" s="21" t="s">
        <v>144</v>
      </c>
      <c r="K1079" s="21" t="s">
        <v>145</v>
      </c>
      <c r="L1079" s="21" t="s">
        <v>203</v>
      </c>
      <c r="M1079" s="21" t="s">
        <v>589</v>
      </c>
      <c r="N1079" s="21" t="s">
        <v>589</v>
      </c>
      <c r="O1079" s="20" t="s">
        <v>3656</v>
      </c>
      <c r="P1079" s="45">
        <v>45993</v>
      </c>
      <c r="Q1079" s="39" t="s">
        <v>3657</v>
      </c>
      <c r="R1079" s="19">
        <v>1408.7</v>
      </c>
      <c r="S1079" s="21">
        <v>0.2</v>
      </c>
      <c r="T1079" s="21">
        <v>1690.44</v>
      </c>
      <c r="U1079" s="44" t="s">
        <v>3658</v>
      </c>
      <c r="V1079" s="22">
        <v>46001</v>
      </c>
      <c r="W1079" s="54" t="s">
        <v>91</v>
      </c>
      <c r="X1079" s="23"/>
      <c r="Y1079" s="23" t="s">
        <v>347</v>
      </c>
      <c r="Z1079" s="56"/>
      <c r="AA1079" s="24"/>
      <c r="AB1079" s="19"/>
      <c r="AC1079" s="19"/>
      <c r="AD1079" s="15" t="str">
        <f ca="1">IF(AND($D1079&lt;&gt;"",COUNTIF(OFFSET(UFS!$E$2,MATCH($D1079&amp;"",UFS!$A$2:$A$175,0)-1,0,COUNTIF(UFS!$A$2:$A$175,$D1079&amp;""),1),M1079)&gt;0),"Valide","Invalide")</f>
        <v>Valide</v>
      </c>
      <c r="AH1079" s="15" t="str">
        <f t="shared" si="16"/>
        <v>En attente</v>
      </c>
    </row>
    <row r="1080" spans="1:34" s="15" customFormat="1" ht="45" hidden="1" customHeight="1" x14ac:dyDescent="0.3">
      <c r="A1080" s="42">
        <v>1081</v>
      </c>
      <c r="B1080" s="19" t="s">
        <v>6</v>
      </c>
      <c r="C1080" s="19" t="s">
        <v>34</v>
      </c>
      <c r="D1080" s="20" t="s">
        <v>587</v>
      </c>
      <c r="E1080" s="20" t="s">
        <v>79</v>
      </c>
      <c r="F1080" s="21" t="s">
        <v>80</v>
      </c>
      <c r="G1080" s="38" t="s">
        <v>81</v>
      </c>
      <c r="H1080" s="39" t="s">
        <v>267</v>
      </c>
      <c r="I1080" s="39" t="s">
        <v>83</v>
      </c>
      <c r="J1080" s="21" t="s">
        <v>144</v>
      </c>
      <c r="K1080" s="21" t="s">
        <v>145</v>
      </c>
      <c r="L1080" s="21" t="s">
        <v>203</v>
      </c>
      <c r="M1080" s="21" t="s">
        <v>589</v>
      </c>
      <c r="N1080" s="21" t="s">
        <v>589</v>
      </c>
      <c r="O1080" s="20" t="s">
        <v>3659</v>
      </c>
      <c r="P1080" s="45">
        <v>45989</v>
      </c>
      <c r="Q1080" s="39" t="s">
        <v>3660</v>
      </c>
      <c r="R1080" s="19">
        <v>19666.48</v>
      </c>
      <c r="S1080" s="21">
        <v>0.2</v>
      </c>
      <c r="T1080" s="21">
        <v>23599.775999999998</v>
      </c>
      <c r="U1080" s="44" t="s">
        <v>3661</v>
      </c>
      <c r="V1080" s="22">
        <v>46001</v>
      </c>
      <c r="W1080" s="54" t="s">
        <v>91</v>
      </c>
      <c r="X1080" s="23"/>
      <c r="Y1080" s="23" t="s">
        <v>92</v>
      </c>
      <c r="Z1080" s="56" t="s">
        <v>446</v>
      </c>
      <c r="AA1080" s="24">
        <v>865997</v>
      </c>
      <c r="AB1080" s="19"/>
      <c r="AC1080" s="19"/>
      <c r="AD1080" s="15" t="str">
        <f ca="1">IF(AND($D1080&lt;&gt;"",COUNTIF(OFFSET(UFS!$E$2,MATCH($D1080&amp;"",UFS!$A$2:$A$175,0)-1,0,COUNTIF(UFS!$A$2:$A$175,$D1080&amp;""),1),M1080)&gt;0),"Valide","Invalide")</f>
        <v>Valide</v>
      </c>
      <c r="AH1080" s="15" t="str">
        <f t="shared" si="16"/>
        <v>En attente</v>
      </c>
    </row>
    <row r="1081" spans="1:34" s="15" customFormat="1" ht="45" hidden="1" customHeight="1" x14ac:dyDescent="0.3">
      <c r="A1081" s="42">
        <v>1082</v>
      </c>
      <c r="B1081" s="19" t="s">
        <v>0</v>
      </c>
      <c r="C1081" s="19" t="s">
        <v>34</v>
      </c>
      <c r="D1081" s="20" t="s">
        <v>587</v>
      </c>
      <c r="E1081" s="20" t="s">
        <v>79</v>
      </c>
      <c r="F1081" s="21" t="s">
        <v>80</v>
      </c>
      <c r="G1081" s="38" t="s">
        <v>81</v>
      </c>
      <c r="H1081" s="39" t="s">
        <v>267</v>
      </c>
      <c r="I1081" s="39" t="s">
        <v>83</v>
      </c>
      <c r="J1081" s="21" t="s">
        <v>144</v>
      </c>
      <c r="K1081" s="21" t="s">
        <v>145</v>
      </c>
      <c r="L1081" s="21" t="s">
        <v>203</v>
      </c>
      <c r="M1081" s="21" t="s">
        <v>589</v>
      </c>
      <c r="N1081" s="21" t="s">
        <v>589</v>
      </c>
      <c r="O1081" s="20" t="s">
        <v>3662</v>
      </c>
      <c r="P1081" s="45">
        <v>45989</v>
      </c>
      <c r="Q1081" s="39" t="s">
        <v>3663</v>
      </c>
      <c r="R1081" s="19">
        <v>9041.4500000000007</v>
      </c>
      <c r="S1081" s="21">
        <v>0.2</v>
      </c>
      <c r="T1081" s="21">
        <v>10849.740000000002</v>
      </c>
      <c r="U1081" s="60" t="s">
        <v>3664</v>
      </c>
      <c r="V1081" s="22">
        <v>46001</v>
      </c>
      <c r="W1081" s="54" t="s">
        <v>91</v>
      </c>
      <c r="X1081" s="23"/>
      <c r="Y1081" s="23" t="s">
        <v>92</v>
      </c>
      <c r="Z1081" s="56" t="s">
        <v>928</v>
      </c>
      <c r="AA1081" s="24">
        <v>865998</v>
      </c>
      <c r="AB1081" s="19"/>
      <c r="AC1081" s="19"/>
      <c r="AD1081" s="15" t="str">
        <f ca="1">IF(AND($D1081&lt;&gt;"",COUNTIF(OFFSET(UFS!$E$2,MATCH($D1081&amp;"",UFS!$A$2:$A$175,0)-1,0,COUNTIF(UFS!$A$2:$A$175,$D1081&amp;""),1),M1081)&gt;0),"Valide","Invalide")</f>
        <v>Valide</v>
      </c>
      <c r="AH1081" s="15" t="str">
        <f t="shared" si="16"/>
        <v>En attente</v>
      </c>
    </row>
    <row r="1082" spans="1:34" s="15" customFormat="1" ht="45" hidden="1" customHeight="1" x14ac:dyDescent="0.3">
      <c r="A1082" s="42">
        <v>1083</v>
      </c>
      <c r="B1082" s="19" t="s">
        <v>425</v>
      </c>
      <c r="C1082" s="19" t="s">
        <v>35</v>
      </c>
      <c r="D1082" s="20" t="s">
        <v>825</v>
      </c>
      <c r="E1082" s="20" t="s">
        <v>79</v>
      </c>
      <c r="F1082" s="21" t="s">
        <v>80</v>
      </c>
      <c r="G1082" s="38" t="s">
        <v>81</v>
      </c>
      <c r="H1082" s="39" t="s">
        <v>426</v>
      </c>
      <c r="I1082" s="39" t="s">
        <v>83</v>
      </c>
      <c r="J1082" s="21" t="s">
        <v>244</v>
      </c>
      <c r="K1082" s="21" t="s">
        <v>827</v>
      </c>
      <c r="L1082" s="21" t="s">
        <v>629</v>
      </c>
      <c r="M1082" s="21" t="s">
        <v>828</v>
      </c>
      <c r="N1082" s="21" t="s">
        <v>87</v>
      </c>
      <c r="O1082" s="20" t="s">
        <v>3665</v>
      </c>
      <c r="P1082" s="45">
        <v>46001</v>
      </c>
      <c r="Q1082" s="39" t="s">
        <v>3666</v>
      </c>
      <c r="R1082" s="19">
        <v>7097.25</v>
      </c>
      <c r="S1082" s="21">
        <v>0.2</v>
      </c>
      <c r="T1082" s="21">
        <v>8516.7000000000007</v>
      </c>
      <c r="U1082" s="60" t="s">
        <v>3667</v>
      </c>
      <c r="V1082" s="22">
        <v>46002</v>
      </c>
      <c r="W1082" s="54" t="s">
        <v>91</v>
      </c>
      <c r="X1082" s="23"/>
      <c r="Y1082" s="23" t="s">
        <v>347</v>
      </c>
      <c r="Z1082" s="56" t="s">
        <v>3668</v>
      </c>
      <c r="AA1082" s="24"/>
      <c r="AB1082" s="19"/>
      <c r="AC1082" s="19"/>
      <c r="AD1082" s="15" t="str">
        <f ca="1">IF(AND($D1082&lt;&gt;"",COUNTIF(OFFSET(UFS!$E$2,MATCH($D1082&amp;"",UFS!$A$2:$A$175,0)-1,0,COUNTIF(UFS!$A$2:$A$175,$D1082&amp;""),1),M1082)&gt;0),"Valide","Invalide")</f>
        <v>Valide</v>
      </c>
      <c r="AH1082" s="15" t="str">
        <f t="shared" si="16"/>
        <v>En attente</v>
      </c>
    </row>
    <row r="1083" spans="1:34" s="15" customFormat="1" ht="49.5" hidden="1" customHeight="1" x14ac:dyDescent="0.3">
      <c r="A1083" s="42">
        <v>1084</v>
      </c>
      <c r="B1083" s="19" t="s">
        <v>425</v>
      </c>
      <c r="C1083" s="19" t="s">
        <v>35</v>
      </c>
      <c r="D1083" s="20" t="s">
        <v>276</v>
      </c>
      <c r="E1083" s="20" t="s">
        <v>79</v>
      </c>
      <c r="F1083" s="21" t="s">
        <v>80</v>
      </c>
      <c r="G1083" s="38" t="s">
        <v>182</v>
      </c>
      <c r="H1083" s="39" t="s">
        <v>426</v>
      </c>
      <c r="I1083" s="39" t="s">
        <v>83</v>
      </c>
      <c r="J1083" s="21" t="s">
        <v>144</v>
      </c>
      <c r="K1083" s="21" t="s">
        <v>277</v>
      </c>
      <c r="L1083" s="21" t="s">
        <v>278</v>
      </c>
      <c r="M1083" s="21" t="s">
        <v>279</v>
      </c>
      <c r="N1083" s="21" t="s">
        <v>151</v>
      </c>
      <c r="O1083" s="20" t="s">
        <v>3669</v>
      </c>
      <c r="P1083" s="45">
        <v>46002</v>
      </c>
      <c r="Q1083" s="39" t="s">
        <v>3666</v>
      </c>
      <c r="R1083" s="19">
        <v>7063.63</v>
      </c>
      <c r="S1083" s="21">
        <v>0.2</v>
      </c>
      <c r="T1083" s="21">
        <v>8476.3559999999998</v>
      </c>
      <c r="U1083" s="60" t="s">
        <v>3670</v>
      </c>
      <c r="V1083" s="22">
        <v>46002</v>
      </c>
      <c r="W1083" s="54" t="s">
        <v>91</v>
      </c>
      <c r="X1083" s="23"/>
      <c r="Y1083" s="23" t="s">
        <v>347</v>
      </c>
      <c r="Z1083" s="56" t="s">
        <v>3668</v>
      </c>
      <c r="AA1083" s="24"/>
      <c r="AB1083" s="19"/>
      <c r="AC1083" s="19"/>
      <c r="AD1083" s="15" t="str">
        <f ca="1">IF(AND($D1083&lt;&gt;"",COUNTIF(OFFSET(UFS!$E$2,MATCH($D1083&amp;"",UFS!$A$2:$A$175,0)-1,0,COUNTIF(UFS!$A$2:$A$175,$D1083&amp;""),1),M1083)&gt;0),"Valide","Invalide")</f>
        <v>Valide</v>
      </c>
      <c r="AH1083" s="15" t="str">
        <f t="shared" si="16"/>
        <v>En attente</v>
      </c>
    </row>
    <row r="1084" spans="1:34" s="15" customFormat="1" ht="39.75" customHeight="1" x14ac:dyDescent="0.3">
      <c r="A1084" s="42">
        <v>1085</v>
      </c>
      <c r="B1084" s="19" t="s">
        <v>24</v>
      </c>
      <c r="C1084" s="19" t="s">
        <v>19</v>
      </c>
      <c r="D1084" s="20" t="s">
        <v>2540</v>
      </c>
      <c r="E1084" s="20" t="s">
        <v>79</v>
      </c>
      <c r="F1084" s="21" t="s">
        <v>80</v>
      </c>
      <c r="G1084" s="38" t="s">
        <v>81</v>
      </c>
      <c r="H1084" s="39" t="s">
        <v>211</v>
      </c>
      <c r="I1084" s="39"/>
      <c r="J1084" s="21" t="s">
        <v>84</v>
      </c>
      <c r="K1084" s="21" t="s">
        <v>2541</v>
      </c>
      <c r="L1084" s="21" t="s">
        <v>86</v>
      </c>
      <c r="M1084" s="21" t="s">
        <v>2542</v>
      </c>
      <c r="N1084" s="21" t="s">
        <v>151</v>
      </c>
      <c r="O1084" s="20" t="s">
        <v>3671</v>
      </c>
      <c r="P1084" s="45">
        <v>46002</v>
      </c>
      <c r="Q1084" s="39" t="s">
        <v>3672</v>
      </c>
      <c r="R1084" s="19">
        <v>4230.1499999999996</v>
      </c>
      <c r="S1084" s="21">
        <v>0.2</v>
      </c>
      <c r="T1084" s="21">
        <v>5076.1799999999994</v>
      </c>
      <c r="U1084" s="44" t="s">
        <v>3673</v>
      </c>
      <c r="V1084" s="22">
        <v>46003</v>
      </c>
      <c r="W1084" s="54" t="s">
        <v>91</v>
      </c>
      <c r="X1084" s="23"/>
      <c r="Y1084" s="23" t="s">
        <v>92</v>
      </c>
      <c r="Z1084" s="56" t="s">
        <v>928</v>
      </c>
      <c r="AA1084" s="24">
        <v>865999</v>
      </c>
      <c r="AB1084" s="47">
        <v>45662</v>
      </c>
      <c r="AC1084" s="49" t="s">
        <v>161</v>
      </c>
      <c r="AD1084" s="15" t="str">
        <f ca="1">IF(AND($D1084&lt;&gt;"",COUNTIF(OFFSET(UFS!$E$2,MATCH($D1084&amp;"",UFS!$A$2:$A$175,0)-1,0,COUNTIF(UFS!$A$2:$A$175,$D1084&amp;""),1),M1084)&gt;0),"Valide","Invalide")</f>
        <v>Valide</v>
      </c>
      <c r="AH1084" s="15" t="str">
        <f t="shared" si="16"/>
        <v>En attente</v>
      </c>
    </row>
    <row r="1085" spans="1:34" s="15" customFormat="1" ht="51.75" hidden="1" customHeight="1" x14ac:dyDescent="0.3">
      <c r="A1085" s="42">
        <v>1086</v>
      </c>
      <c r="B1085" s="19" t="s">
        <v>709</v>
      </c>
      <c r="C1085" s="19" t="s">
        <v>23</v>
      </c>
      <c r="D1085" s="20" t="s">
        <v>432</v>
      </c>
      <c r="E1085" s="20" t="s">
        <v>79</v>
      </c>
      <c r="F1085" s="21" t="s">
        <v>80</v>
      </c>
      <c r="G1085" s="38" t="s">
        <v>241</v>
      </c>
      <c r="H1085" s="39" t="s">
        <v>643</v>
      </c>
      <c r="I1085" s="39" t="s">
        <v>644</v>
      </c>
      <c r="J1085" s="21" t="s">
        <v>144</v>
      </c>
      <c r="K1085" s="21" t="s">
        <v>1298</v>
      </c>
      <c r="L1085" s="21" t="s">
        <v>434</v>
      </c>
      <c r="M1085" s="21" t="s">
        <v>434</v>
      </c>
      <c r="N1085" s="21" t="s">
        <v>711</v>
      </c>
      <c r="O1085" s="20" t="s">
        <v>3674</v>
      </c>
      <c r="P1085" s="45">
        <v>46002</v>
      </c>
      <c r="Q1085" s="39" t="s">
        <v>3675</v>
      </c>
      <c r="R1085" s="19">
        <v>396.27</v>
      </c>
      <c r="S1085" s="21">
        <v>0.1</v>
      </c>
      <c r="T1085" s="21">
        <v>435.9</v>
      </c>
      <c r="U1085" s="60" t="s">
        <v>3676</v>
      </c>
      <c r="V1085" s="22">
        <v>46003</v>
      </c>
      <c r="W1085" s="54" t="s">
        <v>91</v>
      </c>
      <c r="X1085" s="23"/>
      <c r="Y1085" s="23" t="s">
        <v>92</v>
      </c>
      <c r="Z1085" s="56" t="s">
        <v>928</v>
      </c>
      <c r="AA1085" s="24">
        <v>866053</v>
      </c>
      <c r="AB1085" s="19"/>
      <c r="AC1085" s="19"/>
      <c r="AD1085" s="15" t="str">
        <f ca="1">IF(AND($D1085&lt;&gt;"",COUNTIF(OFFSET(UFS!$E$2,MATCH($D1085&amp;"",UFS!$A$2:$A$175,0)-1,0,COUNTIF(UFS!$A$2:$A$175,$D1085&amp;""),1),M1085)&gt;0),"Valide","Invalide")</f>
        <v>Invalide</v>
      </c>
      <c r="AH1085" s="15" t="str">
        <f t="shared" si="16"/>
        <v>En attente</v>
      </c>
    </row>
    <row r="1086" spans="1:34" s="15" customFormat="1" ht="42.75" hidden="1" customHeight="1" x14ac:dyDescent="0.3">
      <c r="A1086" s="42">
        <v>1087</v>
      </c>
      <c r="B1086" s="19" t="s">
        <v>24</v>
      </c>
      <c r="C1086" s="19" t="s">
        <v>35</v>
      </c>
      <c r="D1086" s="20" t="s">
        <v>1513</v>
      </c>
      <c r="E1086" s="20" t="s">
        <v>96</v>
      </c>
      <c r="F1086" s="21" t="s">
        <v>80</v>
      </c>
      <c r="G1086" s="38" t="s">
        <v>175</v>
      </c>
      <c r="H1086" s="39"/>
      <c r="I1086" s="39" t="s">
        <v>191</v>
      </c>
      <c r="J1086" s="21" t="s">
        <v>144</v>
      </c>
      <c r="K1086" s="21" t="s">
        <v>145</v>
      </c>
      <c r="L1086" s="21" t="s">
        <v>499</v>
      </c>
      <c r="M1086" s="21" t="s">
        <v>1514</v>
      </c>
      <c r="N1086" s="21" t="s">
        <v>529</v>
      </c>
      <c r="O1086" s="20" t="s">
        <v>3677</v>
      </c>
      <c r="P1086" s="45">
        <v>46003</v>
      </c>
      <c r="Q1086" s="39" t="s">
        <v>3678</v>
      </c>
      <c r="R1086" s="19">
        <v>1283.2</v>
      </c>
      <c r="S1086" s="21">
        <v>0.1</v>
      </c>
      <c r="T1086" s="21">
        <v>1411.52</v>
      </c>
      <c r="U1086" s="44" t="s">
        <v>3679</v>
      </c>
      <c r="V1086" s="22">
        <v>46003</v>
      </c>
      <c r="W1086" s="54" t="s">
        <v>91</v>
      </c>
      <c r="X1086" s="23"/>
      <c r="Y1086" s="23" t="s">
        <v>92</v>
      </c>
      <c r="Z1086" s="56" t="s">
        <v>1338</v>
      </c>
      <c r="AA1086" s="24">
        <v>865700</v>
      </c>
      <c r="AB1086" s="19"/>
      <c r="AC1086" s="46" t="s">
        <v>94</v>
      </c>
      <c r="AD1086" s="15" t="str">
        <f ca="1">IF(AND($D1086&lt;&gt;"",COUNTIF(OFFSET(UFS!$E$2,MATCH($D1086&amp;"",UFS!$A$2:$A$175,0)-1,0,COUNTIF(UFS!$A$2:$A$175,$D1086&amp;""),1),M1086)&gt;0),"Valide","Invalide")</f>
        <v>Valide</v>
      </c>
      <c r="AH1086" s="15" t="str">
        <f t="shared" si="16"/>
        <v>En attente</v>
      </c>
    </row>
    <row r="1087" spans="1:34" s="15" customFormat="1" ht="54.75" hidden="1" customHeight="1" x14ac:dyDescent="0.3">
      <c r="A1087" s="42">
        <v>1088</v>
      </c>
      <c r="B1087" s="19" t="s">
        <v>709</v>
      </c>
      <c r="C1087" s="19" t="s">
        <v>23</v>
      </c>
      <c r="D1087" s="20" t="s">
        <v>181</v>
      </c>
      <c r="E1087" s="20" t="s">
        <v>79</v>
      </c>
      <c r="F1087" s="21" t="s">
        <v>80</v>
      </c>
      <c r="G1087" s="38" t="s">
        <v>241</v>
      </c>
      <c r="H1087" s="39" t="s">
        <v>643</v>
      </c>
      <c r="I1087" s="39" t="s">
        <v>644</v>
      </c>
      <c r="J1087" s="21" t="s">
        <v>183</v>
      </c>
      <c r="K1087" s="21" t="s">
        <v>184</v>
      </c>
      <c r="L1087" s="21" t="s">
        <v>203</v>
      </c>
      <c r="M1087" s="21" t="s">
        <v>184</v>
      </c>
      <c r="N1087" s="21" t="s">
        <v>711</v>
      </c>
      <c r="O1087" s="20" t="s">
        <v>3680</v>
      </c>
      <c r="P1087" s="45">
        <v>46002</v>
      </c>
      <c r="Q1087" s="39" t="s">
        <v>3681</v>
      </c>
      <c r="R1087" s="19">
        <v>506.4</v>
      </c>
      <c r="S1087" s="21">
        <v>0.1</v>
      </c>
      <c r="T1087" s="21">
        <v>557.04</v>
      </c>
      <c r="U1087" s="60" t="s">
        <v>3682</v>
      </c>
      <c r="V1087" s="22">
        <v>46006</v>
      </c>
      <c r="W1087" s="54" t="s">
        <v>91</v>
      </c>
      <c r="X1087" s="23"/>
      <c r="Y1087" s="23" t="s">
        <v>92</v>
      </c>
      <c r="Z1087" s="56" t="s">
        <v>928</v>
      </c>
      <c r="AA1087" s="24">
        <v>866054</v>
      </c>
      <c r="AB1087" s="19"/>
      <c r="AC1087" s="19"/>
      <c r="AD1087" s="15" t="str">
        <f ca="1">IF(AND($D1087&lt;&gt;"",COUNTIF(OFFSET(UFS!$E$2,MATCH($D1087&amp;"",UFS!$A$2:$A$175,0)-1,0,COUNTIF(UFS!$A$2:$A$175,$D1087&amp;""),1),M1087)&gt;0),"Valide","Invalide")</f>
        <v>Invalide</v>
      </c>
      <c r="AH1087" s="15" t="str">
        <f t="shared" si="16"/>
        <v>En attente</v>
      </c>
    </row>
    <row r="1088" spans="1:34" s="15" customFormat="1" ht="57.6" hidden="1" x14ac:dyDescent="0.3">
      <c r="A1088" s="42">
        <v>1089</v>
      </c>
      <c r="B1088" s="19" t="s">
        <v>709</v>
      </c>
      <c r="C1088" s="19" t="s">
        <v>23</v>
      </c>
      <c r="D1088" s="20" t="s">
        <v>527</v>
      </c>
      <c r="E1088" s="20" t="s">
        <v>79</v>
      </c>
      <c r="F1088" s="21" t="s">
        <v>80</v>
      </c>
      <c r="G1088" s="38" t="s">
        <v>241</v>
      </c>
      <c r="H1088" s="39" t="s">
        <v>643</v>
      </c>
      <c r="I1088" s="39" t="s">
        <v>644</v>
      </c>
      <c r="J1088" s="21" t="s">
        <v>144</v>
      </c>
      <c r="K1088" s="21" t="s">
        <v>145</v>
      </c>
      <c r="L1088" s="21" t="s">
        <v>86</v>
      </c>
      <c r="M1088" s="21" t="s">
        <v>3683</v>
      </c>
      <c r="N1088" s="21" t="s">
        <v>711</v>
      </c>
      <c r="O1088" s="20" t="s">
        <v>3684</v>
      </c>
      <c r="P1088" s="45">
        <v>46002</v>
      </c>
      <c r="Q1088" s="39" t="s">
        <v>3681</v>
      </c>
      <c r="R1088" s="19">
        <v>161.44</v>
      </c>
      <c r="S1088" s="21">
        <v>0.1</v>
      </c>
      <c r="T1088" s="21">
        <v>177.58</v>
      </c>
      <c r="U1088" s="60" t="s">
        <v>3685</v>
      </c>
      <c r="V1088" s="22">
        <v>46006</v>
      </c>
      <c r="W1088" s="54" t="s">
        <v>91</v>
      </c>
      <c r="X1088" s="23"/>
      <c r="Y1088" s="23" t="s">
        <v>92</v>
      </c>
      <c r="Z1088" s="56" t="s">
        <v>928</v>
      </c>
      <c r="AA1088" s="24">
        <v>866055</v>
      </c>
      <c r="AB1088" s="19"/>
      <c r="AC1088" s="19"/>
      <c r="AD1088" s="15" t="str">
        <f ca="1">IF(AND($D1088&lt;&gt;"",COUNTIF(OFFSET(UFS!$E$2,MATCH($D1088&amp;"",UFS!$A$2:$A$175,0)-1,0,COUNTIF(UFS!$A$2:$A$175,$D1088&amp;""),1),M1088)&gt;0),"Valide","Invalide")</f>
        <v>Invalide</v>
      </c>
      <c r="AH1088" s="15" t="str">
        <f t="shared" si="16"/>
        <v>En attente</v>
      </c>
    </row>
    <row r="1089" spans="1:34" s="15" customFormat="1" ht="57.6" hidden="1" x14ac:dyDescent="0.3">
      <c r="A1089" s="42">
        <v>1090</v>
      </c>
      <c r="B1089" s="19" t="s">
        <v>4</v>
      </c>
      <c r="C1089" s="19" t="s">
        <v>36</v>
      </c>
      <c r="D1089" s="20" t="s">
        <v>406</v>
      </c>
      <c r="E1089" s="20" t="s">
        <v>79</v>
      </c>
      <c r="F1089" s="21" t="s">
        <v>80</v>
      </c>
      <c r="G1089" s="38" t="s">
        <v>241</v>
      </c>
      <c r="H1089" s="39" t="s">
        <v>252</v>
      </c>
      <c r="I1089" s="39" t="s">
        <v>253</v>
      </c>
      <c r="J1089" s="21" t="s">
        <v>407</v>
      </c>
      <c r="K1089" s="21" t="s">
        <v>108</v>
      </c>
      <c r="L1089" s="21" t="s">
        <v>100</v>
      </c>
      <c r="M1089" s="21" t="s">
        <v>108</v>
      </c>
      <c r="N1089" s="21" t="s">
        <v>408</v>
      </c>
      <c r="O1089" s="20" t="s">
        <v>3686</v>
      </c>
      <c r="P1089" s="45">
        <v>46006</v>
      </c>
      <c r="Q1089" s="39" t="s">
        <v>3687</v>
      </c>
      <c r="R1089" s="19">
        <v>613.37</v>
      </c>
      <c r="S1089" s="21">
        <v>0.2</v>
      </c>
      <c r="T1089" s="21">
        <v>736.04399999999998</v>
      </c>
      <c r="U1089" s="44" t="s">
        <v>399</v>
      </c>
      <c r="V1089" s="22">
        <v>46006</v>
      </c>
      <c r="W1089" s="54" t="s">
        <v>91</v>
      </c>
      <c r="X1089" s="23"/>
      <c r="Y1089" s="23" t="s">
        <v>92</v>
      </c>
      <c r="Z1089" s="56" t="s">
        <v>3688</v>
      </c>
      <c r="AA1089" s="24">
        <v>866056</v>
      </c>
      <c r="AB1089" s="19"/>
      <c r="AC1089" s="19"/>
      <c r="AD1089" s="15" t="str">
        <f ca="1">IF(AND($D1089&lt;&gt;"",COUNTIF(OFFSET(UFS!$E$2,MATCH($D1089&amp;"",UFS!$A$2:$A$175,0)-1,0,COUNTIF(UFS!$A$2:$A$175,$D1089&amp;""),1),M1089)&gt;0),"Valide","Invalide")</f>
        <v>Valide</v>
      </c>
      <c r="AH1089" s="15" t="str">
        <f t="shared" si="16"/>
        <v>En attente</v>
      </c>
    </row>
    <row r="1090" spans="1:34" s="15" customFormat="1" ht="72" hidden="1" x14ac:dyDescent="0.3">
      <c r="A1090" s="42">
        <v>1091</v>
      </c>
      <c r="B1090" s="19" t="s">
        <v>20</v>
      </c>
      <c r="C1090" s="19" t="s">
        <v>37</v>
      </c>
      <c r="D1090" s="20" t="s">
        <v>251</v>
      </c>
      <c r="E1090" s="20" t="s">
        <v>79</v>
      </c>
      <c r="F1090" s="21" t="s">
        <v>80</v>
      </c>
      <c r="G1090" s="38" t="s">
        <v>241</v>
      </c>
      <c r="H1090" s="39" t="s">
        <v>367</v>
      </c>
      <c r="I1090" s="39" t="s">
        <v>368</v>
      </c>
      <c r="J1090" s="21" t="s">
        <v>144</v>
      </c>
      <c r="K1090" s="21" t="s">
        <v>145</v>
      </c>
      <c r="L1090" s="21" t="s">
        <v>254</v>
      </c>
      <c r="M1090" s="21" t="s">
        <v>255</v>
      </c>
      <c r="N1090" s="21" t="s">
        <v>256</v>
      </c>
      <c r="O1090" s="20" t="s">
        <v>3689</v>
      </c>
      <c r="P1090" s="45">
        <v>45793</v>
      </c>
      <c r="Q1090" s="39" t="s">
        <v>3690</v>
      </c>
      <c r="R1090" s="19">
        <v>180</v>
      </c>
      <c r="S1090" s="21">
        <v>0.2</v>
      </c>
      <c r="T1090" s="21">
        <v>216</v>
      </c>
      <c r="U1090" s="60" t="s">
        <v>371</v>
      </c>
      <c r="V1090" s="22">
        <v>46007</v>
      </c>
      <c r="W1090" s="54" t="s">
        <v>91</v>
      </c>
      <c r="X1090" s="23"/>
      <c r="Y1090" s="23" t="s">
        <v>92</v>
      </c>
      <c r="Z1090" s="56"/>
      <c r="AA1090" s="24">
        <v>866072</v>
      </c>
      <c r="AB1090" s="19"/>
      <c r="AC1090" s="46" t="s">
        <v>94</v>
      </c>
      <c r="AD1090" s="15" t="str">
        <f ca="1">IF(AND($D1090&lt;&gt;"",COUNTIF(OFFSET(UFS!$E$2,MATCH($D1090&amp;"",UFS!$A$2:$A$175,0)-1,0,COUNTIF(UFS!$A$2:$A$175,$D1090&amp;""),1),M1090)&gt;0),"Valide","Invalide")</f>
        <v>Valide</v>
      </c>
      <c r="AH1090" s="15" t="str">
        <f t="shared" si="16"/>
        <v>En attente</v>
      </c>
    </row>
    <row r="1091" spans="1:34" s="15" customFormat="1" ht="72" hidden="1" x14ac:dyDescent="0.3">
      <c r="A1091" s="42">
        <v>1092</v>
      </c>
      <c r="B1091" s="19" t="s">
        <v>20</v>
      </c>
      <c r="C1091" s="19" t="s">
        <v>37</v>
      </c>
      <c r="D1091" s="20" t="s">
        <v>251</v>
      </c>
      <c r="E1091" s="20" t="s">
        <v>79</v>
      </c>
      <c r="F1091" s="21" t="s">
        <v>80</v>
      </c>
      <c r="G1091" s="38" t="s">
        <v>241</v>
      </c>
      <c r="H1091" s="39" t="s">
        <v>367</v>
      </c>
      <c r="I1091" s="39" t="s">
        <v>368</v>
      </c>
      <c r="J1091" s="21" t="s">
        <v>144</v>
      </c>
      <c r="K1091" s="21" t="s">
        <v>145</v>
      </c>
      <c r="L1091" s="21" t="s">
        <v>254</v>
      </c>
      <c r="M1091" s="21" t="s">
        <v>255</v>
      </c>
      <c r="N1091" s="21" t="s">
        <v>256</v>
      </c>
      <c r="O1091" s="20" t="s">
        <v>3691</v>
      </c>
      <c r="P1091" s="45">
        <v>45861</v>
      </c>
      <c r="Q1091" s="39" t="s">
        <v>3692</v>
      </c>
      <c r="R1091" s="19">
        <v>260.10000000000002</v>
      </c>
      <c r="S1091" s="21">
        <v>0.2</v>
      </c>
      <c r="T1091" s="21">
        <v>312.12</v>
      </c>
      <c r="U1091" s="60" t="s">
        <v>371</v>
      </c>
      <c r="V1091" s="22">
        <v>46007</v>
      </c>
      <c r="W1091" s="54" t="s">
        <v>91</v>
      </c>
      <c r="X1091" s="23"/>
      <c r="Y1091" s="23" t="s">
        <v>92</v>
      </c>
      <c r="Z1091" s="56"/>
      <c r="AA1091" s="24">
        <v>866162</v>
      </c>
      <c r="AB1091" s="19"/>
      <c r="AC1091" s="46" t="s">
        <v>94</v>
      </c>
      <c r="AD1091" s="15" t="str">
        <f ca="1">IF(AND($D1091&lt;&gt;"",COUNTIF(OFFSET(UFS!$E$2,MATCH($D1091&amp;"",UFS!$A$2:$A$175,0)-1,0,COUNTIF(UFS!$A$2:$A$175,$D1091&amp;""),1),M1091)&gt;0),"Valide","Invalide")</f>
        <v>Valide</v>
      </c>
      <c r="AH1091" s="15" t="str">
        <f t="shared" ref="AH1091:AH1154" si="17">IF(T1091&lt;&gt;"","En attente","")</f>
        <v>En attente</v>
      </c>
    </row>
    <row r="1092" spans="1:34" s="15" customFormat="1" ht="72" hidden="1" x14ac:dyDescent="0.3">
      <c r="A1092" s="42">
        <v>1093</v>
      </c>
      <c r="B1092" s="19" t="s">
        <v>20</v>
      </c>
      <c r="C1092" s="19" t="s">
        <v>37</v>
      </c>
      <c r="D1092" s="20" t="s">
        <v>233</v>
      </c>
      <c r="E1092" s="20" t="s">
        <v>79</v>
      </c>
      <c r="F1092" s="21" t="s">
        <v>80</v>
      </c>
      <c r="G1092" s="38" t="s">
        <v>241</v>
      </c>
      <c r="H1092" s="39" t="s">
        <v>367</v>
      </c>
      <c r="I1092" s="39" t="s">
        <v>368</v>
      </c>
      <c r="J1092" s="21" t="s">
        <v>124</v>
      </c>
      <c r="K1092" s="21" t="s">
        <v>235</v>
      </c>
      <c r="L1092" s="21" t="s">
        <v>177</v>
      </c>
      <c r="M1092" s="21" t="s">
        <v>109</v>
      </c>
      <c r="N1092" s="21" t="s">
        <v>109</v>
      </c>
      <c r="O1092" s="20" t="s">
        <v>3693</v>
      </c>
      <c r="P1092" s="45">
        <v>45862</v>
      </c>
      <c r="Q1092" s="39" t="s">
        <v>3694</v>
      </c>
      <c r="R1092" s="19">
        <v>1554.9</v>
      </c>
      <c r="S1092" s="21">
        <v>0.1</v>
      </c>
      <c r="T1092" s="111">
        <v>1710.39</v>
      </c>
      <c r="U1092" s="60" t="s">
        <v>371</v>
      </c>
      <c r="V1092" s="22">
        <v>46007</v>
      </c>
      <c r="W1092" s="54" t="s">
        <v>91</v>
      </c>
      <c r="X1092" s="23"/>
      <c r="Y1092" s="23" t="s">
        <v>92</v>
      </c>
      <c r="Z1092" s="56"/>
      <c r="AA1092" s="24">
        <v>866168</v>
      </c>
      <c r="AB1092" s="19"/>
      <c r="AC1092" s="46" t="s">
        <v>94</v>
      </c>
      <c r="AD1092" s="15" t="str">
        <f ca="1">IF(AND($D1092&lt;&gt;"",COUNTIF(OFFSET(UFS!$E$2,MATCH($D1092&amp;"",UFS!$A$2:$A$175,0)-1,0,COUNTIF(UFS!$A$2:$A$175,$D1092&amp;""),1),M1092)&gt;0),"Valide","Invalide")</f>
        <v>Valide</v>
      </c>
      <c r="AH1092" s="15" t="str">
        <f t="shared" si="17"/>
        <v>En attente</v>
      </c>
    </row>
    <row r="1093" spans="1:34" s="15" customFormat="1" ht="72" hidden="1" x14ac:dyDescent="0.3">
      <c r="A1093" s="42">
        <v>1094</v>
      </c>
      <c r="B1093" s="19" t="s">
        <v>20</v>
      </c>
      <c r="C1093" s="19" t="s">
        <v>37</v>
      </c>
      <c r="D1093" s="20" t="s">
        <v>2540</v>
      </c>
      <c r="E1093" s="20" t="s">
        <v>79</v>
      </c>
      <c r="F1093" s="21" t="s">
        <v>80</v>
      </c>
      <c r="G1093" s="38" t="s">
        <v>241</v>
      </c>
      <c r="H1093" s="39" t="s">
        <v>367</v>
      </c>
      <c r="I1093" s="39" t="s">
        <v>368</v>
      </c>
      <c r="J1093" s="21" t="s">
        <v>84</v>
      </c>
      <c r="K1093" s="21" t="s">
        <v>2541</v>
      </c>
      <c r="L1093" s="21" t="s">
        <v>86</v>
      </c>
      <c r="M1093" s="21" t="s">
        <v>2542</v>
      </c>
      <c r="N1093" s="21" t="s">
        <v>151</v>
      </c>
      <c r="O1093" s="20" t="s">
        <v>3695</v>
      </c>
      <c r="P1093" s="45">
        <v>45903</v>
      </c>
      <c r="Q1093" s="39" t="s">
        <v>3696</v>
      </c>
      <c r="R1093" s="19">
        <v>174.32</v>
      </c>
      <c r="S1093" s="21">
        <v>0.2</v>
      </c>
      <c r="T1093" s="21">
        <v>209.184</v>
      </c>
      <c r="U1093" s="60" t="s">
        <v>371</v>
      </c>
      <c r="V1093" s="22">
        <v>46007</v>
      </c>
      <c r="W1093" s="54" t="s">
        <v>91</v>
      </c>
      <c r="X1093" s="23"/>
      <c r="Y1093" s="23" t="s">
        <v>92</v>
      </c>
      <c r="Z1093" s="56" t="s">
        <v>928</v>
      </c>
      <c r="AA1093" s="24">
        <v>866174</v>
      </c>
      <c r="AB1093" s="19"/>
      <c r="AC1093" s="46" t="s">
        <v>94</v>
      </c>
      <c r="AD1093" s="15" t="str">
        <f ca="1">IF(AND($D1093&lt;&gt;"",COUNTIF(OFFSET(UFS!$E$2,MATCH($D1093&amp;"",UFS!$A$2:$A$175,0)-1,0,COUNTIF(UFS!$A$2:$A$175,$D1093&amp;""),1),M1093)&gt;0),"Valide","Invalide")</f>
        <v>Valide</v>
      </c>
      <c r="AH1093" s="15" t="str">
        <f t="shared" si="17"/>
        <v>En attente</v>
      </c>
    </row>
    <row r="1094" spans="1:34" s="15" customFormat="1" ht="72" hidden="1" x14ac:dyDescent="0.3">
      <c r="A1094" s="42">
        <v>1095</v>
      </c>
      <c r="B1094" s="19" t="s">
        <v>20</v>
      </c>
      <c r="C1094" s="19" t="s">
        <v>37</v>
      </c>
      <c r="D1094" s="20" t="s">
        <v>2540</v>
      </c>
      <c r="E1094" s="20" t="s">
        <v>79</v>
      </c>
      <c r="F1094" s="21" t="s">
        <v>80</v>
      </c>
      <c r="G1094" s="38" t="s">
        <v>241</v>
      </c>
      <c r="H1094" s="39" t="s">
        <v>367</v>
      </c>
      <c r="I1094" s="39" t="s">
        <v>368</v>
      </c>
      <c r="J1094" s="21" t="s">
        <v>84</v>
      </c>
      <c r="K1094" s="21" t="s">
        <v>2541</v>
      </c>
      <c r="L1094" s="21" t="s">
        <v>86</v>
      </c>
      <c r="M1094" s="21" t="s">
        <v>2542</v>
      </c>
      <c r="N1094" s="21" t="s">
        <v>151</v>
      </c>
      <c r="O1094" s="20" t="s">
        <v>3697</v>
      </c>
      <c r="P1094" s="45">
        <v>45936</v>
      </c>
      <c r="Q1094" s="39" t="s">
        <v>3698</v>
      </c>
      <c r="R1094" s="19">
        <v>135</v>
      </c>
      <c r="S1094" s="21">
        <v>0.2</v>
      </c>
      <c r="T1094" s="21">
        <v>162</v>
      </c>
      <c r="U1094" s="60" t="s">
        <v>371</v>
      </c>
      <c r="V1094" s="22">
        <v>46007</v>
      </c>
      <c r="W1094" s="54" t="s">
        <v>91</v>
      </c>
      <c r="X1094" s="23"/>
      <c r="Y1094" s="23" t="s">
        <v>92</v>
      </c>
      <c r="Z1094" s="56"/>
      <c r="AA1094" s="24">
        <v>866181</v>
      </c>
      <c r="AB1094" s="19"/>
      <c r="AC1094" s="46" t="s">
        <v>94</v>
      </c>
      <c r="AD1094" s="15" t="str">
        <f ca="1">IF(AND($D1094&lt;&gt;"",COUNTIF(OFFSET(UFS!$E$2,MATCH($D1094&amp;"",UFS!$A$2:$A$175,0)-1,0,COUNTIF(UFS!$A$2:$A$175,$D1094&amp;""),1),M1094)&gt;0),"Valide","Invalide")</f>
        <v>Valide</v>
      </c>
      <c r="AH1094" s="15" t="str">
        <f t="shared" si="17"/>
        <v>En attente</v>
      </c>
    </row>
    <row r="1095" spans="1:34" s="15" customFormat="1" ht="72" hidden="1" x14ac:dyDescent="0.3">
      <c r="A1095" s="42">
        <v>1096</v>
      </c>
      <c r="B1095" s="19" t="s">
        <v>20</v>
      </c>
      <c r="C1095" s="19" t="s">
        <v>37</v>
      </c>
      <c r="D1095" s="20" t="s">
        <v>200</v>
      </c>
      <c r="E1095" s="20" t="s">
        <v>79</v>
      </c>
      <c r="F1095" s="21" t="s">
        <v>80</v>
      </c>
      <c r="G1095" s="38" t="s">
        <v>241</v>
      </c>
      <c r="H1095" s="39" t="s">
        <v>367</v>
      </c>
      <c r="I1095" s="39" t="s">
        <v>368</v>
      </c>
      <c r="J1095" s="21" t="s">
        <v>144</v>
      </c>
      <c r="K1095" s="21" t="s">
        <v>145</v>
      </c>
      <c r="L1095" s="21" t="s">
        <v>203</v>
      </c>
      <c r="M1095" s="21" t="s">
        <v>109</v>
      </c>
      <c r="N1095" s="21" t="s">
        <v>109</v>
      </c>
      <c r="O1095" s="20" t="s">
        <v>3699</v>
      </c>
      <c r="P1095" s="45">
        <v>45936</v>
      </c>
      <c r="Q1095" s="39" t="s">
        <v>3700</v>
      </c>
      <c r="R1095" s="19">
        <v>135</v>
      </c>
      <c r="S1095" s="21">
        <v>0.2</v>
      </c>
      <c r="T1095" s="21">
        <v>162</v>
      </c>
      <c r="U1095" s="60" t="s">
        <v>371</v>
      </c>
      <c r="V1095" s="22">
        <v>46007</v>
      </c>
      <c r="W1095" s="54" t="s">
        <v>91</v>
      </c>
      <c r="X1095" s="23"/>
      <c r="Y1095" s="23" t="s">
        <v>92</v>
      </c>
      <c r="Z1095" s="56"/>
      <c r="AA1095" s="24">
        <v>866187</v>
      </c>
      <c r="AB1095" s="19"/>
      <c r="AC1095" s="46" t="s">
        <v>94</v>
      </c>
      <c r="AD1095" s="15" t="e">
        <f ca="1">IF(AND($D1095&lt;&gt;"",COUNTIF(OFFSET(UFS!$E$2,MATCH($D1095&amp;"",UFS!$A$2:$A$175,0)-1,0,COUNTIF(UFS!$A$2:$A$175,$D1095&amp;""),1),M1095)&gt;0),"Valide","Invalide")</f>
        <v>#N/A</v>
      </c>
      <c r="AH1095" s="15" t="str">
        <f t="shared" si="17"/>
        <v>En attente</v>
      </c>
    </row>
    <row r="1096" spans="1:34" s="15" customFormat="1" ht="72" hidden="1" x14ac:dyDescent="0.3">
      <c r="A1096" s="42">
        <v>1097</v>
      </c>
      <c r="B1096" s="19" t="s">
        <v>20</v>
      </c>
      <c r="C1096" s="19" t="s">
        <v>37</v>
      </c>
      <c r="D1096" s="20" t="s">
        <v>340</v>
      </c>
      <c r="E1096" s="20" t="s">
        <v>79</v>
      </c>
      <c r="F1096" s="21" t="s">
        <v>80</v>
      </c>
      <c r="G1096" s="38" t="s">
        <v>241</v>
      </c>
      <c r="H1096" s="39" t="s">
        <v>367</v>
      </c>
      <c r="I1096" s="39" t="s">
        <v>368</v>
      </c>
      <c r="J1096" s="21" t="s">
        <v>341</v>
      </c>
      <c r="K1096" s="21" t="s">
        <v>145</v>
      </c>
      <c r="L1096" s="21" t="s">
        <v>342</v>
      </c>
      <c r="M1096" s="21" t="s">
        <v>343</v>
      </c>
      <c r="N1096" s="21" t="s">
        <v>151</v>
      </c>
      <c r="O1096" s="20" t="s">
        <v>3701</v>
      </c>
      <c r="P1096" s="45">
        <v>45944</v>
      </c>
      <c r="Q1096" s="39" t="s">
        <v>3702</v>
      </c>
      <c r="R1096" s="19">
        <v>45</v>
      </c>
      <c r="S1096" s="21">
        <v>0.2</v>
      </c>
      <c r="T1096" s="21">
        <v>54</v>
      </c>
      <c r="U1096" s="60" t="s">
        <v>371</v>
      </c>
      <c r="V1096" s="22">
        <v>46007</v>
      </c>
      <c r="W1096" s="54" t="s">
        <v>91</v>
      </c>
      <c r="X1096" s="23"/>
      <c r="Y1096" s="23" t="s">
        <v>92</v>
      </c>
      <c r="Z1096" s="56" t="s">
        <v>928</v>
      </c>
      <c r="AA1096" s="24">
        <v>866151</v>
      </c>
      <c r="AB1096" s="19"/>
      <c r="AC1096" s="46" t="s">
        <v>94</v>
      </c>
      <c r="AD1096" s="15" t="str">
        <f ca="1">IF(AND($D1096&lt;&gt;"",COUNTIF(OFFSET(UFS!$E$2,MATCH($D1096&amp;"",UFS!$A$2:$A$175,0)-1,0,COUNTIF(UFS!$A$2:$A$175,$D1096&amp;""),1),M1096)&gt;0),"Valide","Invalide")</f>
        <v>Valide</v>
      </c>
      <c r="AH1096" s="15" t="str">
        <f t="shared" si="17"/>
        <v>En attente</v>
      </c>
    </row>
    <row r="1097" spans="1:34" s="15" customFormat="1" ht="72" hidden="1" x14ac:dyDescent="0.3">
      <c r="A1097" s="42">
        <v>1098</v>
      </c>
      <c r="B1097" s="19" t="s">
        <v>20</v>
      </c>
      <c r="C1097" s="19" t="s">
        <v>37</v>
      </c>
      <c r="D1097" s="20" t="s">
        <v>123</v>
      </c>
      <c r="E1097" s="20" t="s">
        <v>79</v>
      </c>
      <c r="F1097" s="21" t="s">
        <v>80</v>
      </c>
      <c r="G1097" s="38" t="s">
        <v>241</v>
      </c>
      <c r="H1097" s="39" t="s">
        <v>367</v>
      </c>
      <c r="I1097" s="39" t="s">
        <v>368</v>
      </c>
      <c r="J1097" s="21" t="s">
        <v>124</v>
      </c>
      <c r="K1097" s="21" t="s">
        <v>125</v>
      </c>
      <c r="L1097" s="21" t="s">
        <v>126</v>
      </c>
      <c r="M1097" s="21" t="s">
        <v>109</v>
      </c>
      <c r="N1097" s="21" t="s">
        <v>109</v>
      </c>
      <c r="O1097" s="20" t="s">
        <v>3703</v>
      </c>
      <c r="P1097" s="45">
        <v>45951</v>
      </c>
      <c r="Q1097" s="39" t="s">
        <v>3704</v>
      </c>
      <c r="R1097" s="19">
        <v>691.35</v>
      </c>
      <c r="S1097" s="21">
        <v>0.1</v>
      </c>
      <c r="T1097" s="21">
        <v>760.48500000000001</v>
      </c>
      <c r="U1097" s="60" t="s">
        <v>371</v>
      </c>
      <c r="V1097" s="22">
        <v>46008</v>
      </c>
      <c r="W1097" s="54" t="s">
        <v>91</v>
      </c>
      <c r="X1097" s="23"/>
      <c r="Y1097" s="23" t="s">
        <v>92</v>
      </c>
      <c r="Z1097" s="56" t="s">
        <v>928</v>
      </c>
      <c r="AA1097" s="24">
        <v>866150</v>
      </c>
      <c r="AB1097" s="19"/>
      <c r="AC1097" s="49" t="s">
        <v>161</v>
      </c>
      <c r="AD1097" s="15" t="str">
        <f ca="1">IF(AND($D1097&lt;&gt;"",COUNTIF(OFFSET(UFS!$E$2,MATCH($D1097&amp;"",UFS!$A$2:$A$175,0)-1,0,COUNTIF(UFS!$A$2:$A$175,$D1097&amp;""),1),M1097)&gt;0),"Valide","Invalide")</f>
        <v>Valide</v>
      </c>
      <c r="AH1097" s="15" t="str">
        <f t="shared" si="17"/>
        <v>En attente</v>
      </c>
    </row>
    <row r="1098" spans="1:34" s="15" customFormat="1" ht="72" hidden="1" x14ac:dyDescent="0.3">
      <c r="A1098" s="42">
        <v>1099</v>
      </c>
      <c r="B1098" s="19" t="s">
        <v>20</v>
      </c>
      <c r="C1098" s="19" t="s">
        <v>37</v>
      </c>
      <c r="D1098" s="20" t="s">
        <v>260</v>
      </c>
      <c r="E1098" s="20" t="s">
        <v>79</v>
      </c>
      <c r="F1098" s="21" t="s">
        <v>80</v>
      </c>
      <c r="G1098" s="38" t="s">
        <v>241</v>
      </c>
      <c r="H1098" s="39" t="s">
        <v>367</v>
      </c>
      <c r="I1098" s="39" t="s">
        <v>368</v>
      </c>
      <c r="J1098" s="21" t="s">
        <v>84</v>
      </c>
      <c r="K1098" s="21" t="s">
        <v>113</v>
      </c>
      <c r="L1098" s="21" t="s">
        <v>86</v>
      </c>
      <c r="M1098" s="21" t="s">
        <v>109</v>
      </c>
      <c r="N1098" s="21" t="s">
        <v>109</v>
      </c>
      <c r="O1098" s="20" t="s">
        <v>3705</v>
      </c>
      <c r="P1098" s="45">
        <v>45953</v>
      </c>
      <c r="Q1098" s="39" t="s">
        <v>3706</v>
      </c>
      <c r="R1098" s="19">
        <v>90</v>
      </c>
      <c r="S1098" s="21">
        <v>0.1</v>
      </c>
      <c r="T1098" s="21">
        <v>99</v>
      </c>
      <c r="U1098" s="60" t="s">
        <v>371</v>
      </c>
      <c r="V1098" s="22">
        <v>46008</v>
      </c>
      <c r="W1098" s="54" t="s">
        <v>91</v>
      </c>
      <c r="X1098" s="23"/>
      <c r="Y1098" s="23" t="s">
        <v>92</v>
      </c>
      <c r="Z1098" s="56" t="s">
        <v>928</v>
      </c>
      <c r="AA1098" s="24">
        <v>866146</v>
      </c>
      <c r="AB1098" s="19"/>
      <c r="AC1098" s="46" t="s">
        <v>94</v>
      </c>
      <c r="AD1098" s="15" t="str">
        <f ca="1">IF(AND($D1098&lt;&gt;"",COUNTIF(OFFSET(UFS!$E$2,MATCH($D1098&amp;"",UFS!$A$2:$A$175,0)-1,0,COUNTIF(UFS!$A$2:$A$175,$D1098&amp;""),1),M1098)&gt;0),"Valide","Invalide")</f>
        <v>Valide</v>
      </c>
      <c r="AH1098" s="15" t="str">
        <f t="shared" si="17"/>
        <v>En attente</v>
      </c>
    </row>
    <row r="1099" spans="1:34" s="15" customFormat="1" ht="72" hidden="1" x14ac:dyDescent="0.3">
      <c r="A1099" s="42">
        <v>1100</v>
      </c>
      <c r="B1099" s="19" t="s">
        <v>20</v>
      </c>
      <c r="C1099" s="19" t="s">
        <v>37</v>
      </c>
      <c r="D1099" s="20" t="s">
        <v>123</v>
      </c>
      <c r="E1099" s="20" t="s">
        <v>79</v>
      </c>
      <c r="F1099" s="21" t="s">
        <v>80</v>
      </c>
      <c r="G1099" s="38" t="s">
        <v>241</v>
      </c>
      <c r="H1099" s="39" t="s">
        <v>367</v>
      </c>
      <c r="I1099" s="39" t="s">
        <v>368</v>
      </c>
      <c r="J1099" s="21" t="s">
        <v>124</v>
      </c>
      <c r="K1099" s="21" t="s">
        <v>125</v>
      </c>
      <c r="L1099" s="21" t="s">
        <v>126</v>
      </c>
      <c r="M1099" s="21" t="s">
        <v>109</v>
      </c>
      <c r="N1099" s="21" t="s">
        <v>109</v>
      </c>
      <c r="O1099" s="20" t="s">
        <v>3707</v>
      </c>
      <c r="P1099" s="45">
        <v>45954</v>
      </c>
      <c r="Q1099" s="39" t="s">
        <v>3708</v>
      </c>
      <c r="R1099" s="19">
        <v>136.84</v>
      </c>
      <c r="S1099" s="21">
        <v>0.1</v>
      </c>
      <c r="T1099" s="21">
        <v>150.524</v>
      </c>
      <c r="U1099" s="60" t="s">
        <v>371</v>
      </c>
      <c r="V1099" s="22">
        <v>46008</v>
      </c>
      <c r="W1099" s="54" t="s">
        <v>91</v>
      </c>
      <c r="X1099" s="23"/>
      <c r="Y1099" s="23" t="s">
        <v>92</v>
      </c>
      <c r="Z1099" s="56" t="s">
        <v>928</v>
      </c>
      <c r="AA1099" s="24">
        <v>866137</v>
      </c>
      <c r="AB1099" s="19"/>
      <c r="AC1099" s="49" t="s">
        <v>161</v>
      </c>
      <c r="AD1099" s="15" t="str">
        <f ca="1">IF(AND($D1099&lt;&gt;"",COUNTIF(OFFSET(UFS!$E$2,MATCH($D1099&amp;"",UFS!$A$2:$A$175,0)-1,0,COUNTIF(UFS!$A$2:$A$175,$D1099&amp;""),1),M1099)&gt;0),"Valide","Invalide")</f>
        <v>Valide</v>
      </c>
      <c r="AH1099" s="15" t="str">
        <f t="shared" si="17"/>
        <v>En attente</v>
      </c>
    </row>
    <row r="1100" spans="1:34" s="15" customFormat="1" ht="72" hidden="1" x14ac:dyDescent="0.3">
      <c r="A1100" s="42">
        <v>1101</v>
      </c>
      <c r="B1100" s="19" t="s">
        <v>20</v>
      </c>
      <c r="C1100" s="19" t="s">
        <v>37</v>
      </c>
      <c r="D1100" s="20" t="s">
        <v>251</v>
      </c>
      <c r="E1100" s="20" t="s">
        <v>79</v>
      </c>
      <c r="F1100" s="21" t="s">
        <v>80</v>
      </c>
      <c r="G1100" s="38" t="s">
        <v>241</v>
      </c>
      <c r="H1100" s="39" t="s">
        <v>367</v>
      </c>
      <c r="I1100" s="39" t="s">
        <v>368</v>
      </c>
      <c r="J1100" s="21" t="s">
        <v>144</v>
      </c>
      <c r="K1100" s="21" t="s">
        <v>145</v>
      </c>
      <c r="L1100" s="21" t="s">
        <v>254</v>
      </c>
      <c r="M1100" s="21" t="s">
        <v>255</v>
      </c>
      <c r="N1100" s="21" t="s">
        <v>256</v>
      </c>
      <c r="O1100" s="20" t="s">
        <v>3709</v>
      </c>
      <c r="P1100" s="45">
        <v>45988</v>
      </c>
      <c r="Q1100" s="39" t="s">
        <v>3710</v>
      </c>
      <c r="R1100" s="19">
        <v>270</v>
      </c>
      <c r="S1100" s="21">
        <v>0.2</v>
      </c>
      <c r="T1100" s="21">
        <v>324</v>
      </c>
      <c r="U1100" s="60" t="s">
        <v>371</v>
      </c>
      <c r="V1100" s="22">
        <v>46008</v>
      </c>
      <c r="W1100" s="54" t="s">
        <v>91</v>
      </c>
      <c r="X1100" s="23"/>
      <c r="Y1100" s="23" t="s">
        <v>92</v>
      </c>
      <c r="Z1100" s="56" t="s">
        <v>928</v>
      </c>
      <c r="AA1100" s="24">
        <v>866125</v>
      </c>
      <c r="AB1100" s="19"/>
      <c r="AC1100" s="46" t="s">
        <v>94</v>
      </c>
      <c r="AD1100" s="15" t="str">
        <f ca="1">IF(AND($D1100&lt;&gt;"",COUNTIF(OFFSET(UFS!$E$2,MATCH($D1100&amp;"",UFS!$A$2:$A$175,0)-1,0,COUNTIF(UFS!$A$2:$A$175,$D1100&amp;""),1),M1100)&gt;0),"Valide","Invalide")</f>
        <v>Valide</v>
      </c>
      <c r="AH1100" s="15" t="str">
        <f t="shared" si="17"/>
        <v>En attente</v>
      </c>
    </row>
    <row r="1101" spans="1:34" s="15" customFormat="1" ht="72" hidden="1" x14ac:dyDescent="0.3">
      <c r="A1101" s="42">
        <v>1102</v>
      </c>
      <c r="B1101" s="19" t="s">
        <v>20</v>
      </c>
      <c r="C1101" s="19" t="s">
        <v>37</v>
      </c>
      <c r="D1101" s="20" t="s">
        <v>123</v>
      </c>
      <c r="E1101" s="20" t="s">
        <v>79</v>
      </c>
      <c r="F1101" s="21" t="s">
        <v>80</v>
      </c>
      <c r="G1101" s="38" t="s">
        <v>241</v>
      </c>
      <c r="H1101" s="39" t="s">
        <v>367</v>
      </c>
      <c r="I1101" s="39" t="s">
        <v>368</v>
      </c>
      <c r="J1101" s="21" t="s">
        <v>124</v>
      </c>
      <c r="K1101" s="21" t="s">
        <v>125</v>
      </c>
      <c r="L1101" s="21" t="s">
        <v>126</v>
      </c>
      <c r="M1101" s="21" t="s">
        <v>109</v>
      </c>
      <c r="N1101" s="21" t="s">
        <v>109</v>
      </c>
      <c r="O1101" s="20" t="s">
        <v>3711</v>
      </c>
      <c r="P1101" s="45" t="s">
        <v>3712</v>
      </c>
      <c r="Q1101" s="39" t="s">
        <v>3713</v>
      </c>
      <c r="R1101" s="19">
        <v>270</v>
      </c>
      <c r="S1101" s="21">
        <v>0.1</v>
      </c>
      <c r="T1101" s="21">
        <v>297</v>
      </c>
      <c r="U1101" s="60" t="s">
        <v>371</v>
      </c>
      <c r="V1101" s="22">
        <v>46008</v>
      </c>
      <c r="W1101" s="54" t="s">
        <v>91</v>
      </c>
      <c r="X1101" s="23"/>
      <c r="Y1101" s="23" t="s">
        <v>92</v>
      </c>
      <c r="Z1101" s="56"/>
      <c r="AA1101" s="24">
        <v>866109</v>
      </c>
      <c r="AB1101" s="19"/>
      <c r="AC1101" s="46" t="s">
        <v>94</v>
      </c>
      <c r="AD1101" s="15" t="str">
        <f ca="1">IF(AND($D1101&lt;&gt;"",COUNTIF(OFFSET(UFS!$E$2,MATCH($D1101&amp;"",UFS!$A$2:$A$175,0)-1,0,COUNTIF(UFS!$A$2:$A$175,$D1101&amp;""),1),M1101)&gt;0),"Valide","Invalide")</f>
        <v>Valide</v>
      </c>
      <c r="AH1101" s="15" t="str">
        <f t="shared" si="17"/>
        <v>En attente</v>
      </c>
    </row>
    <row r="1102" spans="1:34" s="15" customFormat="1" ht="72" hidden="1" x14ac:dyDescent="0.3">
      <c r="A1102" s="42">
        <v>1103</v>
      </c>
      <c r="B1102" s="19" t="s">
        <v>20</v>
      </c>
      <c r="C1102" s="19" t="s">
        <v>37</v>
      </c>
      <c r="D1102" s="20" t="s">
        <v>106</v>
      </c>
      <c r="E1102" s="20" t="s">
        <v>79</v>
      </c>
      <c r="F1102" s="21" t="s">
        <v>80</v>
      </c>
      <c r="G1102" s="38" t="s">
        <v>241</v>
      </c>
      <c r="H1102" s="39" t="s">
        <v>367</v>
      </c>
      <c r="I1102" s="39" t="s">
        <v>368</v>
      </c>
      <c r="J1102" s="21" t="s">
        <v>98</v>
      </c>
      <c r="K1102" s="21" t="s">
        <v>108</v>
      </c>
      <c r="L1102" s="21" t="s">
        <v>100</v>
      </c>
      <c r="M1102" s="21" t="s">
        <v>109</v>
      </c>
      <c r="N1102" s="21" t="s">
        <v>109</v>
      </c>
      <c r="O1102" s="20" t="s">
        <v>3714</v>
      </c>
      <c r="P1102" s="45">
        <v>45996</v>
      </c>
      <c r="Q1102" s="39" t="s">
        <v>3715</v>
      </c>
      <c r="R1102" s="19">
        <v>180</v>
      </c>
      <c r="S1102" s="21">
        <v>0.1</v>
      </c>
      <c r="T1102" s="21">
        <v>198</v>
      </c>
      <c r="U1102" s="60" t="s">
        <v>371</v>
      </c>
      <c r="V1102" s="22">
        <v>46008</v>
      </c>
      <c r="W1102" s="54" t="s">
        <v>91</v>
      </c>
      <c r="X1102" s="23"/>
      <c r="Y1102" s="23" t="s">
        <v>92</v>
      </c>
      <c r="Z1102" s="56"/>
      <c r="AA1102" s="24">
        <v>866075</v>
      </c>
      <c r="AB1102" s="19"/>
      <c r="AC1102" s="46" t="s">
        <v>94</v>
      </c>
      <c r="AD1102" s="15" t="str">
        <f ca="1">IF(AND($D1102&lt;&gt;"",COUNTIF(OFFSET(UFS!$E$2,MATCH($D1102&amp;"",UFS!$A$2:$A$175,0)-1,0,COUNTIF(UFS!$A$2:$A$175,$D1102&amp;""),1),M1102)&gt;0),"Valide","Invalide")</f>
        <v>Valide</v>
      </c>
      <c r="AH1102" s="15" t="str">
        <f t="shared" si="17"/>
        <v>En attente</v>
      </c>
    </row>
    <row r="1103" spans="1:34" s="15" customFormat="1" ht="65.25" hidden="1" customHeight="1" x14ac:dyDescent="0.3">
      <c r="A1103" s="42">
        <v>1104</v>
      </c>
      <c r="B1103" s="19" t="s">
        <v>10</v>
      </c>
      <c r="C1103" s="19" t="s">
        <v>1334</v>
      </c>
      <c r="D1103" s="20" t="s">
        <v>200</v>
      </c>
      <c r="E1103" s="20" t="s">
        <v>79</v>
      </c>
      <c r="F1103" s="21" t="s">
        <v>80</v>
      </c>
      <c r="G1103" s="38"/>
      <c r="H1103" s="39"/>
      <c r="I1103" s="39"/>
      <c r="J1103" s="21" t="s">
        <v>144</v>
      </c>
      <c r="K1103" s="21" t="s">
        <v>145</v>
      </c>
      <c r="L1103" s="21" t="s">
        <v>203</v>
      </c>
      <c r="M1103" s="21" t="s">
        <v>109</v>
      </c>
      <c r="N1103" s="21" t="s">
        <v>109</v>
      </c>
      <c r="O1103" s="20" t="s">
        <v>3716</v>
      </c>
      <c r="P1103" s="45">
        <v>46008</v>
      </c>
      <c r="Q1103" s="39" t="s">
        <v>3717</v>
      </c>
      <c r="R1103" s="19">
        <v>4682.8999999999996</v>
      </c>
      <c r="S1103" s="21">
        <v>0.2</v>
      </c>
      <c r="T1103" s="21">
        <v>5619.48</v>
      </c>
      <c r="U1103" s="44" t="s">
        <v>3718</v>
      </c>
      <c r="V1103" s="22">
        <v>46008</v>
      </c>
      <c r="W1103" s="54" t="s">
        <v>91</v>
      </c>
      <c r="X1103" s="23"/>
      <c r="Y1103" s="23" t="s">
        <v>92</v>
      </c>
      <c r="Z1103" s="56" t="s">
        <v>928</v>
      </c>
      <c r="AA1103" s="24">
        <v>867906</v>
      </c>
      <c r="AB1103" s="19"/>
      <c r="AC1103" s="19"/>
      <c r="AD1103" s="15" t="e">
        <f ca="1">IF(AND($D1103&lt;&gt;"",COUNTIF(OFFSET(UFS!$E$2,MATCH($D1103&amp;"",UFS!$A$2:$A$175,0)-1,0,COUNTIF(UFS!$A$2:$A$175,$D1103&amp;""),1),M1103)&gt;0),"Valide","Invalide")</f>
        <v>#N/A</v>
      </c>
      <c r="AH1103" s="15" t="str">
        <f t="shared" si="17"/>
        <v>En attente</v>
      </c>
    </row>
    <row r="1104" spans="1:34" s="15" customFormat="1" ht="45" hidden="1" customHeight="1" x14ac:dyDescent="0.3">
      <c r="A1104" s="42">
        <v>1105</v>
      </c>
      <c r="B1104" s="19" t="s">
        <v>20</v>
      </c>
      <c r="C1104" s="19" t="s">
        <v>35</v>
      </c>
      <c r="D1104" s="20" t="s">
        <v>233</v>
      </c>
      <c r="E1104" s="20" t="s">
        <v>79</v>
      </c>
      <c r="F1104" s="21" t="s">
        <v>80</v>
      </c>
      <c r="G1104" s="38" t="s">
        <v>81</v>
      </c>
      <c r="H1104" s="39" t="s">
        <v>426</v>
      </c>
      <c r="I1104" s="39" t="s">
        <v>83</v>
      </c>
      <c r="J1104" s="21" t="s">
        <v>124</v>
      </c>
      <c r="K1104" s="21" t="s">
        <v>235</v>
      </c>
      <c r="L1104" s="21" t="s">
        <v>177</v>
      </c>
      <c r="M1104" s="21" t="s">
        <v>109</v>
      </c>
      <c r="N1104" s="21" t="s">
        <v>109</v>
      </c>
      <c r="O1104" s="20" t="s">
        <v>3719</v>
      </c>
      <c r="P1104" s="45">
        <v>46006</v>
      </c>
      <c r="Q1104" s="39" t="s">
        <v>3720</v>
      </c>
      <c r="R1104" s="19">
        <v>371.53</v>
      </c>
      <c r="S1104" s="21">
        <v>0.1</v>
      </c>
      <c r="T1104" s="21">
        <v>408.68299999999999</v>
      </c>
      <c r="U1104" s="60" t="s">
        <v>2433</v>
      </c>
      <c r="V1104" s="22">
        <v>46008</v>
      </c>
      <c r="W1104" s="54" t="s">
        <v>91</v>
      </c>
      <c r="X1104" s="23"/>
      <c r="Y1104" s="23" t="s">
        <v>92</v>
      </c>
      <c r="Z1104" s="56" t="s">
        <v>928</v>
      </c>
      <c r="AA1104" s="24">
        <v>866039</v>
      </c>
      <c r="AB1104" s="19"/>
      <c r="AC1104" s="49" t="s">
        <v>161</v>
      </c>
      <c r="AD1104" s="15" t="str">
        <f ca="1">IF(AND($D1104&lt;&gt;"",COUNTIF(OFFSET(UFS!$E$2,MATCH($D1104&amp;"",UFS!$A$2:$A$175,0)-1,0,COUNTIF(UFS!$A$2:$A$175,$D1104&amp;""),1),M1104)&gt;0),"Valide","Invalide")</f>
        <v>Valide</v>
      </c>
      <c r="AH1104" s="15" t="str">
        <f t="shared" si="17"/>
        <v>En attente</v>
      </c>
    </row>
    <row r="1105" spans="1:34" s="15" customFormat="1" ht="45" hidden="1" customHeight="1" x14ac:dyDescent="0.3">
      <c r="A1105" s="42">
        <v>1106</v>
      </c>
      <c r="B1105" s="19" t="s">
        <v>6</v>
      </c>
      <c r="C1105" s="19" t="s">
        <v>21</v>
      </c>
      <c r="D1105" s="20" t="s">
        <v>587</v>
      </c>
      <c r="E1105" s="20" t="s">
        <v>79</v>
      </c>
      <c r="F1105" s="21" t="s">
        <v>80</v>
      </c>
      <c r="G1105" s="38" t="s">
        <v>533</v>
      </c>
      <c r="H1105" s="39" t="s">
        <v>534</v>
      </c>
      <c r="I1105" s="39" t="s">
        <v>535</v>
      </c>
      <c r="J1105" s="21" t="s">
        <v>144</v>
      </c>
      <c r="K1105" s="21" t="s">
        <v>145</v>
      </c>
      <c r="L1105" s="21" t="s">
        <v>203</v>
      </c>
      <c r="M1105" s="21" t="s">
        <v>589</v>
      </c>
      <c r="N1105" s="21" t="s">
        <v>589</v>
      </c>
      <c r="O1105" s="20" t="s">
        <v>3721</v>
      </c>
      <c r="P1105" s="45">
        <v>46003</v>
      </c>
      <c r="Q1105" s="39" t="s">
        <v>3722</v>
      </c>
      <c r="R1105" s="19">
        <v>4066</v>
      </c>
      <c r="S1105" s="21">
        <v>0.2</v>
      </c>
      <c r="T1105" s="21">
        <v>4879.2</v>
      </c>
      <c r="U1105" s="60" t="s">
        <v>3723</v>
      </c>
      <c r="V1105" s="22">
        <v>46008</v>
      </c>
      <c r="W1105" s="54" t="s">
        <v>91</v>
      </c>
      <c r="X1105" s="23"/>
      <c r="Y1105" s="23" t="s">
        <v>92</v>
      </c>
      <c r="Z1105" s="56" t="s">
        <v>928</v>
      </c>
      <c r="AA1105" s="24">
        <v>866147</v>
      </c>
      <c r="AB1105" s="19"/>
      <c r="AC1105" s="19"/>
      <c r="AD1105" s="15" t="str">
        <f ca="1">IF(AND($D1105&lt;&gt;"",COUNTIF(OFFSET(UFS!$E$2,MATCH($D1105&amp;"",UFS!$A$2:$A$175,0)-1,0,COUNTIF(UFS!$A$2:$A$175,$D1105&amp;""),1),M1105)&gt;0),"Valide","Invalide")</f>
        <v>Valide</v>
      </c>
      <c r="AH1105" s="15" t="str">
        <f t="shared" si="17"/>
        <v>En attente</v>
      </c>
    </row>
    <row r="1106" spans="1:34" s="15" customFormat="1" ht="45" hidden="1" customHeight="1" x14ac:dyDescent="0.3">
      <c r="A1106" s="42">
        <v>1107</v>
      </c>
      <c r="B1106" s="19" t="s">
        <v>6</v>
      </c>
      <c r="C1106" s="19" t="s">
        <v>21</v>
      </c>
      <c r="D1106" s="20" t="s">
        <v>587</v>
      </c>
      <c r="E1106" s="20" t="s">
        <v>79</v>
      </c>
      <c r="F1106" s="21" t="s">
        <v>80</v>
      </c>
      <c r="G1106" s="38" t="s">
        <v>533</v>
      </c>
      <c r="H1106" s="39" t="s">
        <v>534</v>
      </c>
      <c r="I1106" s="39" t="s">
        <v>535</v>
      </c>
      <c r="J1106" s="21" t="s">
        <v>144</v>
      </c>
      <c r="K1106" s="21" t="s">
        <v>145</v>
      </c>
      <c r="L1106" s="21" t="s">
        <v>203</v>
      </c>
      <c r="M1106" s="21" t="s">
        <v>589</v>
      </c>
      <c r="N1106" s="21" t="s">
        <v>589</v>
      </c>
      <c r="O1106" s="20" t="s">
        <v>3724</v>
      </c>
      <c r="P1106" s="45">
        <v>46006</v>
      </c>
      <c r="Q1106" s="39" t="s">
        <v>3725</v>
      </c>
      <c r="R1106" s="19">
        <v>2091.6999999999998</v>
      </c>
      <c r="S1106" s="21">
        <v>0.2</v>
      </c>
      <c r="T1106" s="21">
        <v>2510.04</v>
      </c>
      <c r="U1106" s="60" t="s">
        <v>3726</v>
      </c>
      <c r="V1106" s="22">
        <v>46008</v>
      </c>
      <c r="W1106" s="54" t="s">
        <v>91</v>
      </c>
      <c r="X1106" s="23"/>
      <c r="Y1106" s="23" t="s">
        <v>92</v>
      </c>
      <c r="Z1106" s="56" t="s">
        <v>928</v>
      </c>
      <c r="AA1106" s="24">
        <v>866142</v>
      </c>
      <c r="AB1106" s="19"/>
      <c r="AC1106" s="19"/>
      <c r="AD1106" s="15" t="str">
        <f ca="1">IF(AND($D1106&lt;&gt;"",COUNTIF(OFFSET(UFS!$E$2,MATCH($D1106&amp;"",UFS!$A$2:$A$175,0)-1,0,COUNTIF(UFS!$A$2:$A$175,$D1106&amp;""),1),M1106)&gt;0),"Valide","Invalide")</f>
        <v>Valide</v>
      </c>
      <c r="AH1106" s="15" t="str">
        <f t="shared" si="17"/>
        <v>En attente</v>
      </c>
    </row>
    <row r="1107" spans="1:34" s="15" customFormat="1" ht="45" hidden="1" customHeight="1" x14ac:dyDescent="0.3">
      <c r="A1107" s="42">
        <v>1108</v>
      </c>
      <c r="B1107" s="19" t="s">
        <v>709</v>
      </c>
      <c r="C1107" s="19" t="s">
        <v>23</v>
      </c>
      <c r="D1107" s="20" t="s">
        <v>1726</v>
      </c>
      <c r="E1107" s="20" t="s">
        <v>79</v>
      </c>
      <c r="F1107" s="21" t="s">
        <v>80</v>
      </c>
      <c r="G1107" s="38" t="s">
        <v>241</v>
      </c>
      <c r="H1107" s="39" t="s">
        <v>643</v>
      </c>
      <c r="I1107" s="39" t="s">
        <v>644</v>
      </c>
      <c r="J1107" s="21" t="s">
        <v>124</v>
      </c>
      <c r="K1107" s="21" t="s">
        <v>235</v>
      </c>
      <c r="L1107" s="21" t="s">
        <v>203</v>
      </c>
      <c r="M1107" s="21" t="s">
        <v>1345</v>
      </c>
      <c r="N1107" s="21" t="s">
        <v>109</v>
      </c>
      <c r="O1107" s="20" t="s">
        <v>3727</v>
      </c>
      <c r="P1107" s="45">
        <v>45981</v>
      </c>
      <c r="Q1107" s="39" t="s">
        <v>3728</v>
      </c>
      <c r="R1107" s="19">
        <v>5039.3100000000004</v>
      </c>
      <c r="S1107" s="21">
        <v>0.1</v>
      </c>
      <c r="T1107" s="21">
        <v>5543.24</v>
      </c>
      <c r="U1107" s="60" t="s">
        <v>3729</v>
      </c>
      <c r="V1107" s="22">
        <v>46008</v>
      </c>
      <c r="W1107" s="54" t="s">
        <v>91</v>
      </c>
      <c r="X1107" s="23"/>
      <c r="Y1107" s="23" t="s">
        <v>347</v>
      </c>
      <c r="Z1107" s="56" t="s">
        <v>1081</v>
      </c>
      <c r="AA1107" s="24"/>
      <c r="AB1107" s="19"/>
      <c r="AC1107" s="19"/>
      <c r="AD1107" s="15" t="str">
        <f ca="1">IF(AND($D1107&lt;&gt;"",COUNTIF(OFFSET(UFS!$E$2,MATCH($D1107&amp;"",UFS!$A$2:$A$175,0)-1,0,COUNTIF(UFS!$A$2:$A$175,$D1107&amp;""),1),M1107)&gt;0),"Valide","Invalide")</f>
        <v>Valide</v>
      </c>
      <c r="AH1107" s="15" t="str">
        <f t="shared" si="17"/>
        <v>En attente</v>
      </c>
    </row>
    <row r="1108" spans="1:34" s="15" customFormat="1" ht="45" hidden="1" customHeight="1" x14ac:dyDescent="0.3">
      <c r="A1108" s="42">
        <v>1109</v>
      </c>
      <c r="B1108" s="19" t="s">
        <v>709</v>
      </c>
      <c r="C1108" s="19" t="s">
        <v>23</v>
      </c>
      <c r="D1108" s="20" t="s">
        <v>130</v>
      </c>
      <c r="E1108" s="20" t="s">
        <v>79</v>
      </c>
      <c r="F1108" s="21" t="s">
        <v>80</v>
      </c>
      <c r="G1108" s="38" t="s">
        <v>241</v>
      </c>
      <c r="H1108" s="39" t="s">
        <v>643</v>
      </c>
      <c r="I1108" s="39" t="s">
        <v>644</v>
      </c>
      <c r="J1108" s="21" t="s">
        <v>124</v>
      </c>
      <c r="K1108" s="21" t="s">
        <v>3730</v>
      </c>
      <c r="L1108" s="21" t="s">
        <v>203</v>
      </c>
      <c r="M1108" s="21" t="s">
        <v>131</v>
      </c>
      <c r="N1108" s="21" t="s">
        <v>109</v>
      </c>
      <c r="O1108" s="20" t="s">
        <v>3731</v>
      </c>
      <c r="P1108" s="45">
        <v>45981</v>
      </c>
      <c r="Q1108" s="39" t="s">
        <v>3728</v>
      </c>
      <c r="R1108" s="19">
        <v>5990.88</v>
      </c>
      <c r="S1108" s="21">
        <v>0.1</v>
      </c>
      <c r="T1108" s="21">
        <v>6589.97</v>
      </c>
      <c r="U1108" s="60" t="s">
        <v>3732</v>
      </c>
      <c r="V1108" s="22">
        <v>46008</v>
      </c>
      <c r="W1108" s="54" t="s">
        <v>91</v>
      </c>
      <c r="X1108" s="23"/>
      <c r="Y1108" s="23" t="s">
        <v>347</v>
      </c>
      <c r="Z1108" s="56" t="s">
        <v>1081</v>
      </c>
      <c r="AA1108" s="24"/>
      <c r="AB1108" s="19"/>
      <c r="AC1108" s="19"/>
      <c r="AD1108" s="15" t="str">
        <f ca="1">IF(AND($D1108&lt;&gt;"",COUNTIF(OFFSET(UFS!$E$2,MATCH($D1108&amp;"",UFS!$A$2:$A$175,0)-1,0,COUNTIF(UFS!$A$2:$A$175,$D1108&amp;""),1),M1108)&gt;0),"Valide","Invalide")</f>
        <v>Valide</v>
      </c>
      <c r="AH1108" s="15" t="str">
        <f t="shared" si="17"/>
        <v>En attente</v>
      </c>
    </row>
    <row r="1109" spans="1:34" s="15" customFormat="1" ht="45" hidden="1" customHeight="1" x14ac:dyDescent="0.3">
      <c r="A1109" s="42">
        <v>1110</v>
      </c>
      <c r="B1109" s="19" t="s">
        <v>709</v>
      </c>
      <c r="C1109" s="19" t="s">
        <v>23</v>
      </c>
      <c r="D1109" s="20" t="s">
        <v>174</v>
      </c>
      <c r="E1109" s="20" t="s">
        <v>79</v>
      </c>
      <c r="F1109" s="21" t="s">
        <v>80</v>
      </c>
      <c r="G1109" s="38" t="s">
        <v>241</v>
      </c>
      <c r="H1109" s="39" t="s">
        <v>643</v>
      </c>
      <c r="I1109" s="39" t="s">
        <v>644</v>
      </c>
      <c r="J1109" s="21" t="s">
        <v>124</v>
      </c>
      <c r="K1109" s="21" t="s">
        <v>3733</v>
      </c>
      <c r="L1109" s="21" t="s">
        <v>203</v>
      </c>
      <c r="M1109" s="21" t="s">
        <v>136</v>
      </c>
      <c r="N1109" s="21" t="s">
        <v>109</v>
      </c>
      <c r="O1109" s="20" t="s">
        <v>3734</v>
      </c>
      <c r="P1109" s="45">
        <v>45981</v>
      </c>
      <c r="Q1109" s="39" t="s">
        <v>3728</v>
      </c>
      <c r="R1109" s="19">
        <v>8218.27</v>
      </c>
      <c r="S1109" s="21">
        <v>0.1</v>
      </c>
      <c r="T1109" s="21">
        <v>9040.1</v>
      </c>
      <c r="U1109" s="60" t="s">
        <v>3735</v>
      </c>
      <c r="V1109" s="22">
        <v>46008</v>
      </c>
      <c r="W1109" s="54" t="s">
        <v>91</v>
      </c>
      <c r="X1109" s="23"/>
      <c r="Y1109" s="23" t="s">
        <v>347</v>
      </c>
      <c r="Z1109" s="56" t="s">
        <v>1081</v>
      </c>
      <c r="AA1109" s="24"/>
      <c r="AB1109" s="19"/>
      <c r="AC1109" s="19"/>
      <c r="AD1109" s="15" t="str">
        <f ca="1">IF(AND($D1109&lt;&gt;"",COUNTIF(OFFSET(UFS!$E$2,MATCH($D1109&amp;"",UFS!$A$2:$A$175,0)-1,0,COUNTIF(UFS!$A$2:$A$175,$D1109&amp;""),1),M1109)&gt;0),"Valide","Invalide")</f>
        <v>Valide</v>
      </c>
      <c r="AH1109" s="15" t="str">
        <f t="shared" si="17"/>
        <v>En attente</v>
      </c>
    </row>
    <row r="1110" spans="1:34" s="15" customFormat="1" ht="45" hidden="1" customHeight="1" x14ac:dyDescent="0.3">
      <c r="A1110" s="42">
        <v>1111</v>
      </c>
      <c r="B1110" s="19" t="s">
        <v>10</v>
      </c>
      <c r="C1110" s="19" t="s">
        <v>35</v>
      </c>
      <c r="D1110" s="20" t="s">
        <v>604</v>
      </c>
      <c r="E1110" s="20" t="s">
        <v>79</v>
      </c>
      <c r="F1110" s="21" t="s">
        <v>80</v>
      </c>
      <c r="G1110" s="38" t="s">
        <v>81</v>
      </c>
      <c r="H1110" s="39" t="s">
        <v>426</v>
      </c>
      <c r="I1110" s="39" t="s">
        <v>83</v>
      </c>
      <c r="J1110" s="21" t="s">
        <v>144</v>
      </c>
      <c r="K1110" s="21" t="s">
        <v>145</v>
      </c>
      <c r="L1110" s="21" t="s">
        <v>146</v>
      </c>
      <c r="M1110" s="21" t="s">
        <v>146</v>
      </c>
      <c r="N1110" s="21" t="s">
        <v>605</v>
      </c>
      <c r="O1110" s="20" t="s">
        <v>3736</v>
      </c>
      <c r="P1110" s="45">
        <v>45954</v>
      </c>
      <c r="Q1110" s="39" t="s">
        <v>3737</v>
      </c>
      <c r="R1110" s="19">
        <v>1048.1099999999999</v>
      </c>
      <c r="S1110" s="21">
        <v>0.2</v>
      </c>
      <c r="T1110" s="21">
        <v>1257.732</v>
      </c>
      <c r="U1110" s="44" t="s">
        <v>3738</v>
      </c>
      <c r="V1110" s="22">
        <v>46008</v>
      </c>
      <c r="W1110" s="54" t="s">
        <v>91</v>
      </c>
      <c r="X1110" s="23"/>
      <c r="Y1110" s="23" t="s">
        <v>92</v>
      </c>
      <c r="Z1110" s="56" t="s">
        <v>928</v>
      </c>
      <c r="AA1110" s="24">
        <v>866136</v>
      </c>
      <c r="AB1110" s="19"/>
      <c r="AC1110" s="46" t="s">
        <v>94</v>
      </c>
      <c r="AD1110" s="15" t="str">
        <f ca="1">IF(AND($D1110&lt;&gt;"",COUNTIF(OFFSET(UFS!$E$2,MATCH($D1110&amp;"",UFS!$A$2:$A$175,0)-1,0,COUNTIF(UFS!$A$2:$A$175,$D1110&amp;""),1),M1110)&gt;0),"Valide","Invalide")</f>
        <v>Valide</v>
      </c>
      <c r="AH1110" s="15" t="str">
        <f t="shared" si="17"/>
        <v>En attente</v>
      </c>
    </row>
    <row r="1111" spans="1:34" s="15" customFormat="1" ht="45" hidden="1" customHeight="1" x14ac:dyDescent="0.3">
      <c r="A1111" s="42">
        <v>1112</v>
      </c>
      <c r="B1111" s="19" t="s">
        <v>20</v>
      </c>
      <c r="C1111" s="19" t="s">
        <v>1</v>
      </c>
      <c r="D1111" s="20" t="s">
        <v>152</v>
      </c>
      <c r="E1111" s="20" t="s">
        <v>79</v>
      </c>
      <c r="F1111" s="21" t="s">
        <v>80</v>
      </c>
      <c r="G1111" s="38" t="s">
        <v>81</v>
      </c>
      <c r="H1111" s="39" t="s">
        <v>82</v>
      </c>
      <c r="I1111" s="39" t="s">
        <v>83</v>
      </c>
      <c r="J1111" s="21" t="s">
        <v>84</v>
      </c>
      <c r="K1111" s="21" t="s">
        <v>113</v>
      </c>
      <c r="L1111" s="21" t="s">
        <v>86</v>
      </c>
      <c r="M1111" s="21" t="s">
        <v>115</v>
      </c>
      <c r="N1111" s="21" t="s">
        <v>102</v>
      </c>
      <c r="O1111" s="20" t="s">
        <v>3739</v>
      </c>
      <c r="P1111" s="45">
        <v>46006</v>
      </c>
      <c r="Q1111" s="39" t="s">
        <v>3740</v>
      </c>
      <c r="R1111" s="19">
        <v>1645.42</v>
      </c>
      <c r="S1111" s="21">
        <v>0.1</v>
      </c>
      <c r="T1111" s="21">
        <v>1809.962</v>
      </c>
      <c r="U1111" s="60" t="s">
        <v>439</v>
      </c>
      <c r="V1111" s="22">
        <v>46009</v>
      </c>
      <c r="W1111" s="54" t="s">
        <v>91</v>
      </c>
      <c r="X1111" s="23"/>
      <c r="Y1111" s="23" t="s">
        <v>347</v>
      </c>
      <c r="Z1111" s="56"/>
      <c r="AA1111" s="24"/>
      <c r="AB1111" s="19"/>
      <c r="AC1111" s="49" t="s">
        <v>161</v>
      </c>
      <c r="AD1111" s="15" t="str">
        <f ca="1">IF(AND($D1111&lt;&gt;"",COUNTIF(OFFSET(UFS!$E$2,MATCH($D1111&amp;"",UFS!$A$2:$A$175,0)-1,0,COUNTIF(UFS!$A$2:$A$175,$D1111&amp;""),1),M1111)&gt;0),"Valide","Invalide")</f>
        <v>Valide</v>
      </c>
      <c r="AH1111" s="15" t="str">
        <f t="shared" si="17"/>
        <v>En attente</v>
      </c>
    </row>
    <row r="1112" spans="1:34" s="15" customFormat="1" ht="45" hidden="1" customHeight="1" x14ac:dyDescent="0.3">
      <c r="A1112" s="42">
        <v>1113</v>
      </c>
      <c r="B1112" s="19" t="s">
        <v>20</v>
      </c>
      <c r="C1112" s="19" t="s">
        <v>1</v>
      </c>
      <c r="D1112" s="20" t="s">
        <v>598</v>
      </c>
      <c r="E1112" s="20" t="s">
        <v>79</v>
      </c>
      <c r="F1112" s="21" t="s">
        <v>80</v>
      </c>
      <c r="G1112" s="38" t="s">
        <v>81</v>
      </c>
      <c r="H1112" s="39" t="s">
        <v>82</v>
      </c>
      <c r="I1112" s="39" t="s">
        <v>83</v>
      </c>
      <c r="J1112" s="21" t="s">
        <v>183</v>
      </c>
      <c r="K1112" s="21" t="s">
        <v>184</v>
      </c>
      <c r="L1112" s="21" t="s">
        <v>492</v>
      </c>
      <c r="M1112" s="21" t="s">
        <v>186</v>
      </c>
      <c r="N1112" s="21" t="s">
        <v>102</v>
      </c>
      <c r="O1112" s="20" t="s">
        <v>3741</v>
      </c>
      <c r="P1112" s="45">
        <v>46006</v>
      </c>
      <c r="Q1112" s="39" t="s">
        <v>3742</v>
      </c>
      <c r="R1112" s="19">
        <v>840.74</v>
      </c>
      <c r="S1112" s="21">
        <v>0.1</v>
      </c>
      <c r="T1112" s="21">
        <v>924.81399999999996</v>
      </c>
      <c r="U1112" s="60" t="s">
        <v>439</v>
      </c>
      <c r="V1112" s="22">
        <v>46009</v>
      </c>
      <c r="W1112" s="54" t="s">
        <v>91</v>
      </c>
      <c r="X1112" s="23"/>
      <c r="Y1112" s="23"/>
      <c r="Z1112" s="56"/>
      <c r="AA1112" s="24"/>
      <c r="AB1112" s="19"/>
      <c r="AC1112" s="46" t="s">
        <v>94</v>
      </c>
      <c r="AD1112" s="15" t="str">
        <f ca="1">IF(AND($D1112&lt;&gt;"",COUNTIF(OFFSET(UFS!$E$2,MATCH($D1112&amp;"",UFS!$A$2:$A$175,0)-1,0,COUNTIF(UFS!$A$2:$A$175,$D1112&amp;""),1),M1112)&gt;0),"Valide","Invalide")</f>
        <v>Valide</v>
      </c>
      <c r="AH1112" s="15" t="str">
        <f t="shared" si="17"/>
        <v>En attente</v>
      </c>
    </row>
    <row r="1113" spans="1:34" s="15" customFormat="1" ht="45" hidden="1" customHeight="1" x14ac:dyDescent="0.3">
      <c r="A1113" s="42">
        <v>1114</v>
      </c>
      <c r="B1113" s="19" t="s">
        <v>20</v>
      </c>
      <c r="C1113" s="19" t="s">
        <v>1</v>
      </c>
      <c r="D1113" s="20" t="s">
        <v>628</v>
      </c>
      <c r="E1113" s="20" t="s">
        <v>79</v>
      </c>
      <c r="F1113" s="21" t="s">
        <v>80</v>
      </c>
      <c r="G1113" s="38" t="s">
        <v>81</v>
      </c>
      <c r="H1113" s="39" t="s">
        <v>82</v>
      </c>
      <c r="I1113" s="39" t="s">
        <v>83</v>
      </c>
      <c r="J1113" s="21" t="s">
        <v>124</v>
      </c>
      <c r="K1113" s="21" t="s">
        <v>125</v>
      </c>
      <c r="L1113" s="21" t="s">
        <v>629</v>
      </c>
      <c r="M1113" s="21" t="s">
        <v>136</v>
      </c>
      <c r="N1113" s="21" t="s">
        <v>102</v>
      </c>
      <c r="O1113" s="20" t="s">
        <v>3743</v>
      </c>
      <c r="P1113" s="45">
        <v>46006</v>
      </c>
      <c r="Q1113" s="39" t="s">
        <v>3744</v>
      </c>
      <c r="R1113" s="19">
        <v>565.75</v>
      </c>
      <c r="S1113" s="21">
        <v>0.1</v>
      </c>
      <c r="T1113" s="21">
        <v>622.32500000000005</v>
      </c>
      <c r="U1113" s="60" t="s">
        <v>439</v>
      </c>
      <c r="V1113" s="22">
        <v>46009</v>
      </c>
      <c r="W1113" s="54" t="s">
        <v>91</v>
      </c>
      <c r="X1113" s="23"/>
      <c r="Y1113" s="23"/>
      <c r="Z1113" s="56"/>
      <c r="AA1113" s="24"/>
      <c r="AB1113" s="19"/>
      <c r="AC1113" s="46" t="s">
        <v>94</v>
      </c>
      <c r="AD1113" s="15" t="str">
        <f ca="1">IF(AND($D1113&lt;&gt;"",COUNTIF(OFFSET(UFS!$E$2,MATCH($D1113&amp;"",UFS!$A$2:$A$175,0)-1,0,COUNTIF(UFS!$A$2:$A$175,$D1113&amp;""),1),M1113)&gt;0),"Valide","Invalide")</f>
        <v>Valide</v>
      </c>
      <c r="AH1113" s="15" t="str">
        <f t="shared" si="17"/>
        <v>En attente</v>
      </c>
    </row>
    <row r="1114" spans="1:34" s="15" customFormat="1" ht="45" hidden="1" customHeight="1" x14ac:dyDescent="0.3">
      <c r="A1114" s="42">
        <v>1115</v>
      </c>
      <c r="B1114" s="19" t="s">
        <v>20</v>
      </c>
      <c r="C1114" s="19" t="s">
        <v>1</v>
      </c>
      <c r="D1114" s="20" t="s">
        <v>2129</v>
      </c>
      <c r="E1114" s="20" t="s">
        <v>79</v>
      </c>
      <c r="F1114" s="21" t="s">
        <v>80</v>
      </c>
      <c r="G1114" s="38" t="s">
        <v>81</v>
      </c>
      <c r="H1114" s="39" t="s">
        <v>82</v>
      </c>
      <c r="I1114" s="39" t="s">
        <v>83</v>
      </c>
      <c r="J1114" s="21" t="s">
        <v>634</v>
      </c>
      <c r="K1114" s="21" t="s">
        <v>2130</v>
      </c>
      <c r="L1114" s="21" t="s">
        <v>342</v>
      </c>
      <c r="M1114" s="21" t="s">
        <v>2130</v>
      </c>
      <c r="N1114" s="21" t="s">
        <v>151</v>
      </c>
      <c r="O1114" s="20" t="s">
        <v>3745</v>
      </c>
      <c r="P1114" s="45">
        <v>46006</v>
      </c>
      <c r="Q1114" s="39" t="s">
        <v>3746</v>
      </c>
      <c r="R1114" s="19">
        <v>840.74</v>
      </c>
      <c r="S1114" s="21">
        <v>0.2</v>
      </c>
      <c r="T1114" s="21">
        <v>1008.888</v>
      </c>
      <c r="U1114" s="60" t="s">
        <v>439</v>
      </c>
      <c r="V1114" s="22">
        <v>46009</v>
      </c>
      <c r="W1114" s="54" t="s">
        <v>91</v>
      </c>
      <c r="X1114" s="23"/>
      <c r="Y1114" s="23"/>
      <c r="Z1114" s="56"/>
      <c r="AA1114" s="24"/>
      <c r="AB1114" s="19"/>
      <c r="AC1114" s="46" t="s">
        <v>94</v>
      </c>
      <c r="AD1114" s="15" t="str">
        <f ca="1">IF(AND($D1114&lt;&gt;"",COUNTIF(OFFSET(UFS!$E$2,MATCH($D1114&amp;"",UFS!$A$2:$A$175,0)-1,0,COUNTIF(UFS!$A$2:$A$175,$D1114&amp;""),1),M1114)&gt;0),"Valide","Invalide")</f>
        <v>Valide</v>
      </c>
      <c r="AH1114" s="15" t="str">
        <f t="shared" si="17"/>
        <v>En attente</v>
      </c>
    </row>
    <row r="1115" spans="1:34" s="15" customFormat="1" ht="45" customHeight="1" x14ac:dyDescent="0.3">
      <c r="A1115" s="42">
        <v>1116</v>
      </c>
      <c r="B1115" s="19" t="s">
        <v>24</v>
      </c>
      <c r="C1115" s="19" t="s">
        <v>28</v>
      </c>
      <c r="D1115" s="20" t="s">
        <v>233</v>
      </c>
      <c r="E1115" s="20" t="s">
        <v>79</v>
      </c>
      <c r="F1115" s="21" t="s">
        <v>80</v>
      </c>
      <c r="G1115" s="38" t="s">
        <v>81</v>
      </c>
      <c r="H1115" s="39" t="s">
        <v>82</v>
      </c>
      <c r="I1115" s="39" t="s">
        <v>83</v>
      </c>
      <c r="J1115" s="21" t="s">
        <v>124</v>
      </c>
      <c r="K1115" s="21" t="s">
        <v>235</v>
      </c>
      <c r="L1115" s="21" t="s">
        <v>177</v>
      </c>
      <c r="M1115" s="21" t="s">
        <v>109</v>
      </c>
      <c r="N1115" s="21" t="s">
        <v>109</v>
      </c>
      <c r="O1115" s="20"/>
      <c r="P1115" s="19"/>
      <c r="Q1115" s="39"/>
      <c r="R1115" s="19"/>
      <c r="S1115" s="21">
        <v>0.1</v>
      </c>
      <c r="T1115" s="21"/>
      <c r="U1115" s="39"/>
      <c r="V1115" s="21"/>
      <c r="W1115" s="54"/>
      <c r="X1115" s="23"/>
      <c r="Y1115" s="23"/>
      <c r="Z1115" s="56"/>
      <c r="AA1115" s="24"/>
      <c r="AB1115" s="19"/>
      <c r="AC1115" s="19"/>
      <c r="AD1115" s="15" t="str">
        <f ca="1">IF(AND($D1115&lt;&gt;"",COUNTIF(OFFSET(UFS!$E$2,MATCH($D1115&amp;"",UFS!$A$2:$A$175,0)-1,0,COUNTIF(UFS!$A$2:$A$175,$D1115&amp;""),1),M1115)&gt;0),"Valide","Invalide")</f>
        <v>Valide</v>
      </c>
      <c r="AH1115" s="15" t="str">
        <f t="shared" si="17"/>
        <v/>
      </c>
    </row>
    <row r="1116" spans="1:34" s="15" customFormat="1" ht="45" hidden="1" customHeight="1" x14ac:dyDescent="0.3">
      <c r="A1116" s="42">
        <v>1117</v>
      </c>
      <c r="B1116" s="19" t="s">
        <v>6</v>
      </c>
      <c r="C1116" s="19" t="s">
        <v>1357</v>
      </c>
      <c r="D1116" s="20" t="s">
        <v>587</v>
      </c>
      <c r="E1116" s="20" t="s">
        <v>79</v>
      </c>
      <c r="F1116" s="21" t="s">
        <v>80</v>
      </c>
      <c r="G1116" s="38" t="s">
        <v>241</v>
      </c>
      <c r="H1116" s="39" t="s">
        <v>381</v>
      </c>
      <c r="I1116" s="39"/>
      <c r="J1116" s="21" t="s">
        <v>144</v>
      </c>
      <c r="K1116" s="21" t="s">
        <v>145</v>
      </c>
      <c r="L1116" s="21" t="s">
        <v>203</v>
      </c>
      <c r="M1116" s="21" t="s">
        <v>589</v>
      </c>
      <c r="N1116" s="21" t="s">
        <v>589</v>
      </c>
      <c r="O1116" s="20" t="s">
        <v>3747</v>
      </c>
      <c r="P1116" s="45">
        <v>46013</v>
      </c>
      <c r="Q1116" s="39" t="s">
        <v>1492</v>
      </c>
      <c r="R1116" s="19">
        <v>37120</v>
      </c>
      <c r="S1116" s="21">
        <v>0.2</v>
      </c>
      <c r="T1116" s="21">
        <v>44544</v>
      </c>
      <c r="U1116" s="44" t="s">
        <v>3748</v>
      </c>
      <c r="V1116" s="22">
        <v>46010</v>
      </c>
      <c r="W1116" s="54" t="s">
        <v>91</v>
      </c>
      <c r="X1116" s="23"/>
      <c r="Y1116" s="23"/>
      <c r="Z1116" s="56"/>
      <c r="AA1116" s="24"/>
      <c r="AB1116" s="19"/>
      <c r="AC1116" s="19"/>
      <c r="AD1116" s="15" t="str">
        <f ca="1">IF(AND($D1116&lt;&gt;"",COUNTIF(OFFSET(UFS!$E$2,MATCH($D1116&amp;"",UFS!$A$2:$A$175,0)-1,0,COUNTIF(UFS!$A$2:$A$175,$D1116&amp;""),1),M1116)&gt;0),"Valide","Invalide")</f>
        <v>Valide</v>
      </c>
      <c r="AH1116" s="15" t="str">
        <f t="shared" si="17"/>
        <v>En attente</v>
      </c>
    </row>
    <row r="1117" spans="1:34" s="15" customFormat="1" ht="45" hidden="1" customHeight="1" x14ac:dyDescent="0.3">
      <c r="A1117" s="42">
        <v>1118</v>
      </c>
      <c r="B1117" s="19" t="s">
        <v>20</v>
      </c>
      <c r="C1117" s="19" t="s">
        <v>7</v>
      </c>
      <c r="D1117" s="20" t="s">
        <v>200</v>
      </c>
      <c r="E1117" s="20" t="s">
        <v>79</v>
      </c>
      <c r="F1117" s="21" t="s">
        <v>80</v>
      </c>
      <c r="G1117" s="38" t="s">
        <v>241</v>
      </c>
      <c r="H1117" s="39" t="s">
        <v>261</v>
      </c>
      <c r="I1117" s="39"/>
      <c r="J1117" s="21" t="s">
        <v>144</v>
      </c>
      <c r="K1117" s="21" t="s">
        <v>145</v>
      </c>
      <c r="L1117" s="21" t="s">
        <v>203</v>
      </c>
      <c r="M1117" s="21" t="s">
        <v>109</v>
      </c>
      <c r="N1117" s="21" t="s">
        <v>109</v>
      </c>
      <c r="O1117" s="20" t="s">
        <v>3749</v>
      </c>
      <c r="P1117" s="45">
        <v>45936</v>
      </c>
      <c r="Q1117" s="39" t="s">
        <v>3750</v>
      </c>
      <c r="R1117" s="19">
        <v>250</v>
      </c>
      <c r="S1117" s="21">
        <v>0.2</v>
      </c>
      <c r="T1117" s="21">
        <v>300</v>
      </c>
      <c r="U1117" s="60" t="s">
        <v>265</v>
      </c>
      <c r="V1117" s="22">
        <v>46010</v>
      </c>
      <c r="W1117" s="54" t="s">
        <v>91</v>
      </c>
      <c r="X1117" s="23"/>
      <c r="Y1117" s="23"/>
      <c r="Z1117" s="56"/>
      <c r="AA1117" s="24"/>
      <c r="AB1117" s="19"/>
      <c r="AC1117" s="46" t="s">
        <v>94</v>
      </c>
      <c r="AD1117" s="15" t="e">
        <f ca="1">IF(AND($D1117&lt;&gt;"",COUNTIF(OFFSET(UFS!$E$2,MATCH($D1117&amp;"",UFS!$A$2:$A$175,0)-1,0,COUNTIF(UFS!$A$2:$A$175,$D1117&amp;""),1),M1117)&gt;0),"Valide","Invalide")</f>
        <v>#N/A</v>
      </c>
      <c r="AH1117" s="15" t="str">
        <f t="shared" si="17"/>
        <v>En attente</v>
      </c>
    </row>
    <row r="1118" spans="1:34" s="15" customFormat="1" ht="45" hidden="1" customHeight="1" x14ac:dyDescent="0.3">
      <c r="A1118" s="42">
        <v>1119</v>
      </c>
      <c r="B1118" s="19" t="s">
        <v>24</v>
      </c>
      <c r="C1118" s="19" t="s">
        <v>32</v>
      </c>
      <c r="D1118" s="20" t="s">
        <v>882</v>
      </c>
      <c r="E1118" s="20" t="s">
        <v>79</v>
      </c>
      <c r="F1118" s="21" t="s">
        <v>80</v>
      </c>
      <c r="G1118" s="38" t="s">
        <v>81</v>
      </c>
      <c r="H1118" s="39" t="s">
        <v>211</v>
      </c>
      <c r="I1118" s="39" t="s">
        <v>83</v>
      </c>
      <c r="J1118" s="21" t="s">
        <v>883</v>
      </c>
      <c r="K1118" s="21" t="s">
        <v>744</v>
      </c>
      <c r="L1118" s="21" t="s">
        <v>126</v>
      </c>
      <c r="M1118" s="21" t="s">
        <v>744</v>
      </c>
      <c r="N1118" s="21" t="s">
        <v>884</v>
      </c>
      <c r="O1118" s="20" t="s">
        <v>3751</v>
      </c>
      <c r="P1118" s="45">
        <v>46013</v>
      </c>
      <c r="Q1118" s="39" t="s">
        <v>3752</v>
      </c>
      <c r="R1118" s="19">
        <v>373.62</v>
      </c>
      <c r="S1118" s="21">
        <v>0.2</v>
      </c>
      <c r="T1118" s="21">
        <v>448.34399999999999</v>
      </c>
      <c r="U1118" s="44" t="s">
        <v>3753</v>
      </c>
      <c r="V1118" s="22">
        <v>46014</v>
      </c>
      <c r="W1118" s="54" t="s">
        <v>91</v>
      </c>
      <c r="X1118" s="23"/>
      <c r="Y1118" s="23" t="s">
        <v>92</v>
      </c>
      <c r="Z1118" s="56" t="s">
        <v>928</v>
      </c>
      <c r="AA1118" s="24">
        <v>867911</v>
      </c>
      <c r="AB1118" s="47">
        <v>46021</v>
      </c>
      <c r="AC1118" s="46" t="s">
        <v>94</v>
      </c>
      <c r="AD1118" s="15" t="str">
        <f ca="1">IF(AND($D1118&lt;&gt;"",COUNTIF(OFFSET(UFS!$E$2,MATCH($D1118&amp;"",UFS!$A$2:$A$175,0)-1,0,COUNTIF(UFS!$A$2:$A$175,$D1118&amp;""),1),M1118)&gt;0),"Valide","Invalide")</f>
        <v>Valide</v>
      </c>
      <c r="AH1118" s="15" t="str">
        <f t="shared" si="17"/>
        <v>En attente</v>
      </c>
    </row>
    <row r="1119" spans="1:34" s="15" customFormat="1" ht="45" hidden="1" customHeight="1" x14ac:dyDescent="0.3">
      <c r="A1119" s="42">
        <v>1120</v>
      </c>
      <c r="B1119" s="19" t="s">
        <v>24</v>
      </c>
      <c r="C1119" s="19" t="s">
        <v>15</v>
      </c>
      <c r="D1119" s="20" t="s">
        <v>3365</v>
      </c>
      <c r="E1119" s="20" t="s">
        <v>79</v>
      </c>
      <c r="F1119" s="21" t="s">
        <v>80</v>
      </c>
      <c r="G1119" s="38" t="s">
        <v>81</v>
      </c>
      <c r="H1119" s="39" t="s">
        <v>139</v>
      </c>
      <c r="I1119" s="39"/>
      <c r="J1119" s="21" t="s">
        <v>84</v>
      </c>
      <c r="K1119" s="21" t="s">
        <v>3366</v>
      </c>
      <c r="L1119" s="21" t="s">
        <v>114</v>
      </c>
      <c r="M1119" s="21" t="s">
        <v>3367</v>
      </c>
      <c r="N1119" s="21" t="s">
        <v>3368</v>
      </c>
      <c r="O1119" s="20" t="s">
        <v>3754</v>
      </c>
      <c r="P1119" s="45">
        <v>46014</v>
      </c>
      <c r="Q1119" s="39" t="s">
        <v>3755</v>
      </c>
      <c r="R1119" s="19">
        <v>3253.71</v>
      </c>
      <c r="S1119" s="21">
        <v>0.2</v>
      </c>
      <c r="T1119" s="21">
        <v>3904.4520000000002</v>
      </c>
      <c r="U1119" s="44" t="s">
        <v>3756</v>
      </c>
      <c r="V1119" s="22">
        <v>46017</v>
      </c>
      <c r="W1119" s="54" t="s">
        <v>91</v>
      </c>
      <c r="X1119" s="23"/>
      <c r="Y1119" s="23" t="s">
        <v>92</v>
      </c>
      <c r="Z1119" s="56" t="s">
        <v>928</v>
      </c>
      <c r="AA1119" s="24">
        <v>867912</v>
      </c>
      <c r="AB1119" s="47">
        <v>46014</v>
      </c>
      <c r="AC1119" s="46" t="s">
        <v>94</v>
      </c>
      <c r="AD1119" s="15" t="str">
        <f ca="1">IF(AND($D1119&lt;&gt;"",COUNTIF(OFFSET(UFS!$E$2,MATCH($D1119&amp;"",UFS!$A$2:$A$175,0)-1,0,COUNTIF(UFS!$A$2:$A$175,$D1119&amp;""),1),M1119)&gt;0),"Valide","Invalide")</f>
        <v>Valide</v>
      </c>
      <c r="AH1119" s="15" t="str">
        <f t="shared" si="17"/>
        <v>En attente</v>
      </c>
    </row>
    <row r="1120" spans="1:34" s="15" customFormat="1" ht="45" hidden="1" customHeight="1" x14ac:dyDescent="0.3">
      <c r="A1120" s="42">
        <v>1121</v>
      </c>
      <c r="B1120" s="19" t="s">
        <v>6</v>
      </c>
      <c r="C1120" s="19" t="s">
        <v>31</v>
      </c>
      <c r="D1120" s="20" t="s">
        <v>587</v>
      </c>
      <c r="E1120" s="20" t="s">
        <v>79</v>
      </c>
      <c r="F1120" s="21" t="s">
        <v>80</v>
      </c>
      <c r="G1120" s="38" t="s">
        <v>241</v>
      </c>
      <c r="H1120" s="39" t="s">
        <v>242</v>
      </c>
      <c r="I1120" s="39" t="s">
        <v>243</v>
      </c>
      <c r="J1120" s="21" t="s">
        <v>144</v>
      </c>
      <c r="K1120" s="21" t="s">
        <v>145</v>
      </c>
      <c r="L1120" s="21" t="s">
        <v>203</v>
      </c>
      <c r="M1120" s="21" t="s">
        <v>589</v>
      </c>
      <c r="N1120" s="21" t="s">
        <v>589</v>
      </c>
      <c r="O1120" s="20" t="s">
        <v>3757</v>
      </c>
      <c r="P1120" s="45">
        <v>46020</v>
      </c>
      <c r="Q1120" s="39" t="s">
        <v>3758</v>
      </c>
      <c r="R1120" s="19">
        <v>2166.8000000000002</v>
      </c>
      <c r="S1120" s="21">
        <v>0.2</v>
      </c>
      <c r="T1120" s="21">
        <v>2600.1600000000003</v>
      </c>
      <c r="U1120" s="44" t="s">
        <v>3759</v>
      </c>
      <c r="V1120" s="22">
        <v>46021</v>
      </c>
      <c r="W1120" s="54" t="s">
        <v>91</v>
      </c>
      <c r="X1120" s="23"/>
      <c r="Y1120" s="23"/>
      <c r="Z1120" s="56" t="s">
        <v>3760</v>
      </c>
      <c r="AA1120" s="24"/>
      <c r="AB1120" s="19"/>
      <c r="AC1120" s="19"/>
      <c r="AD1120" s="15" t="str">
        <f ca="1">IF(AND($D1120&lt;&gt;"",COUNTIF(OFFSET(UFS!$E$2,MATCH($D1120&amp;"",UFS!$A$2:$A$175,0)-1,0,COUNTIF(UFS!$A$2:$A$175,$D1120&amp;""),1),M1120)&gt;0),"Valide","Invalide")</f>
        <v>Valide</v>
      </c>
      <c r="AH1120" s="15" t="str">
        <f t="shared" si="17"/>
        <v>En attente</v>
      </c>
    </row>
    <row r="1121" spans="1:34" s="15" customFormat="1" ht="45" hidden="1" customHeight="1" x14ac:dyDescent="0.3">
      <c r="A1121" s="42">
        <v>1122</v>
      </c>
      <c r="B1121" s="19" t="s">
        <v>6</v>
      </c>
      <c r="C1121" s="19" t="s">
        <v>31</v>
      </c>
      <c r="D1121" s="20" t="s">
        <v>587</v>
      </c>
      <c r="E1121" s="20" t="s">
        <v>79</v>
      </c>
      <c r="F1121" s="21" t="s">
        <v>80</v>
      </c>
      <c r="G1121" s="38" t="s">
        <v>241</v>
      </c>
      <c r="H1121" s="39" t="s">
        <v>242</v>
      </c>
      <c r="I1121" s="39" t="s">
        <v>243</v>
      </c>
      <c r="J1121" s="21" t="s">
        <v>144</v>
      </c>
      <c r="K1121" s="21" t="s">
        <v>145</v>
      </c>
      <c r="L1121" s="21" t="s">
        <v>203</v>
      </c>
      <c r="M1121" s="21" t="s">
        <v>589</v>
      </c>
      <c r="N1121" s="21" t="s">
        <v>589</v>
      </c>
      <c r="O1121" s="20" t="s">
        <v>3761</v>
      </c>
      <c r="P1121" s="45">
        <v>46013</v>
      </c>
      <c r="Q1121" s="39" t="s">
        <v>3762</v>
      </c>
      <c r="R1121" s="19">
        <v>2347.38</v>
      </c>
      <c r="S1121" s="21">
        <v>0.2</v>
      </c>
      <c r="T1121" s="21">
        <v>2816.8560000000002</v>
      </c>
      <c r="U1121" s="44" t="s">
        <v>3763</v>
      </c>
      <c r="V1121" s="22">
        <v>46022</v>
      </c>
      <c r="W1121" s="54" t="s">
        <v>91</v>
      </c>
      <c r="X1121" s="23"/>
      <c r="Y1121" s="23"/>
      <c r="Z1121" s="56"/>
      <c r="AA1121" s="24"/>
      <c r="AB1121" s="19"/>
      <c r="AC1121" s="19"/>
      <c r="AD1121" s="15" t="str">
        <f ca="1">IF(AND($D1121&lt;&gt;"",COUNTIF(OFFSET(UFS!$E$2,MATCH($D1121&amp;"",UFS!$A$2:$A$175,0)-1,0,COUNTIF(UFS!$A$2:$A$175,$D1121&amp;""),1),M1121)&gt;0),"Valide","Invalide")</f>
        <v>Valide</v>
      </c>
      <c r="AH1121" s="15" t="str">
        <f t="shared" si="17"/>
        <v>En attente</v>
      </c>
    </row>
    <row r="1122" spans="1:34" s="15" customFormat="1" ht="45" hidden="1" customHeight="1" x14ac:dyDescent="0.3">
      <c r="A1122" s="42">
        <v>1123</v>
      </c>
      <c r="B1122" s="19" t="s">
        <v>20</v>
      </c>
      <c r="C1122" s="19" t="s">
        <v>1</v>
      </c>
      <c r="D1122" s="20" t="s">
        <v>473</v>
      </c>
      <c r="E1122" s="20" t="s">
        <v>79</v>
      </c>
      <c r="F1122" s="21" t="s">
        <v>80</v>
      </c>
      <c r="G1122" s="38" t="s">
        <v>81</v>
      </c>
      <c r="H1122" s="39" t="s">
        <v>82</v>
      </c>
      <c r="I1122" s="39" t="s">
        <v>83</v>
      </c>
      <c r="J1122" s="21" t="s">
        <v>268</v>
      </c>
      <c r="K1122" s="21" t="s">
        <v>269</v>
      </c>
      <c r="L1122" s="21" t="s">
        <v>270</v>
      </c>
      <c r="M1122" s="21" t="s">
        <v>269</v>
      </c>
      <c r="N1122" s="21" t="s">
        <v>87</v>
      </c>
      <c r="O1122" s="20" t="s">
        <v>3764</v>
      </c>
      <c r="P1122" s="45">
        <v>45990</v>
      </c>
      <c r="Q1122" s="39" t="s">
        <v>3765</v>
      </c>
      <c r="R1122" s="19">
        <v>274.99</v>
      </c>
      <c r="S1122" s="21">
        <v>0.2</v>
      </c>
      <c r="T1122" s="21">
        <v>329.988</v>
      </c>
      <c r="U1122" s="44" t="s">
        <v>439</v>
      </c>
      <c r="V1122" s="22">
        <v>46022</v>
      </c>
      <c r="W1122" s="54" t="s">
        <v>91</v>
      </c>
      <c r="X1122" s="23"/>
      <c r="Y1122" s="23"/>
      <c r="Z1122" s="56"/>
      <c r="AA1122" s="24"/>
      <c r="AB1122" s="19"/>
      <c r="AC1122" s="46" t="s">
        <v>94</v>
      </c>
      <c r="AD1122" s="15" t="str">
        <f ca="1">IF(AND($D1122&lt;&gt;"",COUNTIF(OFFSET(UFS!$E$2,MATCH($D1122&amp;"",UFS!$A$2:$A$175,0)-1,0,COUNTIF(UFS!$A$2:$A$175,$D1122&amp;""),1),M1122)&gt;0),"Valide","Invalide")</f>
        <v>Valide</v>
      </c>
      <c r="AH1122" s="15" t="str">
        <f t="shared" si="17"/>
        <v>En attente</v>
      </c>
    </row>
    <row r="1123" spans="1:34" s="15" customFormat="1" ht="45" hidden="1" customHeight="1" x14ac:dyDescent="0.3">
      <c r="A1123" s="42">
        <v>1124</v>
      </c>
      <c r="B1123" s="19"/>
      <c r="C1123" s="19"/>
      <c r="D1123" s="20"/>
      <c r="E1123" s="20"/>
      <c r="F1123" s="21"/>
      <c r="G1123" s="38"/>
      <c r="H1123" s="39"/>
      <c r="I1123" s="39"/>
      <c r="J1123" s="21"/>
      <c r="K1123" s="21"/>
      <c r="L1123" s="21"/>
      <c r="M1123" s="21"/>
      <c r="N1123" s="21"/>
      <c r="O1123" s="20"/>
      <c r="P1123" s="19"/>
      <c r="Q1123" s="39"/>
      <c r="R1123" s="19"/>
      <c r="S1123" s="21"/>
      <c r="T1123" s="21"/>
      <c r="U1123" s="39"/>
      <c r="V1123" s="21"/>
      <c r="W1123" s="54"/>
      <c r="X1123" s="23"/>
      <c r="Y1123" s="23"/>
      <c r="Z1123" s="56"/>
      <c r="AA1123" s="24"/>
      <c r="AB1123" s="19"/>
      <c r="AC1123" s="19"/>
      <c r="AD1123" s="15" t="e">
        <f ca="1">IF(AND($D1123&lt;&gt;"",COUNTIF(OFFSET(UFS!$E$2,MATCH($D1123&amp;"",UFS!$A$2:$A$175,0)-1,0,COUNTIF(UFS!$A$2:$A$175,$D1123&amp;""),1),M1123)&gt;0),"Valide","Invalide")</f>
        <v>#N/A</v>
      </c>
      <c r="AH1123" s="15" t="str">
        <f t="shared" si="17"/>
        <v/>
      </c>
    </row>
    <row r="1124" spans="1:34" s="15" customFormat="1" ht="45" hidden="1" customHeight="1" x14ac:dyDescent="0.3">
      <c r="A1124" s="42">
        <v>1125</v>
      </c>
      <c r="B1124" s="19"/>
      <c r="C1124" s="19"/>
      <c r="D1124" s="20"/>
      <c r="E1124" s="20"/>
      <c r="F1124" s="21"/>
      <c r="G1124" s="38"/>
      <c r="H1124" s="39"/>
      <c r="I1124" s="39"/>
      <c r="J1124" s="21"/>
      <c r="K1124" s="21"/>
      <c r="L1124" s="21"/>
      <c r="M1124" s="21"/>
      <c r="N1124" s="21"/>
      <c r="O1124" s="20"/>
      <c r="P1124" s="19"/>
      <c r="Q1124" s="39"/>
      <c r="R1124" s="19"/>
      <c r="S1124" s="21"/>
      <c r="T1124" s="21"/>
      <c r="U1124" s="39"/>
      <c r="V1124" s="21"/>
      <c r="W1124" s="54"/>
      <c r="X1124" s="23"/>
      <c r="Y1124" s="23"/>
      <c r="Z1124" s="56"/>
      <c r="AA1124" s="24"/>
      <c r="AB1124" s="19"/>
      <c r="AC1124" s="19"/>
      <c r="AD1124" s="15" t="e">
        <f ca="1">IF(AND($D1124&lt;&gt;"",COUNTIF(OFFSET(UFS!$E$2,MATCH($D1124&amp;"",UFS!$A$2:$A$175,0)-1,0,COUNTIF(UFS!$A$2:$A$175,$D1124&amp;""),1),M1124)&gt;0),"Valide","Invalide")</f>
        <v>#N/A</v>
      </c>
      <c r="AH1124" s="15" t="str">
        <f t="shared" si="17"/>
        <v/>
      </c>
    </row>
    <row r="1125" spans="1:34" s="15" customFormat="1" ht="45" hidden="1" customHeight="1" x14ac:dyDescent="0.3">
      <c r="A1125" s="42">
        <v>1126</v>
      </c>
      <c r="B1125" s="19"/>
      <c r="C1125" s="19"/>
      <c r="D1125" s="20"/>
      <c r="E1125" s="20"/>
      <c r="F1125" s="21"/>
      <c r="G1125" s="38"/>
      <c r="H1125" s="39"/>
      <c r="I1125" s="39"/>
      <c r="J1125" s="21"/>
      <c r="K1125" s="21"/>
      <c r="L1125" s="21"/>
      <c r="M1125" s="21"/>
      <c r="N1125" s="21"/>
      <c r="O1125" s="20"/>
      <c r="P1125" s="19"/>
      <c r="Q1125" s="39"/>
      <c r="R1125" s="19"/>
      <c r="S1125" s="21"/>
      <c r="T1125" s="21"/>
      <c r="U1125" s="39"/>
      <c r="V1125" s="21"/>
      <c r="W1125" s="54"/>
      <c r="X1125" s="23"/>
      <c r="Y1125" s="23"/>
      <c r="Z1125" s="56"/>
      <c r="AA1125" s="24"/>
      <c r="AB1125" s="19"/>
      <c r="AC1125" s="19"/>
      <c r="AD1125" s="15" t="e">
        <f ca="1">IF(AND($D1125&lt;&gt;"",COUNTIF(OFFSET(UFS!$E$2,MATCH($D1125&amp;"",UFS!$A$2:$A$175,0)-1,0,COUNTIF(UFS!$A$2:$A$175,$D1125&amp;""),1),M1125)&gt;0),"Valide","Invalide")</f>
        <v>#N/A</v>
      </c>
      <c r="AH1125" s="15" t="str">
        <f t="shared" si="17"/>
        <v/>
      </c>
    </row>
    <row r="1126" spans="1:34" s="15" customFormat="1" ht="45" hidden="1" customHeight="1" x14ac:dyDescent="0.3">
      <c r="A1126" s="42">
        <v>1127</v>
      </c>
      <c r="B1126" s="19"/>
      <c r="C1126" s="19"/>
      <c r="D1126" s="20"/>
      <c r="E1126" s="20"/>
      <c r="F1126" s="21"/>
      <c r="G1126" s="38"/>
      <c r="H1126" s="39"/>
      <c r="I1126" s="39"/>
      <c r="J1126" s="21"/>
      <c r="K1126" s="21"/>
      <c r="L1126" s="21"/>
      <c r="M1126" s="21"/>
      <c r="N1126" s="21"/>
      <c r="O1126" s="20"/>
      <c r="P1126" s="19"/>
      <c r="Q1126" s="39"/>
      <c r="R1126" s="19"/>
      <c r="S1126" s="21"/>
      <c r="T1126" s="21"/>
      <c r="U1126" s="39"/>
      <c r="V1126" s="21"/>
      <c r="W1126" s="54"/>
      <c r="X1126" s="23"/>
      <c r="Y1126" s="23"/>
      <c r="Z1126" s="56"/>
      <c r="AA1126" s="24"/>
      <c r="AB1126" s="19"/>
      <c r="AC1126" s="19"/>
      <c r="AD1126" s="15" t="e">
        <f ca="1">IF(AND($D1126&lt;&gt;"",COUNTIF(OFFSET(UFS!$E$2,MATCH($D1126&amp;"",UFS!$A$2:$A$175,0)-1,0,COUNTIF(UFS!$A$2:$A$175,$D1126&amp;""),1),M1126)&gt;0),"Valide","Invalide")</f>
        <v>#N/A</v>
      </c>
      <c r="AH1126" s="15" t="str">
        <f t="shared" si="17"/>
        <v/>
      </c>
    </row>
    <row r="1127" spans="1:34" s="15" customFormat="1" ht="45" hidden="1" customHeight="1" x14ac:dyDescent="0.3">
      <c r="A1127" s="42">
        <v>1128</v>
      </c>
      <c r="B1127" s="19"/>
      <c r="C1127" s="19"/>
      <c r="D1127" s="20"/>
      <c r="E1127" s="20"/>
      <c r="F1127" s="21"/>
      <c r="G1127" s="38"/>
      <c r="H1127" s="39"/>
      <c r="I1127" s="39"/>
      <c r="J1127" s="21"/>
      <c r="K1127" s="21"/>
      <c r="L1127" s="21"/>
      <c r="M1127" s="21"/>
      <c r="N1127" s="21"/>
      <c r="O1127" s="20"/>
      <c r="P1127" s="19"/>
      <c r="Q1127" s="39"/>
      <c r="R1127" s="19"/>
      <c r="S1127" s="21"/>
      <c r="T1127" s="21"/>
      <c r="U1127" s="39"/>
      <c r="V1127" s="21"/>
      <c r="W1127" s="54"/>
      <c r="X1127" s="23"/>
      <c r="Y1127" s="23"/>
      <c r="Z1127" s="56"/>
      <c r="AA1127" s="24"/>
      <c r="AB1127" s="19"/>
      <c r="AC1127" s="19"/>
      <c r="AD1127" s="15" t="e">
        <f ca="1">IF(AND($D1127&lt;&gt;"",COUNTIF(OFFSET(UFS!$E$2,MATCH($D1127&amp;"",UFS!$A$2:$A$175,0)-1,0,COUNTIF(UFS!$A$2:$A$175,$D1127&amp;""),1),M1127)&gt;0),"Valide","Invalide")</f>
        <v>#N/A</v>
      </c>
      <c r="AH1127" s="15" t="str">
        <f t="shared" si="17"/>
        <v/>
      </c>
    </row>
    <row r="1128" spans="1:34" s="15" customFormat="1" ht="45" hidden="1" customHeight="1" x14ac:dyDescent="0.3">
      <c r="A1128" s="42">
        <v>1129</v>
      </c>
      <c r="B1128" s="19"/>
      <c r="C1128" s="19"/>
      <c r="D1128" s="20"/>
      <c r="E1128" s="20"/>
      <c r="F1128" s="21"/>
      <c r="G1128" s="38"/>
      <c r="H1128" s="39"/>
      <c r="I1128" s="39"/>
      <c r="J1128" s="21"/>
      <c r="K1128" s="21"/>
      <c r="L1128" s="21"/>
      <c r="M1128" s="21"/>
      <c r="N1128" s="21"/>
      <c r="O1128" s="20"/>
      <c r="P1128" s="19"/>
      <c r="Q1128" s="39"/>
      <c r="R1128" s="19"/>
      <c r="S1128" s="21"/>
      <c r="T1128" s="21"/>
      <c r="U1128" s="39"/>
      <c r="V1128" s="21"/>
      <c r="W1128" s="54"/>
      <c r="X1128" s="23"/>
      <c r="Y1128" s="23"/>
      <c r="Z1128" s="56"/>
      <c r="AA1128" s="24"/>
      <c r="AB1128" s="19"/>
      <c r="AC1128" s="19"/>
      <c r="AD1128" s="15" t="e">
        <f ca="1">IF(AND($D1128&lt;&gt;"",COUNTIF(OFFSET(UFS!$E$2,MATCH($D1128&amp;"",UFS!$A$2:$A$175,0)-1,0,COUNTIF(UFS!$A$2:$A$175,$D1128&amp;""),1),M1128)&gt;0),"Valide","Invalide")</f>
        <v>#N/A</v>
      </c>
      <c r="AH1128" s="15" t="str">
        <f t="shared" si="17"/>
        <v/>
      </c>
    </row>
    <row r="1129" spans="1:34" s="15" customFormat="1" ht="45" hidden="1" customHeight="1" x14ac:dyDescent="0.3">
      <c r="A1129" s="42">
        <v>1130</v>
      </c>
      <c r="B1129" s="19"/>
      <c r="C1129" s="19"/>
      <c r="D1129" s="20"/>
      <c r="E1129" s="20"/>
      <c r="F1129" s="21"/>
      <c r="G1129" s="38"/>
      <c r="H1129" s="39"/>
      <c r="I1129" s="39"/>
      <c r="J1129" s="21"/>
      <c r="K1129" s="21"/>
      <c r="L1129" s="21"/>
      <c r="M1129" s="21"/>
      <c r="N1129" s="21"/>
      <c r="O1129" s="20"/>
      <c r="P1129" s="19"/>
      <c r="Q1129" s="39"/>
      <c r="R1129" s="19"/>
      <c r="S1129" s="21"/>
      <c r="T1129" s="21"/>
      <c r="U1129" s="39"/>
      <c r="V1129" s="21"/>
      <c r="W1129" s="54"/>
      <c r="X1129" s="23"/>
      <c r="Y1129" s="23"/>
      <c r="Z1129" s="56"/>
      <c r="AA1129" s="24"/>
      <c r="AB1129" s="19"/>
      <c r="AC1129" s="19"/>
      <c r="AD1129" s="15" t="e">
        <f ca="1">IF(AND($D1129&lt;&gt;"",COUNTIF(OFFSET(UFS!$E$2,MATCH($D1129&amp;"",UFS!$A$2:$A$175,0)-1,0,COUNTIF(UFS!$A$2:$A$175,$D1129&amp;""),1),M1129)&gt;0),"Valide","Invalide")</f>
        <v>#N/A</v>
      </c>
      <c r="AH1129" s="15" t="str">
        <f t="shared" si="17"/>
        <v/>
      </c>
    </row>
    <row r="1130" spans="1:34" s="15" customFormat="1" ht="45" hidden="1" customHeight="1" x14ac:dyDescent="0.3">
      <c r="A1130" s="42">
        <v>1131</v>
      </c>
      <c r="B1130" s="19"/>
      <c r="C1130" s="19"/>
      <c r="D1130" s="20"/>
      <c r="E1130" s="20"/>
      <c r="F1130" s="21"/>
      <c r="G1130" s="38"/>
      <c r="H1130" s="39"/>
      <c r="I1130" s="39"/>
      <c r="J1130" s="21"/>
      <c r="K1130" s="21"/>
      <c r="L1130" s="21"/>
      <c r="M1130" s="21"/>
      <c r="N1130" s="21"/>
      <c r="O1130" s="20"/>
      <c r="P1130" s="19"/>
      <c r="Q1130" s="39"/>
      <c r="R1130" s="19"/>
      <c r="S1130" s="21"/>
      <c r="T1130" s="21"/>
      <c r="U1130" s="39"/>
      <c r="V1130" s="21"/>
      <c r="W1130" s="54"/>
      <c r="X1130" s="23"/>
      <c r="Y1130" s="23"/>
      <c r="Z1130" s="56"/>
      <c r="AA1130" s="24"/>
      <c r="AB1130" s="19"/>
      <c r="AC1130" s="19"/>
      <c r="AD1130" s="15" t="e">
        <f ca="1">IF(AND($D1130&lt;&gt;"",COUNTIF(OFFSET(UFS!$E$2,MATCH($D1130&amp;"",UFS!$A$2:$A$175,0)-1,0,COUNTIF(UFS!$A$2:$A$175,$D1130&amp;""),1),M1130)&gt;0),"Valide","Invalide")</f>
        <v>#N/A</v>
      </c>
      <c r="AH1130" s="15" t="str">
        <f t="shared" si="17"/>
        <v/>
      </c>
    </row>
    <row r="1131" spans="1:34" s="15" customFormat="1" ht="45" hidden="1" customHeight="1" x14ac:dyDescent="0.3">
      <c r="A1131" s="42">
        <v>1132</v>
      </c>
      <c r="B1131" s="19"/>
      <c r="C1131" s="19"/>
      <c r="D1131" s="20"/>
      <c r="E1131" s="20"/>
      <c r="F1131" s="21"/>
      <c r="G1131" s="38"/>
      <c r="H1131" s="39"/>
      <c r="I1131" s="39"/>
      <c r="J1131" s="21"/>
      <c r="K1131" s="21"/>
      <c r="L1131" s="21"/>
      <c r="M1131" s="21"/>
      <c r="N1131" s="21"/>
      <c r="O1131" s="20"/>
      <c r="P1131" s="19"/>
      <c r="Q1131" s="39"/>
      <c r="R1131" s="19"/>
      <c r="S1131" s="21"/>
      <c r="T1131" s="21"/>
      <c r="U1131" s="39"/>
      <c r="V1131" s="21"/>
      <c r="W1131" s="54"/>
      <c r="X1131" s="23"/>
      <c r="Y1131" s="23"/>
      <c r="Z1131" s="56"/>
      <c r="AA1131" s="24"/>
      <c r="AB1131" s="19"/>
      <c r="AC1131" s="19"/>
      <c r="AD1131" s="15" t="e">
        <f ca="1">IF(AND($D1131&lt;&gt;"",COUNTIF(OFFSET(UFS!$E$2,MATCH($D1131&amp;"",UFS!$A$2:$A$175,0)-1,0,COUNTIF(UFS!$A$2:$A$175,$D1131&amp;""),1),M1131)&gt;0),"Valide","Invalide")</f>
        <v>#N/A</v>
      </c>
      <c r="AH1131" s="15" t="str">
        <f t="shared" si="17"/>
        <v/>
      </c>
    </row>
    <row r="1132" spans="1:34" s="15" customFormat="1" ht="45" hidden="1" customHeight="1" x14ac:dyDescent="0.3">
      <c r="A1132" s="42">
        <v>1133</v>
      </c>
      <c r="B1132" s="19"/>
      <c r="C1132" s="19"/>
      <c r="D1132" s="20"/>
      <c r="E1132" s="20"/>
      <c r="F1132" s="21"/>
      <c r="G1132" s="38"/>
      <c r="H1132" s="39"/>
      <c r="I1132" s="39"/>
      <c r="J1132" s="21"/>
      <c r="K1132" s="21"/>
      <c r="L1132" s="21"/>
      <c r="M1132" s="21"/>
      <c r="N1132" s="21"/>
      <c r="O1132" s="20"/>
      <c r="P1132" s="19"/>
      <c r="Q1132" s="39"/>
      <c r="R1132" s="19"/>
      <c r="S1132" s="21"/>
      <c r="T1132" s="21"/>
      <c r="U1132" s="39"/>
      <c r="V1132" s="21"/>
      <c r="W1132" s="54"/>
      <c r="X1132" s="23"/>
      <c r="Y1132" s="23"/>
      <c r="Z1132" s="56"/>
      <c r="AA1132" s="24"/>
      <c r="AB1132" s="19"/>
      <c r="AC1132" s="19"/>
      <c r="AD1132" s="15" t="e">
        <f ca="1">IF(AND($D1132&lt;&gt;"",COUNTIF(OFFSET(UFS!$E$2,MATCH($D1132&amp;"",UFS!$A$2:$A$175,0)-1,0,COUNTIF(UFS!$A$2:$A$175,$D1132&amp;""),1),M1132)&gt;0),"Valide","Invalide")</f>
        <v>#N/A</v>
      </c>
      <c r="AH1132" s="15" t="str">
        <f t="shared" si="17"/>
        <v/>
      </c>
    </row>
    <row r="1133" spans="1:34" s="15" customFormat="1" ht="45" hidden="1" customHeight="1" x14ac:dyDescent="0.3">
      <c r="A1133" s="42">
        <v>1134</v>
      </c>
      <c r="B1133" s="19"/>
      <c r="C1133" s="19"/>
      <c r="D1133" s="20"/>
      <c r="E1133" s="20"/>
      <c r="F1133" s="21"/>
      <c r="G1133" s="38"/>
      <c r="H1133" s="39"/>
      <c r="I1133" s="39"/>
      <c r="J1133" s="21"/>
      <c r="K1133" s="21"/>
      <c r="L1133" s="21"/>
      <c r="M1133" s="21"/>
      <c r="N1133" s="21"/>
      <c r="O1133" s="20"/>
      <c r="P1133" s="19"/>
      <c r="Q1133" s="39"/>
      <c r="R1133" s="19"/>
      <c r="S1133" s="21"/>
      <c r="T1133" s="21"/>
      <c r="U1133" s="39"/>
      <c r="V1133" s="21"/>
      <c r="W1133" s="54"/>
      <c r="X1133" s="23"/>
      <c r="Y1133" s="23"/>
      <c r="Z1133" s="56"/>
      <c r="AA1133" s="24"/>
      <c r="AB1133" s="19"/>
      <c r="AC1133" s="19"/>
      <c r="AD1133" s="15" t="e">
        <f ca="1">IF(AND($D1133&lt;&gt;"",COUNTIF(OFFSET(UFS!$E$2,MATCH($D1133&amp;"",UFS!$A$2:$A$175,0)-1,0,COUNTIF(UFS!$A$2:$A$175,$D1133&amp;""),1),M1133)&gt;0),"Valide","Invalide")</f>
        <v>#N/A</v>
      </c>
      <c r="AH1133" s="15" t="str">
        <f t="shared" si="17"/>
        <v/>
      </c>
    </row>
    <row r="1134" spans="1:34" s="15" customFormat="1" ht="45" hidden="1" customHeight="1" x14ac:dyDescent="0.3">
      <c r="A1134" s="42">
        <v>1135</v>
      </c>
      <c r="B1134" s="19"/>
      <c r="C1134" s="19"/>
      <c r="D1134" s="20"/>
      <c r="E1134" s="20"/>
      <c r="F1134" s="21"/>
      <c r="G1134" s="38"/>
      <c r="H1134" s="39"/>
      <c r="I1134" s="39"/>
      <c r="J1134" s="21"/>
      <c r="K1134" s="21"/>
      <c r="L1134" s="21"/>
      <c r="M1134" s="21"/>
      <c r="N1134" s="21"/>
      <c r="O1134" s="20"/>
      <c r="P1134" s="19"/>
      <c r="Q1134" s="39"/>
      <c r="R1134" s="19"/>
      <c r="S1134" s="21"/>
      <c r="T1134" s="21"/>
      <c r="U1134" s="39"/>
      <c r="V1134" s="21"/>
      <c r="W1134" s="54"/>
      <c r="X1134" s="23"/>
      <c r="Y1134" s="23"/>
      <c r="Z1134" s="56"/>
      <c r="AA1134" s="24"/>
      <c r="AB1134" s="19"/>
      <c r="AC1134" s="19"/>
      <c r="AD1134" s="15" t="e">
        <f ca="1">IF(AND($D1134&lt;&gt;"",COUNTIF(OFFSET(UFS!$E$2,MATCH($D1134&amp;"",UFS!$A$2:$A$175,0)-1,0,COUNTIF(UFS!$A$2:$A$175,$D1134&amp;""),1),M1134)&gt;0),"Valide","Invalide")</f>
        <v>#N/A</v>
      </c>
      <c r="AH1134" s="15" t="str">
        <f t="shared" si="17"/>
        <v/>
      </c>
    </row>
    <row r="1135" spans="1:34" s="15" customFormat="1" ht="45" hidden="1" customHeight="1" x14ac:dyDescent="0.3">
      <c r="A1135" s="42">
        <v>1136</v>
      </c>
      <c r="B1135" s="19"/>
      <c r="C1135" s="19"/>
      <c r="D1135" s="20"/>
      <c r="E1135" s="20"/>
      <c r="F1135" s="21"/>
      <c r="G1135" s="38"/>
      <c r="H1135" s="39"/>
      <c r="I1135" s="39"/>
      <c r="J1135" s="21"/>
      <c r="K1135" s="21"/>
      <c r="L1135" s="21"/>
      <c r="M1135" s="21"/>
      <c r="N1135" s="21"/>
      <c r="O1135" s="20"/>
      <c r="P1135" s="19"/>
      <c r="Q1135" s="39"/>
      <c r="R1135" s="19"/>
      <c r="S1135" s="21"/>
      <c r="T1135" s="21"/>
      <c r="U1135" s="39"/>
      <c r="V1135" s="21"/>
      <c r="W1135" s="54"/>
      <c r="X1135" s="23"/>
      <c r="Y1135" s="23"/>
      <c r="Z1135" s="56"/>
      <c r="AA1135" s="24"/>
      <c r="AB1135" s="19"/>
      <c r="AC1135" s="19"/>
      <c r="AD1135" s="15" t="e">
        <f ca="1">IF(AND($D1135&lt;&gt;"",COUNTIF(OFFSET(UFS!$E$2,MATCH($D1135&amp;"",UFS!$A$2:$A$175,0)-1,0,COUNTIF(UFS!$A$2:$A$175,$D1135&amp;""),1),M1135)&gt;0),"Valide","Invalide")</f>
        <v>#N/A</v>
      </c>
      <c r="AH1135" s="15" t="str">
        <f t="shared" si="17"/>
        <v/>
      </c>
    </row>
    <row r="1136" spans="1:34" s="15" customFormat="1" ht="45" hidden="1" customHeight="1" x14ac:dyDescent="0.3">
      <c r="A1136" s="42">
        <v>1137</v>
      </c>
      <c r="B1136" s="19"/>
      <c r="C1136" s="19"/>
      <c r="D1136" s="20"/>
      <c r="E1136" s="20"/>
      <c r="F1136" s="21"/>
      <c r="G1136" s="38"/>
      <c r="H1136" s="39"/>
      <c r="I1136" s="39"/>
      <c r="J1136" s="21"/>
      <c r="K1136" s="21"/>
      <c r="L1136" s="21"/>
      <c r="M1136" s="21"/>
      <c r="N1136" s="21"/>
      <c r="O1136" s="20"/>
      <c r="P1136" s="19"/>
      <c r="Q1136" s="39"/>
      <c r="R1136" s="19"/>
      <c r="S1136" s="21"/>
      <c r="T1136" s="21"/>
      <c r="U1136" s="39"/>
      <c r="V1136" s="21"/>
      <c r="W1136" s="54"/>
      <c r="X1136" s="23"/>
      <c r="Y1136" s="23"/>
      <c r="Z1136" s="56"/>
      <c r="AA1136" s="24"/>
      <c r="AB1136" s="19"/>
      <c r="AC1136" s="19"/>
      <c r="AD1136" s="15" t="e">
        <f ca="1">IF(AND($D1136&lt;&gt;"",COUNTIF(OFFSET(UFS!$E$2,MATCH($D1136&amp;"",UFS!$A$2:$A$175,0)-1,0,COUNTIF(UFS!$A$2:$A$175,$D1136&amp;""),1),M1136)&gt;0),"Valide","Invalide")</f>
        <v>#N/A</v>
      </c>
      <c r="AH1136" s="15" t="str">
        <f t="shared" si="17"/>
        <v/>
      </c>
    </row>
    <row r="1137" spans="1:34" s="15" customFormat="1" ht="45" hidden="1" customHeight="1" x14ac:dyDescent="0.3">
      <c r="A1137" s="42">
        <v>1138</v>
      </c>
      <c r="B1137" s="19"/>
      <c r="C1137" s="19"/>
      <c r="D1137" s="20"/>
      <c r="E1137" s="20"/>
      <c r="F1137" s="21"/>
      <c r="G1137" s="38"/>
      <c r="H1137" s="39"/>
      <c r="I1137" s="39"/>
      <c r="J1137" s="21"/>
      <c r="K1137" s="21"/>
      <c r="L1137" s="21"/>
      <c r="M1137" s="21"/>
      <c r="N1137" s="21"/>
      <c r="O1137" s="20"/>
      <c r="P1137" s="19"/>
      <c r="Q1137" s="39"/>
      <c r="R1137" s="19"/>
      <c r="S1137" s="21"/>
      <c r="T1137" s="21"/>
      <c r="U1137" s="39"/>
      <c r="V1137" s="21"/>
      <c r="W1137" s="54"/>
      <c r="X1137" s="23"/>
      <c r="Y1137" s="23"/>
      <c r="Z1137" s="56"/>
      <c r="AA1137" s="24"/>
      <c r="AB1137" s="19"/>
      <c r="AC1137" s="19"/>
      <c r="AD1137" s="15" t="e">
        <f ca="1">IF(AND($D1137&lt;&gt;"",COUNTIF(OFFSET(UFS!$E$2,MATCH($D1137&amp;"",UFS!$A$2:$A$175,0)-1,0,COUNTIF(UFS!$A$2:$A$175,$D1137&amp;""),1),M1137)&gt;0),"Valide","Invalide")</f>
        <v>#N/A</v>
      </c>
      <c r="AH1137" s="15" t="str">
        <f t="shared" si="17"/>
        <v/>
      </c>
    </row>
    <row r="1138" spans="1:34" s="15" customFormat="1" ht="45" hidden="1" customHeight="1" x14ac:dyDescent="0.3">
      <c r="A1138" s="42">
        <v>1139</v>
      </c>
      <c r="B1138" s="19"/>
      <c r="C1138" s="19"/>
      <c r="D1138" s="20"/>
      <c r="E1138" s="20"/>
      <c r="F1138" s="21"/>
      <c r="G1138" s="38"/>
      <c r="H1138" s="39"/>
      <c r="I1138" s="39"/>
      <c r="J1138" s="21"/>
      <c r="K1138" s="21"/>
      <c r="L1138" s="21"/>
      <c r="M1138" s="21"/>
      <c r="N1138" s="21"/>
      <c r="O1138" s="20"/>
      <c r="P1138" s="19"/>
      <c r="Q1138" s="39"/>
      <c r="R1138" s="19"/>
      <c r="S1138" s="21"/>
      <c r="T1138" s="21"/>
      <c r="U1138" s="39"/>
      <c r="V1138" s="21"/>
      <c r="W1138" s="54"/>
      <c r="X1138" s="23"/>
      <c r="Y1138" s="23"/>
      <c r="Z1138" s="56"/>
      <c r="AA1138" s="24"/>
      <c r="AB1138" s="19"/>
      <c r="AC1138" s="19"/>
      <c r="AD1138" s="15" t="e">
        <f ca="1">IF(AND($D1138&lt;&gt;"",COUNTIF(OFFSET(UFS!$E$2,MATCH($D1138&amp;"",UFS!$A$2:$A$175,0)-1,0,COUNTIF(UFS!$A$2:$A$175,$D1138&amp;""),1),M1138)&gt;0),"Valide","Invalide")</f>
        <v>#N/A</v>
      </c>
      <c r="AH1138" s="15" t="str">
        <f t="shared" si="17"/>
        <v/>
      </c>
    </row>
    <row r="1139" spans="1:34" s="15" customFormat="1" ht="45" hidden="1" customHeight="1" x14ac:dyDescent="0.3">
      <c r="A1139" s="42">
        <v>1140</v>
      </c>
      <c r="B1139" s="19"/>
      <c r="C1139" s="19"/>
      <c r="D1139" s="20"/>
      <c r="E1139" s="20"/>
      <c r="F1139" s="21"/>
      <c r="G1139" s="38"/>
      <c r="H1139" s="39"/>
      <c r="I1139" s="39"/>
      <c r="J1139" s="21"/>
      <c r="K1139" s="21"/>
      <c r="L1139" s="21"/>
      <c r="M1139" s="21"/>
      <c r="N1139" s="21"/>
      <c r="O1139" s="20"/>
      <c r="P1139" s="19"/>
      <c r="Q1139" s="39"/>
      <c r="R1139" s="19"/>
      <c r="S1139" s="21"/>
      <c r="T1139" s="21"/>
      <c r="U1139" s="39"/>
      <c r="V1139" s="21"/>
      <c r="W1139" s="54"/>
      <c r="X1139" s="23"/>
      <c r="Y1139" s="23"/>
      <c r="Z1139" s="56"/>
      <c r="AA1139" s="24"/>
      <c r="AB1139" s="19"/>
      <c r="AC1139" s="19"/>
      <c r="AD1139" s="15" t="e">
        <f ca="1">IF(AND($D1139&lt;&gt;"",COUNTIF(OFFSET(UFS!$E$2,MATCH($D1139&amp;"",UFS!$A$2:$A$175,0)-1,0,COUNTIF(UFS!$A$2:$A$175,$D1139&amp;""),1),M1139)&gt;0),"Valide","Invalide")</f>
        <v>#N/A</v>
      </c>
      <c r="AH1139" s="15" t="str">
        <f t="shared" si="17"/>
        <v/>
      </c>
    </row>
    <row r="1140" spans="1:34" s="15" customFormat="1" ht="45" hidden="1" customHeight="1" x14ac:dyDescent="0.3">
      <c r="A1140" s="42">
        <v>1141</v>
      </c>
      <c r="B1140" s="19"/>
      <c r="C1140" s="19"/>
      <c r="D1140" s="20"/>
      <c r="E1140" s="20"/>
      <c r="F1140" s="21"/>
      <c r="G1140" s="38"/>
      <c r="H1140" s="39"/>
      <c r="I1140" s="39"/>
      <c r="J1140" s="21"/>
      <c r="K1140" s="21"/>
      <c r="L1140" s="21"/>
      <c r="M1140" s="21"/>
      <c r="N1140" s="21"/>
      <c r="O1140" s="20"/>
      <c r="P1140" s="19"/>
      <c r="Q1140" s="39"/>
      <c r="R1140" s="19"/>
      <c r="S1140" s="21"/>
      <c r="T1140" s="21"/>
      <c r="U1140" s="39"/>
      <c r="V1140" s="21"/>
      <c r="W1140" s="54"/>
      <c r="X1140" s="23"/>
      <c r="Y1140" s="23"/>
      <c r="Z1140" s="56"/>
      <c r="AA1140" s="24"/>
      <c r="AB1140" s="19"/>
      <c r="AC1140" s="19"/>
      <c r="AD1140" s="15" t="e">
        <f ca="1">IF(AND($D1140&lt;&gt;"",COUNTIF(OFFSET(UFS!$E$2,MATCH($D1140&amp;"",UFS!$A$2:$A$175,0)-1,0,COUNTIF(UFS!$A$2:$A$175,$D1140&amp;""),1),M1140)&gt;0),"Valide","Invalide")</f>
        <v>#N/A</v>
      </c>
      <c r="AH1140" s="15" t="str">
        <f t="shared" si="17"/>
        <v/>
      </c>
    </row>
    <row r="1141" spans="1:34" s="15" customFormat="1" ht="45" hidden="1" customHeight="1" x14ac:dyDescent="0.3">
      <c r="A1141" s="42">
        <v>1142</v>
      </c>
      <c r="B1141" s="19"/>
      <c r="C1141" s="19"/>
      <c r="D1141" s="20"/>
      <c r="E1141" s="20"/>
      <c r="F1141" s="21"/>
      <c r="G1141" s="38"/>
      <c r="H1141" s="39"/>
      <c r="I1141" s="39"/>
      <c r="J1141" s="21"/>
      <c r="K1141" s="21"/>
      <c r="L1141" s="21"/>
      <c r="M1141" s="21"/>
      <c r="N1141" s="21"/>
      <c r="O1141" s="20"/>
      <c r="P1141" s="19"/>
      <c r="Q1141" s="39"/>
      <c r="R1141" s="19"/>
      <c r="S1141" s="21"/>
      <c r="T1141" s="21"/>
      <c r="U1141" s="39"/>
      <c r="V1141" s="21"/>
      <c r="W1141" s="54"/>
      <c r="X1141" s="23"/>
      <c r="Y1141" s="23"/>
      <c r="Z1141" s="56"/>
      <c r="AA1141" s="24"/>
      <c r="AB1141" s="19"/>
      <c r="AC1141" s="19"/>
      <c r="AD1141" s="15" t="e">
        <f ca="1">IF(AND($D1141&lt;&gt;"",COUNTIF(OFFSET(UFS!$E$2,MATCH($D1141&amp;"",UFS!$A$2:$A$175,0)-1,0,COUNTIF(UFS!$A$2:$A$175,$D1141&amp;""),1),M1141)&gt;0),"Valide","Invalide")</f>
        <v>#N/A</v>
      </c>
      <c r="AH1141" s="15" t="str">
        <f t="shared" si="17"/>
        <v/>
      </c>
    </row>
    <row r="1142" spans="1:34" s="15" customFormat="1" ht="45" hidden="1" customHeight="1" x14ac:dyDescent="0.3">
      <c r="A1142" s="42">
        <v>1143</v>
      </c>
      <c r="B1142" s="19"/>
      <c r="C1142" s="19"/>
      <c r="D1142" s="20"/>
      <c r="E1142" s="20"/>
      <c r="F1142" s="21"/>
      <c r="G1142" s="38"/>
      <c r="H1142" s="39"/>
      <c r="I1142" s="39"/>
      <c r="J1142" s="21"/>
      <c r="K1142" s="21"/>
      <c r="L1142" s="21"/>
      <c r="M1142" s="21"/>
      <c r="N1142" s="21"/>
      <c r="O1142" s="20"/>
      <c r="P1142" s="19"/>
      <c r="Q1142" s="39"/>
      <c r="R1142" s="19"/>
      <c r="S1142" s="21"/>
      <c r="T1142" s="21"/>
      <c r="U1142" s="39"/>
      <c r="V1142" s="21"/>
      <c r="W1142" s="54"/>
      <c r="X1142" s="23"/>
      <c r="Y1142" s="23"/>
      <c r="Z1142" s="56"/>
      <c r="AA1142" s="24"/>
      <c r="AB1142" s="19"/>
      <c r="AC1142" s="19"/>
      <c r="AD1142" s="15" t="e">
        <f ca="1">IF(AND($D1142&lt;&gt;"",COUNTIF(OFFSET(UFS!$E$2,MATCH($D1142&amp;"",UFS!$A$2:$A$175,0)-1,0,COUNTIF(UFS!$A$2:$A$175,$D1142&amp;""),1),M1142)&gt;0),"Valide","Invalide")</f>
        <v>#N/A</v>
      </c>
      <c r="AH1142" s="15" t="str">
        <f t="shared" si="17"/>
        <v/>
      </c>
    </row>
    <row r="1143" spans="1:34" s="15" customFormat="1" ht="45" hidden="1" customHeight="1" x14ac:dyDescent="0.3">
      <c r="A1143" s="42">
        <v>1144</v>
      </c>
      <c r="B1143" s="19"/>
      <c r="C1143" s="19"/>
      <c r="D1143" s="20"/>
      <c r="E1143" s="20"/>
      <c r="F1143" s="21"/>
      <c r="G1143" s="38"/>
      <c r="H1143" s="39"/>
      <c r="I1143" s="39"/>
      <c r="J1143" s="21"/>
      <c r="K1143" s="21"/>
      <c r="L1143" s="21"/>
      <c r="M1143" s="21"/>
      <c r="N1143" s="21"/>
      <c r="O1143" s="20"/>
      <c r="P1143" s="19"/>
      <c r="Q1143" s="39"/>
      <c r="R1143" s="19"/>
      <c r="S1143" s="21"/>
      <c r="T1143" s="21"/>
      <c r="U1143" s="39"/>
      <c r="V1143" s="21"/>
      <c r="W1143" s="54"/>
      <c r="X1143" s="23"/>
      <c r="Y1143" s="23"/>
      <c r="Z1143" s="56"/>
      <c r="AA1143" s="24"/>
      <c r="AB1143" s="19"/>
      <c r="AC1143" s="19"/>
      <c r="AD1143" s="15" t="e">
        <f ca="1">IF(AND($D1143&lt;&gt;"",COUNTIF(OFFSET(UFS!$E$2,MATCH($D1143&amp;"",UFS!$A$2:$A$175,0)-1,0,COUNTIF(UFS!$A$2:$A$175,$D1143&amp;""),1),M1143)&gt;0),"Valide","Invalide")</f>
        <v>#N/A</v>
      </c>
      <c r="AH1143" s="15" t="str">
        <f t="shared" si="17"/>
        <v/>
      </c>
    </row>
    <row r="1144" spans="1:34" s="15" customFormat="1" ht="45" hidden="1" customHeight="1" x14ac:dyDescent="0.3">
      <c r="A1144" s="42">
        <v>1145</v>
      </c>
      <c r="B1144" s="19"/>
      <c r="C1144" s="19"/>
      <c r="D1144" s="20"/>
      <c r="E1144" s="20"/>
      <c r="F1144" s="21"/>
      <c r="G1144" s="38"/>
      <c r="H1144" s="39"/>
      <c r="I1144" s="39"/>
      <c r="J1144" s="21"/>
      <c r="K1144" s="21"/>
      <c r="L1144" s="21"/>
      <c r="M1144" s="21"/>
      <c r="N1144" s="21"/>
      <c r="O1144" s="20"/>
      <c r="P1144" s="19"/>
      <c r="Q1144" s="39"/>
      <c r="R1144" s="19"/>
      <c r="S1144" s="21"/>
      <c r="T1144" s="21"/>
      <c r="U1144" s="39"/>
      <c r="V1144" s="21"/>
      <c r="W1144" s="54"/>
      <c r="X1144" s="23"/>
      <c r="Y1144" s="23"/>
      <c r="Z1144" s="56"/>
      <c r="AA1144" s="24"/>
      <c r="AB1144" s="19"/>
      <c r="AC1144" s="19"/>
      <c r="AD1144" s="15" t="e">
        <f ca="1">IF(AND($D1144&lt;&gt;"",COUNTIF(OFFSET(UFS!$E$2,MATCH($D1144&amp;"",UFS!$A$2:$A$175,0)-1,0,COUNTIF(UFS!$A$2:$A$175,$D1144&amp;""),1),M1144)&gt;0),"Valide","Invalide")</f>
        <v>#N/A</v>
      </c>
      <c r="AH1144" s="15" t="str">
        <f t="shared" si="17"/>
        <v/>
      </c>
    </row>
    <row r="1145" spans="1:34" s="15" customFormat="1" ht="45" hidden="1" customHeight="1" x14ac:dyDescent="0.3">
      <c r="A1145" s="42">
        <v>1146</v>
      </c>
      <c r="B1145" s="19"/>
      <c r="C1145" s="19"/>
      <c r="D1145" s="20"/>
      <c r="E1145" s="20"/>
      <c r="F1145" s="21"/>
      <c r="G1145" s="38"/>
      <c r="H1145" s="39"/>
      <c r="I1145" s="39"/>
      <c r="J1145" s="21"/>
      <c r="K1145" s="21"/>
      <c r="L1145" s="21"/>
      <c r="M1145" s="21"/>
      <c r="N1145" s="21"/>
      <c r="O1145" s="20"/>
      <c r="P1145" s="19"/>
      <c r="Q1145" s="39"/>
      <c r="R1145" s="19"/>
      <c r="S1145" s="21"/>
      <c r="T1145" s="21"/>
      <c r="U1145" s="39"/>
      <c r="V1145" s="21"/>
      <c r="W1145" s="54"/>
      <c r="X1145" s="23"/>
      <c r="Y1145" s="23"/>
      <c r="Z1145" s="56"/>
      <c r="AA1145" s="24"/>
      <c r="AB1145" s="19"/>
      <c r="AC1145" s="19"/>
      <c r="AD1145" s="15" t="e">
        <f ca="1">IF(AND($D1145&lt;&gt;"",COUNTIF(OFFSET(UFS!$E$2,MATCH($D1145&amp;"",UFS!$A$2:$A$175,0)-1,0,COUNTIF(UFS!$A$2:$A$175,$D1145&amp;""),1),M1145)&gt;0),"Valide","Invalide")</f>
        <v>#N/A</v>
      </c>
      <c r="AH1145" s="15" t="str">
        <f t="shared" si="17"/>
        <v/>
      </c>
    </row>
    <row r="1146" spans="1:34" s="15" customFormat="1" ht="45" hidden="1" customHeight="1" x14ac:dyDescent="0.3">
      <c r="A1146" s="42">
        <v>1147</v>
      </c>
      <c r="B1146" s="19"/>
      <c r="C1146" s="19"/>
      <c r="D1146" s="20"/>
      <c r="E1146" s="20"/>
      <c r="F1146" s="21"/>
      <c r="G1146" s="38"/>
      <c r="H1146" s="39"/>
      <c r="I1146" s="39"/>
      <c r="J1146" s="21"/>
      <c r="K1146" s="21"/>
      <c r="L1146" s="21"/>
      <c r="M1146" s="21"/>
      <c r="N1146" s="21"/>
      <c r="O1146" s="20"/>
      <c r="P1146" s="19"/>
      <c r="Q1146" s="39"/>
      <c r="R1146" s="19"/>
      <c r="S1146" s="21"/>
      <c r="T1146" s="21"/>
      <c r="U1146" s="39"/>
      <c r="V1146" s="21"/>
      <c r="W1146" s="54"/>
      <c r="X1146" s="23"/>
      <c r="Y1146" s="23"/>
      <c r="Z1146" s="56"/>
      <c r="AA1146" s="24"/>
      <c r="AB1146" s="19"/>
      <c r="AC1146" s="19"/>
      <c r="AD1146" s="15" t="e">
        <f ca="1">IF(AND($D1146&lt;&gt;"",COUNTIF(OFFSET(UFS!$E$2,MATCH($D1146&amp;"",UFS!$A$2:$A$175,0)-1,0,COUNTIF(UFS!$A$2:$A$175,$D1146&amp;""),1),M1146)&gt;0),"Valide","Invalide")</f>
        <v>#N/A</v>
      </c>
      <c r="AH1146" s="15" t="str">
        <f t="shared" si="17"/>
        <v/>
      </c>
    </row>
    <row r="1147" spans="1:34" s="15" customFormat="1" ht="45" hidden="1" customHeight="1" x14ac:dyDescent="0.3">
      <c r="A1147" s="42">
        <v>1148</v>
      </c>
      <c r="B1147" s="19"/>
      <c r="C1147" s="19"/>
      <c r="D1147" s="20"/>
      <c r="E1147" s="20"/>
      <c r="F1147" s="21"/>
      <c r="G1147" s="38"/>
      <c r="H1147" s="39"/>
      <c r="I1147" s="39"/>
      <c r="J1147" s="21"/>
      <c r="K1147" s="21"/>
      <c r="L1147" s="21"/>
      <c r="M1147" s="21"/>
      <c r="N1147" s="21"/>
      <c r="O1147" s="20"/>
      <c r="P1147" s="19"/>
      <c r="Q1147" s="39"/>
      <c r="R1147" s="19"/>
      <c r="S1147" s="21"/>
      <c r="T1147" s="21"/>
      <c r="U1147" s="39"/>
      <c r="V1147" s="21"/>
      <c r="W1147" s="54"/>
      <c r="X1147" s="23"/>
      <c r="Y1147" s="23"/>
      <c r="Z1147" s="56"/>
      <c r="AA1147" s="24"/>
      <c r="AB1147" s="19"/>
      <c r="AC1147" s="19"/>
      <c r="AD1147" s="15" t="e">
        <f ca="1">IF(AND($D1147&lt;&gt;"",COUNTIF(OFFSET(UFS!$E$2,MATCH($D1147&amp;"",UFS!$A$2:$A$175,0)-1,0,COUNTIF(UFS!$A$2:$A$175,$D1147&amp;""),1),M1147)&gt;0),"Valide","Invalide")</f>
        <v>#N/A</v>
      </c>
      <c r="AH1147" s="15" t="str">
        <f t="shared" si="17"/>
        <v/>
      </c>
    </row>
    <row r="1148" spans="1:34" s="15" customFormat="1" ht="45" hidden="1" customHeight="1" x14ac:dyDescent="0.3">
      <c r="A1148" s="42">
        <v>1149</v>
      </c>
      <c r="B1148" s="19"/>
      <c r="C1148" s="19"/>
      <c r="D1148" s="20"/>
      <c r="E1148" s="20"/>
      <c r="F1148" s="21"/>
      <c r="G1148" s="38"/>
      <c r="H1148" s="39"/>
      <c r="I1148" s="39"/>
      <c r="J1148" s="21"/>
      <c r="K1148" s="21"/>
      <c r="L1148" s="21"/>
      <c r="M1148" s="21"/>
      <c r="N1148" s="21"/>
      <c r="O1148" s="20"/>
      <c r="P1148" s="19"/>
      <c r="Q1148" s="39"/>
      <c r="R1148" s="19"/>
      <c r="S1148" s="21"/>
      <c r="T1148" s="21"/>
      <c r="U1148" s="39"/>
      <c r="V1148" s="21"/>
      <c r="W1148" s="54"/>
      <c r="X1148" s="23"/>
      <c r="Y1148" s="23"/>
      <c r="Z1148" s="56"/>
      <c r="AA1148" s="24"/>
      <c r="AB1148" s="19"/>
      <c r="AC1148" s="19"/>
      <c r="AD1148" s="15" t="e">
        <f ca="1">IF(AND($D1148&lt;&gt;"",COUNTIF(OFFSET(UFS!$E$2,MATCH($D1148&amp;"",UFS!$A$2:$A$175,0)-1,0,COUNTIF(UFS!$A$2:$A$175,$D1148&amp;""),1),M1148)&gt;0),"Valide","Invalide")</f>
        <v>#N/A</v>
      </c>
      <c r="AH1148" s="15" t="str">
        <f t="shared" si="17"/>
        <v/>
      </c>
    </row>
    <row r="1149" spans="1:34" s="15" customFormat="1" ht="45" hidden="1" customHeight="1" x14ac:dyDescent="0.3">
      <c r="A1149" s="42">
        <v>1150</v>
      </c>
      <c r="B1149" s="19"/>
      <c r="C1149" s="19"/>
      <c r="D1149" s="20"/>
      <c r="E1149" s="20"/>
      <c r="F1149" s="21"/>
      <c r="G1149" s="38"/>
      <c r="H1149" s="39"/>
      <c r="I1149" s="39"/>
      <c r="J1149" s="21"/>
      <c r="K1149" s="21"/>
      <c r="L1149" s="21"/>
      <c r="M1149" s="21"/>
      <c r="N1149" s="21"/>
      <c r="O1149" s="20"/>
      <c r="P1149" s="19"/>
      <c r="Q1149" s="39"/>
      <c r="R1149" s="19"/>
      <c r="S1149" s="21"/>
      <c r="T1149" s="21"/>
      <c r="U1149" s="39"/>
      <c r="V1149" s="21"/>
      <c r="W1149" s="54"/>
      <c r="X1149" s="23"/>
      <c r="Y1149" s="23"/>
      <c r="Z1149" s="56"/>
      <c r="AA1149" s="24"/>
      <c r="AB1149" s="19"/>
      <c r="AC1149" s="19"/>
      <c r="AD1149" s="15" t="e">
        <f ca="1">IF(AND($D1149&lt;&gt;"",COUNTIF(OFFSET(UFS!$E$2,MATCH($D1149&amp;"",UFS!$A$2:$A$175,0)-1,0,COUNTIF(UFS!$A$2:$A$175,$D1149&amp;""),1),M1149)&gt;0),"Valide","Invalide")</f>
        <v>#N/A</v>
      </c>
      <c r="AH1149" s="15" t="str">
        <f t="shared" si="17"/>
        <v/>
      </c>
    </row>
    <row r="1150" spans="1:34" s="15" customFormat="1" ht="45" hidden="1" customHeight="1" x14ac:dyDescent="0.3">
      <c r="A1150" s="42">
        <v>1151</v>
      </c>
      <c r="B1150" s="19"/>
      <c r="C1150" s="19"/>
      <c r="D1150" s="20"/>
      <c r="E1150" s="20"/>
      <c r="F1150" s="21"/>
      <c r="G1150" s="38"/>
      <c r="H1150" s="39"/>
      <c r="I1150" s="39"/>
      <c r="J1150" s="21"/>
      <c r="K1150" s="21"/>
      <c r="L1150" s="21"/>
      <c r="M1150" s="21"/>
      <c r="N1150" s="21"/>
      <c r="O1150" s="20"/>
      <c r="P1150" s="19"/>
      <c r="Q1150" s="39"/>
      <c r="R1150" s="19"/>
      <c r="S1150" s="21"/>
      <c r="T1150" s="21"/>
      <c r="U1150" s="39"/>
      <c r="V1150" s="21"/>
      <c r="W1150" s="54"/>
      <c r="X1150" s="23"/>
      <c r="Y1150" s="23"/>
      <c r="Z1150" s="56"/>
      <c r="AA1150" s="24"/>
      <c r="AB1150" s="19"/>
      <c r="AC1150" s="19"/>
      <c r="AD1150" s="15" t="e">
        <f ca="1">IF(AND($D1150&lt;&gt;"",COUNTIF(OFFSET(UFS!$E$2,MATCH($D1150&amp;"",UFS!$A$2:$A$175,0)-1,0,COUNTIF(UFS!$A$2:$A$175,$D1150&amp;""),1),M1150)&gt;0),"Valide","Invalide")</f>
        <v>#N/A</v>
      </c>
      <c r="AH1150" s="15" t="str">
        <f t="shared" si="17"/>
        <v/>
      </c>
    </row>
    <row r="1151" spans="1:34" s="15" customFormat="1" ht="45" hidden="1" customHeight="1" x14ac:dyDescent="0.3">
      <c r="A1151" s="42">
        <v>1152</v>
      </c>
      <c r="B1151" s="19"/>
      <c r="C1151" s="19"/>
      <c r="D1151" s="20"/>
      <c r="E1151" s="20"/>
      <c r="F1151" s="21"/>
      <c r="G1151" s="38"/>
      <c r="H1151" s="39"/>
      <c r="I1151" s="39"/>
      <c r="J1151" s="21"/>
      <c r="K1151" s="21"/>
      <c r="L1151" s="21"/>
      <c r="M1151" s="21"/>
      <c r="N1151" s="21"/>
      <c r="O1151" s="20"/>
      <c r="P1151" s="19"/>
      <c r="Q1151" s="39"/>
      <c r="R1151" s="19"/>
      <c r="S1151" s="21"/>
      <c r="T1151" s="21"/>
      <c r="U1151" s="39"/>
      <c r="V1151" s="21"/>
      <c r="W1151" s="54"/>
      <c r="X1151" s="23"/>
      <c r="Y1151" s="23"/>
      <c r="Z1151" s="56"/>
      <c r="AA1151" s="24"/>
      <c r="AB1151" s="19"/>
      <c r="AC1151" s="19"/>
      <c r="AD1151" s="15" t="e">
        <f ca="1">IF(AND($D1151&lt;&gt;"",COUNTIF(OFFSET(UFS!$E$2,MATCH($D1151&amp;"",UFS!$A$2:$A$175,0)-1,0,COUNTIF(UFS!$A$2:$A$175,$D1151&amp;""),1),M1151)&gt;0),"Valide","Invalide")</f>
        <v>#N/A</v>
      </c>
      <c r="AH1151" s="15" t="str">
        <f t="shared" si="17"/>
        <v/>
      </c>
    </row>
    <row r="1152" spans="1:34" s="15" customFormat="1" ht="45" hidden="1" customHeight="1" x14ac:dyDescent="0.3">
      <c r="A1152" s="42">
        <v>1153</v>
      </c>
      <c r="B1152" s="19"/>
      <c r="C1152" s="19"/>
      <c r="D1152" s="20"/>
      <c r="E1152" s="20"/>
      <c r="F1152" s="21"/>
      <c r="G1152" s="38"/>
      <c r="H1152" s="39"/>
      <c r="I1152" s="39"/>
      <c r="J1152" s="21"/>
      <c r="K1152" s="21"/>
      <c r="L1152" s="21"/>
      <c r="M1152" s="21"/>
      <c r="N1152" s="21"/>
      <c r="O1152" s="20"/>
      <c r="P1152" s="19"/>
      <c r="Q1152" s="39"/>
      <c r="R1152" s="19"/>
      <c r="S1152" s="21"/>
      <c r="T1152" s="21"/>
      <c r="U1152" s="39"/>
      <c r="V1152" s="21"/>
      <c r="W1152" s="54"/>
      <c r="X1152" s="23"/>
      <c r="Y1152" s="23"/>
      <c r="Z1152" s="56"/>
      <c r="AA1152" s="24"/>
      <c r="AB1152" s="19"/>
      <c r="AC1152" s="19"/>
      <c r="AD1152" s="15" t="e">
        <f ca="1">IF(AND($D1152&lt;&gt;"",COUNTIF(OFFSET(UFS!$E$2,MATCH($D1152&amp;"",UFS!$A$2:$A$175,0)-1,0,COUNTIF(UFS!$A$2:$A$175,$D1152&amp;""),1),M1152)&gt;0),"Valide","Invalide")</f>
        <v>#N/A</v>
      </c>
      <c r="AH1152" s="15" t="str">
        <f t="shared" si="17"/>
        <v/>
      </c>
    </row>
    <row r="1153" spans="1:34" s="15" customFormat="1" ht="45" hidden="1" customHeight="1" x14ac:dyDescent="0.3">
      <c r="A1153" s="42">
        <v>1154</v>
      </c>
      <c r="B1153" s="19"/>
      <c r="C1153" s="19"/>
      <c r="D1153" s="20"/>
      <c r="E1153" s="20"/>
      <c r="F1153" s="21"/>
      <c r="G1153" s="38"/>
      <c r="H1153" s="39"/>
      <c r="I1153" s="39"/>
      <c r="J1153" s="21"/>
      <c r="K1153" s="21"/>
      <c r="L1153" s="21"/>
      <c r="M1153" s="21"/>
      <c r="N1153" s="21"/>
      <c r="O1153" s="20"/>
      <c r="P1153" s="19"/>
      <c r="Q1153" s="39"/>
      <c r="R1153" s="19"/>
      <c r="S1153" s="21"/>
      <c r="T1153" s="21"/>
      <c r="U1153" s="39"/>
      <c r="V1153" s="21"/>
      <c r="W1153" s="54"/>
      <c r="X1153" s="23"/>
      <c r="Y1153" s="23"/>
      <c r="Z1153" s="56"/>
      <c r="AA1153" s="24"/>
      <c r="AB1153" s="19"/>
      <c r="AC1153" s="19"/>
      <c r="AD1153" s="15" t="e">
        <f ca="1">IF(AND($D1153&lt;&gt;"",COUNTIF(OFFSET(UFS!$E$2,MATCH($D1153&amp;"",UFS!$A$2:$A$175,0)-1,0,COUNTIF(UFS!$A$2:$A$175,$D1153&amp;""),1),M1153)&gt;0),"Valide","Invalide")</f>
        <v>#N/A</v>
      </c>
      <c r="AH1153" s="15" t="str">
        <f t="shared" si="17"/>
        <v/>
      </c>
    </row>
    <row r="1154" spans="1:34" s="15" customFormat="1" ht="45" hidden="1" customHeight="1" x14ac:dyDescent="0.3">
      <c r="A1154" s="42">
        <v>1155</v>
      </c>
      <c r="B1154" s="19"/>
      <c r="C1154" s="19"/>
      <c r="D1154" s="20"/>
      <c r="E1154" s="20"/>
      <c r="F1154" s="21"/>
      <c r="G1154" s="38"/>
      <c r="H1154" s="39"/>
      <c r="I1154" s="39"/>
      <c r="J1154" s="21"/>
      <c r="K1154" s="21"/>
      <c r="L1154" s="21"/>
      <c r="M1154" s="21"/>
      <c r="N1154" s="21"/>
      <c r="O1154" s="20"/>
      <c r="P1154" s="19"/>
      <c r="Q1154" s="39"/>
      <c r="R1154" s="19"/>
      <c r="S1154" s="21"/>
      <c r="T1154" s="21"/>
      <c r="U1154" s="39"/>
      <c r="V1154" s="21"/>
      <c r="W1154" s="54"/>
      <c r="X1154" s="23"/>
      <c r="Y1154" s="23"/>
      <c r="Z1154" s="56"/>
      <c r="AA1154" s="24"/>
      <c r="AB1154" s="19"/>
      <c r="AC1154" s="19"/>
      <c r="AD1154" s="15" t="e">
        <f ca="1">IF(AND($D1154&lt;&gt;"",COUNTIF(OFFSET(UFS!$E$2,MATCH($D1154&amp;"",UFS!$A$2:$A$175,0)-1,0,COUNTIF(UFS!$A$2:$A$175,$D1154&amp;""),1),M1154)&gt;0),"Valide","Invalide")</f>
        <v>#N/A</v>
      </c>
      <c r="AH1154" s="15" t="str">
        <f t="shared" si="17"/>
        <v/>
      </c>
    </row>
    <row r="1155" spans="1:34" s="15" customFormat="1" ht="45" hidden="1" customHeight="1" x14ac:dyDescent="0.3">
      <c r="A1155" s="42">
        <v>1156</v>
      </c>
      <c r="B1155" s="19"/>
      <c r="C1155" s="19"/>
      <c r="D1155" s="20"/>
      <c r="E1155" s="20"/>
      <c r="F1155" s="21"/>
      <c r="G1155" s="38"/>
      <c r="H1155" s="39"/>
      <c r="I1155" s="39"/>
      <c r="J1155" s="21"/>
      <c r="K1155" s="21"/>
      <c r="L1155" s="21"/>
      <c r="M1155" s="21"/>
      <c r="N1155" s="21"/>
      <c r="O1155" s="20"/>
      <c r="P1155" s="19"/>
      <c r="Q1155" s="39"/>
      <c r="R1155" s="19"/>
      <c r="S1155" s="21"/>
      <c r="T1155" s="21"/>
      <c r="U1155" s="39"/>
      <c r="V1155" s="21"/>
      <c r="W1155" s="54"/>
      <c r="X1155" s="23"/>
      <c r="Y1155" s="23"/>
      <c r="Z1155" s="56"/>
      <c r="AA1155" s="24"/>
      <c r="AB1155" s="19"/>
      <c r="AC1155" s="19"/>
      <c r="AD1155" s="15" t="e">
        <f ca="1">IF(AND($D1155&lt;&gt;"",COUNTIF(OFFSET(UFS!$E$2,MATCH($D1155&amp;"",UFS!$A$2:$A$175,0)-1,0,COUNTIF(UFS!$A$2:$A$175,$D1155&amp;""),1),M1155)&gt;0),"Valide","Invalide")</f>
        <v>#N/A</v>
      </c>
      <c r="AH1155" s="15" t="str">
        <f t="shared" ref="AH1155:AH1218" si="18">IF(T1155&lt;&gt;"","En attente","")</f>
        <v/>
      </c>
    </row>
    <row r="1156" spans="1:34" s="15" customFormat="1" ht="45" hidden="1" customHeight="1" x14ac:dyDescent="0.3">
      <c r="A1156" s="42">
        <v>1157</v>
      </c>
      <c r="B1156" s="19"/>
      <c r="C1156" s="19"/>
      <c r="D1156" s="20"/>
      <c r="E1156" s="20"/>
      <c r="F1156" s="21"/>
      <c r="G1156" s="38"/>
      <c r="H1156" s="39"/>
      <c r="I1156" s="39"/>
      <c r="J1156" s="21"/>
      <c r="K1156" s="21"/>
      <c r="L1156" s="21"/>
      <c r="M1156" s="21"/>
      <c r="N1156" s="21"/>
      <c r="O1156" s="20"/>
      <c r="P1156" s="19"/>
      <c r="Q1156" s="39"/>
      <c r="R1156" s="19"/>
      <c r="S1156" s="21"/>
      <c r="T1156" s="21"/>
      <c r="U1156" s="39"/>
      <c r="V1156" s="21"/>
      <c r="W1156" s="54"/>
      <c r="X1156" s="23"/>
      <c r="Y1156" s="23"/>
      <c r="Z1156" s="56"/>
      <c r="AA1156" s="24"/>
      <c r="AB1156" s="19"/>
      <c r="AC1156" s="19"/>
      <c r="AD1156" s="15" t="e">
        <f ca="1">IF(AND($D1156&lt;&gt;"",COUNTIF(OFFSET(UFS!$E$2,MATCH($D1156&amp;"",UFS!$A$2:$A$175,0)-1,0,COUNTIF(UFS!$A$2:$A$175,$D1156&amp;""),1),M1156)&gt;0),"Valide","Invalide")</f>
        <v>#N/A</v>
      </c>
      <c r="AH1156" s="15" t="str">
        <f t="shared" si="18"/>
        <v/>
      </c>
    </row>
    <row r="1157" spans="1:34" s="15" customFormat="1" ht="45" hidden="1" customHeight="1" x14ac:dyDescent="0.3">
      <c r="A1157" s="42">
        <v>1158</v>
      </c>
      <c r="B1157" s="19"/>
      <c r="C1157" s="19"/>
      <c r="D1157" s="20"/>
      <c r="E1157" s="20"/>
      <c r="F1157" s="21"/>
      <c r="G1157" s="38"/>
      <c r="H1157" s="39"/>
      <c r="I1157" s="39"/>
      <c r="J1157" s="21"/>
      <c r="K1157" s="21"/>
      <c r="L1157" s="21"/>
      <c r="M1157" s="21"/>
      <c r="N1157" s="21"/>
      <c r="O1157" s="20"/>
      <c r="P1157" s="19"/>
      <c r="Q1157" s="39"/>
      <c r="R1157" s="19"/>
      <c r="S1157" s="21"/>
      <c r="T1157" s="21"/>
      <c r="U1157" s="39"/>
      <c r="V1157" s="21"/>
      <c r="W1157" s="54"/>
      <c r="X1157" s="23"/>
      <c r="Y1157" s="23"/>
      <c r="Z1157" s="56"/>
      <c r="AA1157" s="24"/>
      <c r="AB1157" s="19"/>
      <c r="AC1157" s="19"/>
      <c r="AD1157" s="15" t="e">
        <f ca="1">IF(AND($D1157&lt;&gt;"",COUNTIF(OFFSET(UFS!$E$2,MATCH($D1157&amp;"",UFS!$A$2:$A$175,0)-1,0,COUNTIF(UFS!$A$2:$A$175,$D1157&amp;""),1),M1157)&gt;0),"Valide","Invalide")</f>
        <v>#N/A</v>
      </c>
      <c r="AH1157" s="15" t="str">
        <f t="shared" si="18"/>
        <v/>
      </c>
    </row>
    <row r="1158" spans="1:34" s="15" customFormat="1" ht="45" hidden="1" customHeight="1" x14ac:dyDescent="0.3">
      <c r="A1158" s="42">
        <v>1159</v>
      </c>
      <c r="B1158" s="19"/>
      <c r="C1158" s="19"/>
      <c r="D1158" s="20"/>
      <c r="E1158" s="20"/>
      <c r="F1158" s="21"/>
      <c r="G1158" s="38"/>
      <c r="H1158" s="39"/>
      <c r="I1158" s="39"/>
      <c r="J1158" s="21"/>
      <c r="K1158" s="21"/>
      <c r="L1158" s="21"/>
      <c r="M1158" s="21"/>
      <c r="N1158" s="21"/>
      <c r="O1158" s="20"/>
      <c r="P1158" s="19"/>
      <c r="Q1158" s="39"/>
      <c r="R1158" s="19"/>
      <c r="S1158" s="21"/>
      <c r="T1158" s="21"/>
      <c r="U1158" s="39"/>
      <c r="V1158" s="21"/>
      <c r="W1158" s="54"/>
      <c r="X1158" s="23"/>
      <c r="Y1158" s="23"/>
      <c r="Z1158" s="56"/>
      <c r="AA1158" s="24"/>
      <c r="AB1158" s="19"/>
      <c r="AC1158" s="19"/>
      <c r="AD1158" s="15" t="e">
        <f ca="1">IF(AND($D1158&lt;&gt;"",COUNTIF(OFFSET(UFS!$E$2,MATCH($D1158&amp;"",UFS!$A$2:$A$175,0)-1,0,COUNTIF(UFS!$A$2:$A$175,$D1158&amp;""),1),M1158)&gt;0),"Valide","Invalide")</f>
        <v>#N/A</v>
      </c>
      <c r="AH1158" s="15" t="str">
        <f t="shared" si="18"/>
        <v/>
      </c>
    </row>
    <row r="1159" spans="1:34" s="15" customFormat="1" ht="45" hidden="1" customHeight="1" x14ac:dyDescent="0.3">
      <c r="A1159" s="42">
        <v>1160</v>
      </c>
      <c r="B1159" s="19"/>
      <c r="C1159" s="19"/>
      <c r="D1159" s="20"/>
      <c r="E1159" s="20"/>
      <c r="F1159" s="21"/>
      <c r="G1159" s="38"/>
      <c r="H1159" s="39"/>
      <c r="I1159" s="39"/>
      <c r="J1159" s="21"/>
      <c r="K1159" s="21"/>
      <c r="L1159" s="21"/>
      <c r="M1159" s="21"/>
      <c r="N1159" s="21"/>
      <c r="O1159" s="20"/>
      <c r="P1159" s="19"/>
      <c r="Q1159" s="39"/>
      <c r="R1159" s="19"/>
      <c r="S1159" s="21"/>
      <c r="T1159" s="21"/>
      <c r="U1159" s="39"/>
      <c r="V1159" s="21"/>
      <c r="W1159" s="54"/>
      <c r="X1159" s="23"/>
      <c r="Y1159" s="23"/>
      <c r="Z1159" s="56"/>
      <c r="AA1159" s="24"/>
      <c r="AB1159" s="19"/>
      <c r="AC1159" s="19"/>
      <c r="AD1159" s="15" t="e">
        <f ca="1">IF(AND($D1159&lt;&gt;"",COUNTIF(OFFSET(UFS!$E$2,MATCH($D1159&amp;"",UFS!$A$2:$A$175,0)-1,0,COUNTIF(UFS!$A$2:$A$175,$D1159&amp;""),1),M1159)&gt;0),"Valide","Invalide")</f>
        <v>#N/A</v>
      </c>
      <c r="AH1159" s="15" t="str">
        <f t="shared" si="18"/>
        <v/>
      </c>
    </row>
    <row r="1160" spans="1:34" s="15" customFormat="1" ht="45" hidden="1" customHeight="1" x14ac:dyDescent="0.3">
      <c r="A1160" s="42">
        <v>1161</v>
      </c>
      <c r="B1160" s="19"/>
      <c r="C1160" s="19"/>
      <c r="D1160" s="20"/>
      <c r="E1160" s="20"/>
      <c r="F1160" s="21"/>
      <c r="G1160" s="38"/>
      <c r="H1160" s="39"/>
      <c r="I1160" s="39"/>
      <c r="J1160" s="21"/>
      <c r="K1160" s="21"/>
      <c r="L1160" s="21"/>
      <c r="M1160" s="21"/>
      <c r="N1160" s="21"/>
      <c r="O1160" s="20"/>
      <c r="P1160" s="19"/>
      <c r="Q1160" s="39"/>
      <c r="R1160" s="19"/>
      <c r="S1160" s="21"/>
      <c r="T1160" s="21"/>
      <c r="U1160" s="39"/>
      <c r="V1160" s="21"/>
      <c r="W1160" s="54"/>
      <c r="X1160" s="23"/>
      <c r="Y1160" s="23"/>
      <c r="Z1160" s="56"/>
      <c r="AA1160" s="24"/>
      <c r="AB1160" s="19"/>
      <c r="AC1160" s="19"/>
      <c r="AD1160" s="15" t="e">
        <f ca="1">IF(AND($D1160&lt;&gt;"",COUNTIF(OFFSET(UFS!$E$2,MATCH($D1160&amp;"",UFS!$A$2:$A$175,0)-1,0,COUNTIF(UFS!$A$2:$A$175,$D1160&amp;""),1),M1160)&gt;0),"Valide","Invalide")</f>
        <v>#N/A</v>
      </c>
      <c r="AH1160" s="15" t="str">
        <f t="shared" si="18"/>
        <v/>
      </c>
    </row>
    <row r="1161" spans="1:34" s="15" customFormat="1" ht="45" hidden="1" customHeight="1" x14ac:dyDescent="0.3">
      <c r="A1161" s="42">
        <v>1162</v>
      </c>
      <c r="B1161" s="19"/>
      <c r="C1161" s="19"/>
      <c r="D1161" s="20"/>
      <c r="E1161" s="20"/>
      <c r="F1161" s="21"/>
      <c r="G1161" s="38"/>
      <c r="H1161" s="39"/>
      <c r="I1161" s="39"/>
      <c r="J1161" s="21"/>
      <c r="K1161" s="21"/>
      <c r="L1161" s="21"/>
      <c r="M1161" s="21"/>
      <c r="N1161" s="21"/>
      <c r="O1161" s="20"/>
      <c r="P1161" s="19"/>
      <c r="Q1161" s="39"/>
      <c r="R1161" s="19"/>
      <c r="S1161" s="21"/>
      <c r="T1161" s="21"/>
      <c r="U1161" s="39"/>
      <c r="V1161" s="21"/>
      <c r="W1161" s="54"/>
      <c r="X1161" s="23"/>
      <c r="Y1161" s="23"/>
      <c r="Z1161" s="56"/>
      <c r="AA1161" s="24"/>
      <c r="AB1161" s="19"/>
      <c r="AC1161" s="19"/>
      <c r="AD1161" s="15" t="e">
        <f ca="1">IF(AND($D1161&lt;&gt;"",COUNTIF(OFFSET(UFS!$E$2,MATCH($D1161&amp;"",UFS!$A$2:$A$175,0)-1,0,COUNTIF(UFS!$A$2:$A$175,$D1161&amp;""),1),M1161)&gt;0),"Valide","Invalide")</f>
        <v>#N/A</v>
      </c>
      <c r="AH1161" s="15" t="str">
        <f t="shared" si="18"/>
        <v/>
      </c>
    </row>
    <row r="1162" spans="1:34" s="15" customFormat="1" ht="45" hidden="1" customHeight="1" x14ac:dyDescent="0.3">
      <c r="A1162" s="42">
        <v>1163</v>
      </c>
      <c r="B1162" s="19"/>
      <c r="C1162" s="19"/>
      <c r="D1162" s="20"/>
      <c r="E1162" s="20"/>
      <c r="F1162" s="21"/>
      <c r="G1162" s="38"/>
      <c r="H1162" s="39"/>
      <c r="I1162" s="39"/>
      <c r="J1162" s="21"/>
      <c r="K1162" s="21"/>
      <c r="L1162" s="21"/>
      <c r="M1162" s="21"/>
      <c r="N1162" s="21"/>
      <c r="O1162" s="20"/>
      <c r="P1162" s="19"/>
      <c r="Q1162" s="39"/>
      <c r="R1162" s="19"/>
      <c r="S1162" s="21"/>
      <c r="T1162" s="21"/>
      <c r="U1162" s="39"/>
      <c r="V1162" s="21"/>
      <c r="W1162" s="54"/>
      <c r="X1162" s="23"/>
      <c r="Y1162" s="23"/>
      <c r="Z1162" s="56"/>
      <c r="AA1162" s="24"/>
      <c r="AB1162" s="19"/>
      <c r="AC1162" s="19"/>
      <c r="AD1162" s="15" t="e">
        <f ca="1">IF(AND($D1162&lt;&gt;"",COUNTIF(OFFSET(UFS!$E$2,MATCH($D1162&amp;"",UFS!$A$2:$A$175,0)-1,0,COUNTIF(UFS!$A$2:$A$175,$D1162&amp;""),1),M1162)&gt;0),"Valide","Invalide")</f>
        <v>#N/A</v>
      </c>
      <c r="AH1162" s="15" t="str">
        <f t="shared" si="18"/>
        <v/>
      </c>
    </row>
    <row r="1163" spans="1:34" s="15" customFormat="1" ht="45" hidden="1" customHeight="1" x14ac:dyDescent="0.3">
      <c r="A1163" s="42">
        <v>1164</v>
      </c>
      <c r="B1163" s="19"/>
      <c r="C1163" s="19"/>
      <c r="D1163" s="20"/>
      <c r="E1163" s="20"/>
      <c r="F1163" s="21"/>
      <c r="G1163" s="38"/>
      <c r="H1163" s="39"/>
      <c r="I1163" s="39"/>
      <c r="J1163" s="21"/>
      <c r="K1163" s="21"/>
      <c r="L1163" s="21"/>
      <c r="M1163" s="21"/>
      <c r="N1163" s="21"/>
      <c r="O1163" s="20"/>
      <c r="P1163" s="19"/>
      <c r="Q1163" s="39"/>
      <c r="R1163" s="19"/>
      <c r="S1163" s="21"/>
      <c r="T1163" s="21"/>
      <c r="U1163" s="39"/>
      <c r="V1163" s="21"/>
      <c r="W1163" s="54"/>
      <c r="X1163" s="23"/>
      <c r="Y1163" s="23"/>
      <c r="Z1163" s="56"/>
      <c r="AA1163" s="24"/>
      <c r="AB1163" s="19"/>
      <c r="AC1163" s="19"/>
      <c r="AD1163" s="15" t="e">
        <f ca="1">IF(AND($D1163&lt;&gt;"",COUNTIF(OFFSET(UFS!$E$2,MATCH($D1163&amp;"",UFS!$A$2:$A$175,0)-1,0,COUNTIF(UFS!$A$2:$A$175,$D1163&amp;""),1),M1163)&gt;0),"Valide","Invalide")</f>
        <v>#N/A</v>
      </c>
      <c r="AH1163" s="15" t="str">
        <f t="shared" si="18"/>
        <v/>
      </c>
    </row>
    <row r="1164" spans="1:34" s="15" customFormat="1" ht="45" hidden="1" customHeight="1" x14ac:dyDescent="0.3">
      <c r="A1164" s="42">
        <v>1165</v>
      </c>
      <c r="B1164" s="19"/>
      <c r="C1164" s="19"/>
      <c r="D1164" s="20"/>
      <c r="E1164" s="20"/>
      <c r="F1164" s="21"/>
      <c r="G1164" s="38"/>
      <c r="H1164" s="39"/>
      <c r="I1164" s="39"/>
      <c r="J1164" s="21"/>
      <c r="K1164" s="21"/>
      <c r="L1164" s="21"/>
      <c r="M1164" s="21"/>
      <c r="N1164" s="21"/>
      <c r="O1164" s="20"/>
      <c r="P1164" s="19"/>
      <c r="Q1164" s="39"/>
      <c r="R1164" s="19"/>
      <c r="S1164" s="21"/>
      <c r="T1164" s="21"/>
      <c r="U1164" s="39"/>
      <c r="V1164" s="21"/>
      <c r="W1164" s="54"/>
      <c r="X1164" s="23"/>
      <c r="Y1164" s="23"/>
      <c r="Z1164" s="56"/>
      <c r="AA1164" s="24"/>
      <c r="AB1164" s="19"/>
      <c r="AC1164" s="19"/>
      <c r="AD1164" s="15" t="e">
        <f ca="1">IF(AND($D1164&lt;&gt;"",COUNTIF(OFFSET(UFS!$E$2,MATCH($D1164&amp;"",UFS!$A$2:$A$175,0)-1,0,COUNTIF(UFS!$A$2:$A$175,$D1164&amp;""),1),M1164)&gt;0),"Valide","Invalide")</f>
        <v>#N/A</v>
      </c>
      <c r="AH1164" s="15" t="str">
        <f t="shared" si="18"/>
        <v/>
      </c>
    </row>
    <row r="1165" spans="1:34" s="15" customFormat="1" ht="45" hidden="1" customHeight="1" x14ac:dyDescent="0.3">
      <c r="A1165" s="42">
        <v>1166</v>
      </c>
      <c r="B1165" s="19"/>
      <c r="C1165" s="19"/>
      <c r="D1165" s="20"/>
      <c r="E1165" s="20"/>
      <c r="F1165" s="21"/>
      <c r="G1165" s="38"/>
      <c r="H1165" s="39"/>
      <c r="I1165" s="39"/>
      <c r="J1165" s="21"/>
      <c r="K1165" s="21"/>
      <c r="L1165" s="21"/>
      <c r="M1165" s="21"/>
      <c r="N1165" s="21"/>
      <c r="O1165" s="20"/>
      <c r="P1165" s="19"/>
      <c r="Q1165" s="39"/>
      <c r="R1165" s="19"/>
      <c r="S1165" s="21"/>
      <c r="T1165" s="21"/>
      <c r="U1165" s="39"/>
      <c r="V1165" s="21"/>
      <c r="W1165" s="54"/>
      <c r="X1165" s="23"/>
      <c r="Y1165" s="23"/>
      <c r="Z1165" s="56"/>
      <c r="AA1165" s="24"/>
      <c r="AB1165" s="19"/>
      <c r="AC1165" s="19"/>
      <c r="AD1165" s="15" t="e">
        <f ca="1">IF(AND($D1165&lt;&gt;"",COUNTIF(OFFSET(UFS!$E$2,MATCH($D1165&amp;"",UFS!$A$2:$A$175,0)-1,0,COUNTIF(UFS!$A$2:$A$175,$D1165&amp;""),1),M1165)&gt;0),"Valide","Invalide")</f>
        <v>#N/A</v>
      </c>
      <c r="AH1165" s="15" t="str">
        <f t="shared" si="18"/>
        <v/>
      </c>
    </row>
    <row r="1166" spans="1:34" s="15" customFormat="1" ht="45" hidden="1" customHeight="1" x14ac:dyDescent="0.3">
      <c r="A1166" s="42">
        <v>1167</v>
      </c>
      <c r="B1166" s="19"/>
      <c r="C1166" s="19"/>
      <c r="D1166" s="20"/>
      <c r="E1166" s="20"/>
      <c r="F1166" s="21"/>
      <c r="G1166" s="38"/>
      <c r="H1166" s="39"/>
      <c r="I1166" s="39"/>
      <c r="J1166" s="21"/>
      <c r="K1166" s="21"/>
      <c r="L1166" s="21"/>
      <c r="M1166" s="21"/>
      <c r="N1166" s="21"/>
      <c r="O1166" s="20"/>
      <c r="P1166" s="19"/>
      <c r="Q1166" s="39"/>
      <c r="R1166" s="19"/>
      <c r="S1166" s="21"/>
      <c r="T1166" s="21"/>
      <c r="U1166" s="39"/>
      <c r="V1166" s="21"/>
      <c r="W1166" s="54"/>
      <c r="X1166" s="23"/>
      <c r="Y1166" s="23"/>
      <c r="Z1166" s="56"/>
      <c r="AA1166" s="24"/>
      <c r="AB1166" s="19"/>
      <c r="AC1166" s="19"/>
      <c r="AD1166" s="15" t="e">
        <f ca="1">IF(AND($D1166&lt;&gt;"",COUNTIF(OFFSET(UFS!$E$2,MATCH($D1166&amp;"",UFS!$A$2:$A$175,0)-1,0,COUNTIF(UFS!$A$2:$A$175,$D1166&amp;""),1),M1166)&gt;0),"Valide","Invalide")</f>
        <v>#N/A</v>
      </c>
      <c r="AH1166" s="15" t="str">
        <f t="shared" si="18"/>
        <v/>
      </c>
    </row>
    <row r="1167" spans="1:34" s="15" customFormat="1" ht="45" hidden="1" customHeight="1" x14ac:dyDescent="0.3">
      <c r="A1167" s="42">
        <v>1168</v>
      </c>
      <c r="B1167" s="19"/>
      <c r="C1167" s="19"/>
      <c r="D1167" s="20"/>
      <c r="E1167" s="20"/>
      <c r="F1167" s="21"/>
      <c r="G1167" s="38"/>
      <c r="H1167" s="39"/>
      <c r="I1167" s="39"/>
      <c r="J1167" s="21"/>
      <c r="K1167" s="21"/>
      <c r="L1167" s="21"/>
      <c r="M1167" s="21"/>
      <c r="N1167" s="21"/>
      <c r="O1167" s="20"/>
      <c r="P1167" s="19"/>
      <c r="Q1167" s="39"/>
      <c r="R1167" s="19"/>
      <c r="S1167" s="21"/>
      <c r="T1167" s="21"/>
      <c r="U1167" s="39"/>
      <c r="V1167" s="21"/>
      <c r="W1167" s="54"/>
      <c r="X1167" s="23"/>
      <c r="Y1167" s="23"/>
      <c r="Z1167" s="56"/>
      <c r="AA1167" s="24"/>
      <c r="AB1167" s="19"/>
      <c r="AC1167" s="19"/>
      <c r="AD1167" s="15" t="e">
        <f ca="1">IF(AND($D1167&lt;&gt;"",COUNTIF(OFFSET(UFS!$E$2,MATCH($D1167&amp;"",UFS!$A$2:$A$175,0)-1,0,COUNTIF(UFS!$A$2:$A$175,$D1167&amp;""),1),M1167)&gt;0),"Valide","Invalide")</f>
        <v>#N/A</v>
      </c>
      <c r="AH1167" s="15" t="str">
        <f t="shared" si="18"/>
        <v/>
      </c>
    </row>
    <row r="1168" spans="1:34" s="15" customFormat="1" ht="45" hidden="1" customHeight="1" x14ac:dyDescent="0.3">
      <c r="A1168" s="42">
        <v>1169</v>
      </c>
      <c r="B1168" s="19"/>
      <c r="C1168" s="19"/>
      <c r="D1168" s="20"/>
      <c r="E1168" s="20"/>
      <c r="F1168" s="21"/>
      <c r="G1168" s="38"/>
      <c r="H1168" s="39"/>
      <c r="I1168" s="39"/>
      <c r="J1168" s="21"/>
      <c r="K1168" s="21"/>
      <c r="L1168" s="21"/>
      <c r="M1168" s="21"/>
      <c r="N1168" s="21"/>
      <c r="O1168" s="20"/>
      <c r="P1168" s="19"/>
      <c r="Q1168" s="39"/>
      <c r="R1168" s="19"/>
      <c r="S1168" s="21"/>
      <c r="T1168" s="21"/>
      <c r="U1168" s="39"/>
      <c r="V1168" s="21"/>
      <c r="W1168" s="54"/>
      <c r="X1168" s="23"/>
      <c r="Y1168" s="23"/>
      <c r="Z1168" s="56"/>
      <c r="AA1168" s="24"/>
      <c r="AB1168" s="19"/>
      <c r="AC1168" s="19"/>
      <c r="AD1168" s="15" t="e">
        <f ca="1">IF(AND($D1168&lt;&gt;"",COUNTIF(OFFSET(UFS!$E$2,MATCH($D1168&amp;"",UFS!$A$2:$A$175,0)-1,0,COUNTIF(UFS!$A$2:$A$175,$D1168&amp;""),1),M1168)&gt;0),"Valide","Invalide")</f>
        <v>#N/A</v>
      </c>
      <c r="AH1168" s="15" t="str">
        <f t="shared" si="18"/>
        <v/>
      </c>
    </row>
    <row r="1169" spans="1:34" s="15" customFormat="1" ht="45" hidden="1" customHeight="1" x14ac:dyDescent="0.3">
      <c r="A1169" s="42">
        <v>1170</v>
      </c>
      <c r="B1169" s="19"/>
      <c r="C1169" s="19"/>
      <c r="D1169" s="20"/>
      <c r="E1169" s="20"/>
      <c r="F1169" s="21"/>
      <c r="G1169" s="38"/>
      <c r="H1169" s="39"/>
      <c r="I1169" s="39"/>
      <c r="J1169" s="21"/>
      <c r="K1169" s="21"/>
      <c r="L1169" s="21"/>
      <c r="M1169" s="21"/>
      <c r="N1169" s="21"/>
      <c r="O1169" s="20"/>
      <c r="P1169" s="19"/>
      <c r="Q1169" s="39"/>
      <c r="R1169" s="19"/>
      <c r="S1169" s="21"/>
      <c r="T1169" s="21"/>
      <c r="U1169" s="39"/>
      <c r="V1169" s="21"/>
      <c r="W1169" s="54"/>
      <c r="X1169" s="23"/>
      <c r="Y1169" s="23"/>
      <c r="Z1169" s="56"/>
      <c r="AA1169" s="24"/>
      <c r="AB1169" s="19"/>
      <c r="AC1169" s="19"/>
      <c r="AD1169" s="15" t="e">
        <f ca="1">IF(AND($D1169&lt;&gt;"",COUNTIF(OFFSET(UFS!$E$2,MATCH($D1169&amp;"",UFS!$A$2:$A$175,0)-1,0,COUNTIF(UFS!$A$2:$A$175,$D1169&amp;""),1),M1169)&gt;0),"Valide","Invalide")</f>
        <v>#N/A</v>
      </c>
      <c r="AH1169" s="15" t="str">
        <f t="shared" si="18"/>
        <v/>
      </c>
    </row>
    <row r="1170" spans="1:34" s="15" customFormat="1" ht="45" hidden="1" customHeight="1" x14ac:dyDescent="0.3">
      <c r="A1170" s="42">
        <v>1171</v>
      </c>
      <c r="B1170" s="19"/>
      <c r="C1170" s="19"/>
      <c r="D1170" s="20"/>
      <c r="E1170" s="20"/>
      <c r="F1170" s="21"/>
      <c r="G1170" s="38"/>
      <c r="H1170" s="39"/>
      <c r="I1170" s="39"/>
      <c r="J1170" s="21"/>
      <c r="K1170" s="21"/>
      <c r="L1170" s="21"/>
      <c r="M1170" s="21"/>
      <c r="N1170" s="21"/>
      <c r="O1170" s="20"/>
      <c r="P1170" s="19"/>
      <c r="Q1170" s="39"/>
      <c r="R1170" s="19"/>
      <c r="S1170" s="21"/>
      <c r="T1170" s="21"/>
      <c r="U1170" s="39"/>
      <c r="V1170" s="21"/>
      <c r="W1170" s="54"/>
      <c r="X1170" s="23"/>
      <c r="Y1170" s="23"/>
      <c r="Z1170" s="56"/>
      <c r="AA1170" s="24"/>
      <c r="AB1170" s="19"/>
      <c r="AC1170" s="19"/>
      <c r="AD1170" s="15" t="e">
        <f ca="1">IF(AND($D1170&lt;&gt;"",COUNTIF(OFFSET(UFS!$E$2,MATCH($D1170&amp;"",UFS!$A$2:$A$175,0)-1,0,COUNTIF(UFS!$A$2:$A$175,$D1170&amp;""),1),M1170)&gt;0),"Valide","Invalide")</f>
        <v>#N/A</v>
      </c>
      <c r="AH1170" s="15" t="str">
        <f t="shared" si="18"/>
        <v/>
      </c>
    </row>
    <row r="1171" spans="1:34" s="15" customFormat="1" ht="45" hidden="1" customHeight="1" x14ac:dyDescent="0.3">
      <c r="A1171" s="42">
        <v>1172</v>
      </c>
      <c r="B1171" s="19"/>
      <c r="C1171" s="19"/>
      <c r="D1171" s="20"/>
      <c r="E1171" s="20"/>
      <c r="F1171" s="21"/>
      <c r="G1171" s="38"/>
      <c r="H1171" s="39"/>
      <c r="I1171" s="39"/>
      <c r="J1171" s="21"/>
      <c r="K1171" s="21"/>
      <c r="L1171" s="21"/>
      <c r="M1171" s="21"/>
      <c r="N1171" s="21"/>
      <c r="O1171" s="20"/>
      <c r="P1171" s="19"/>
      <c r="Q1171" s="39"/>
      <c r="R1171" s="19"/>
      <c r="S1171" s="21"/>
      <c r="T1171" s="21"/>
      <c r="U1171" s="39"/>
      <c r="V1171" s="21"/>
      <c r="W1171" s="54"/>
      <c r="X1171" s="23"/>
      <c r="Y1171" s="23"/>
      <c r="Z1171" s="56"/>
      <c r="AA1171" s="24"/>
      <c r="AB1171" s="19"/>
      <c r="AC1171" s="19"/>
      <c r="AD1171" s="15" t="e">
        <f ca="1">IF(AND($D1171&lt;&gt;"",COUNTIF(OFFSET(UFS!$E$2,MATCH($D1171&amp;"",UFS!$A$2:$A$175,0)-1,0,COUNTIF(UFS!$A$2:$A$175,$D1171&amp;""),1),M1171)&gt;0),"Valide","Invalide")</f>
        <v>#N/A</v>
      </c>
      <c r="AH1171" s="15" t="str">
        <f t="shared" si="18"/>
        <v/>
      </c>
    </row>
    <row r="1172" spans="1:34" s="15" customFormat="1" ht="45" hidden="1" customHeight="1" x14ac:dyDescent="0.3">
      <c r="A1172" s="42">
        <v>1173</v>
      </c>
      <c r="B1172" s="19"/>
      <c r="C1172" s="19"/>
      <c r="D1172" s="20"/>
      <c r="E1172" s="20"/>
      <c r="F1172" s="21"/>
      <c r="G1172" s="38"/>
      <c r="H1172" s="39"/>
      <c r="I1172" s="39"/>
      <c r="J1172" s="21"/>
      <c r="K1172" s="21"/>
      <c r="L1172" s="21"/>
      <c r="M1172" s="21"/>
      <c r="N1172" s="21"/>
      <c r="O1172" s="20"/>
      <c r="P1172" s="19"/>
      <c r="Q1172" s="39"/>
      <c r="R1172" s="19"/>
      <c r="S1172" s="21"/>
      <c r="T1172" s="21"/>
      <c r="U1172" s="39"/>
      <c r="V1172" s="21"/>
      <c r="W1172" s="54"/>
      <c r="X1172" s="23"/>
      <c r="Y1172" s="23"/>
      <c r="Z1172" s="56"/>
      <c r="AA1172" s="24"/>
      <c r="AB1172" s="19"/>
      <c r="AC1172" s="19"/>
      <c r="AD1172" s="15" t="e">
        <f ca="1">IF(AND($D1172&lt;&gt;"",COUNTIF(OFFSET(UFS!$E$2,MATCH($D1172&amp;"",UFS!$A$2:$A$175,0)-1,0,COUNTIF(UFS!$A$2:$A$175,$D1172&amp;""),1),M1172)&gt;0),"Valide","Invalide")</f>
        <v>#N/A</v>
      </c>
      <c r="AH1172" s="15" t="str">
        <f t="shared" si="18"/>
        <v/>
      </c>
    </row>
    <row r="1173" spans="1:34" s="15" customFormat="1" ht="45" hidden="1" customHeight="1" x14ac:dyDescent="0.3">
      <c r="A1173" s="42">
        <v>1174</v>
      </c>
      <c r="B1173" s="19"/>
      <c r="C1173" s="19"/>
      <c r="D1173" s="20"/>
      <c r="E1173" s="20"/>
      <c r="F1173" s="21"/>
      <c r="G1173" s="38"/>
      <c r="H1173" s="39"/>
      <c r="I1173" s="39"/>
      <c r="J1173" s="21"/>
      <c r="K1173" s="21"/>
      <c r="L1173" s="21"/>
      <c r="M1173" s="21"/>
      <c r="N1173" s="21"/>
      <c r="O1173" s="20"/>
      <c r="P1173" s="19"/>
      <c r="Q1173" s="39"/>
      <c r="R1173" s="19"/>
      <c r="S1173" s="21"/>
      <c r="T1173" s="21"/>
      <c r="U1173" s="39"/>
      <c r="V1173" s="21"/>
      <c r="W1173" s="54"/>
      <c r="X1173" s="23"/>
      <c r="Y1173" s="23"/>
      <c r="Z1173" s="56"/>
      <c r="AA1173" s="24"/>
      <c r="AB1173" s="19"/>
      <c r="AC1173" s="19"/>
      <c r="AD1173" s="15" t="e">
        <f ca="1">IF(AND($D1173&lt;&gt;"",COUNTIF(OFFSET(UFS!$E$2,MATCH($D1173&amp;"",UFS!$A$2:$A$175,0)-1,0,COUNTIF(UFS!$A$2:$A$175,$D1173&amp;""),1),M1173)&gt;0),"Valide","Invalide")</f>
        <v>#N/A</v>
      </c>
      <c r="AH1173" s="15" t="str">
        <f t="shared" si="18"/>
        <v/>
      </c>
    </row>
    <row r="1174" spans="1:34" s="15" customFormat="1" ht="45" hidden="1" customHeight="1" x14ac:dyDescent="0.3">
      <c r="A1174" s="42">
        <v>1175</v>
      </c>
      <c r="B1174" s="19"/>
      <c r="C1174" s="19"/>
      <c r="D1174" s="20"/>
      <c r="E1174" s="20"/>
      <c r="F1174" s="21"/>
      <c r="G1174" s="38"/>
      <c r="H1174" s="39"/>
      <c r="I1174" s="39"/>
      <c r="J1174" s="21"/>
      <c r="K1174" s="21"/>
      <c r="L1174" s="21"/>
      <c r="M1174" s="21"/>
      <c r="N1174" s="21"/>
      <c r="O1174" s="20"/>
      <c r="P1174" s="19"/>
      <c r="Q1174" s="39"/>
      <c r="R1174" s="19"/>
      <c r="S1174" s="21"/>
      <c r="T1174" s="21"/>
      <c r="U1174" s="39"/>
      <c r="V1174" s="21"/>
      <c r="W1174" s="54"/>
      <c r="X1174" s="23"/>
      <c r="Y1174" s="23"/>
      <c r="Z1174" s="56"/>
      <c r="AA1174" s="24"/>
      <c r="AB1174" s="19"/>
      <c r="AC1174" s="19"/>
      <c r="AD1174" s="15" t="e">
        <f ca="1">IF(AND($D1174&lt;&gt;"",COUNTIF(OFFSET(UFS!$E$2,MATCH($D1174&amp;"",UFS!$A$2:$A$175,0)-1,0,COUNTIF(UFS!$A$2:$A$175,$D1174&amp;""),1),M1174)&gt;0),"Valide","Invalide")</f>
        <v>#N/A</v>
      </c>
      <c r="AH1174" s="15" t="str">
        <f t="shared" si="18"/>
        <v/>
      </c>
    </row>
    <row r="1175" spans="1:34" s="15" customFormat="1" ht="45" hidden="1" customHeight="1" x14ac:dyDescent="0.3">
      <c r="A1175" s="42">
        <v>1176</v>
      </c>
      <c r="B1175" s="19"/>
      <c r="C1175" s="19"/>
      <c r="D1175" s="20"/>
      <c r="E1175" s="20"/>
      <c r="F1175" s="21"/>
      <c r="G1175" s="38"/>
      <c r="H1175" s="39"/>
      <c r="I1175" s="39"/>
      <c r="J1175" s="21"/>
      <c r="K1175" s="21"/>
      <c r="L1175" s="21"/>
      <c r="M1175" s="21"/>
      <c r="N1175" s="21"/>
      <c r="O1175" s="20"/>
      <c r="P1175" s="19"/>
      <c r="Q1175" s="39"/>
      <c r="R1175" s="19"/>
      <c r="S1175" s="21"/>
      <c r="T1175" s="21"/>
      <c r="U1175" s="39"/>
      <c r="V1175" s="21"/>
      <c r="W1175" s="54"/>
      <c r="X1175" s="23"/>
      <c r="Y1175" s="23"/>
      <c r="Z1175" s="56"/>
      <c r="AA1175" s="24"/>
      <c r="AB1175" s="19"/>
      <c r="AC1175" s="19"/>
      <c r="AD1175" s="15" t="e">
        <f ca="1">IF(AND($D1175&lt;&gt;"",COUNTIF(OFFSET(UFS!$E$2,MATCH($D1175&amp;"",UFS!$A$2:$A$175,0)-1,0,COUNTIF(UFS!$A$2:$A$175,$D1175&amp;""),1),M1175)&gt;0),"Valide","Invalide")</f>
        <v>#N/A</v>
      </c>
      <c r="AH1175" s="15" t="str">
        <f t="shared" si="18"/>
        <v/>
      </c>
    </row>
    <row r="1176" spans="1:34" s="15" customFormat="1" ht="45" hidden="1" customHeight="1" x14ac:dyDescent="0.3">
      <c r="A1176" s="42">
        <v>1177</v>
      </c>
      <c r="B1176" s="19"/>
      <c r="C1176" s="19"/>
      <c r="D1176" s="20"/>
      <c r="E1176" s="20"/>
      <c r="F1176" s="21"/>
      <c r="G1176" s="38"/>
      <c r="H1176" s="39"/>
      <c r="I1176" s="39"/>
      <c r="J1176" s="21"/>
      <c r="K1176" s="21"/>
      <c r="L1176" s="21"/>
      <c r="M1176" s="21"/>
      <c r="N1176" s="21"/>
      <c r="O1176" s="20"/>
      <c r="P1176" s="19"/>
      <c r="Q1176" s="39"/>
      <c r="R1176" s="19"/>
      <c r="S1176" s="21"/>
      <c r="T1176" s="21"/>
      <c r="U1176" s="39"/>
      <c r="V1176" s="21"/>
      <c r="W1176" s="54"/>
      <c r="X1176" s="23"/>
      <c r="Y1176" s="23"/>
      <c r="Z1176" s="56"/>
      <c r="AA1176" s="24"/>
      <c r="AB1176" s="19"/>
      <c r="AC1176" s="19"/>
      <c r="AD1176" s="15" t="e">
        <f ca="1">IF(AND($D1176&lt;&gt;"",COUNTIF(OFFSET(UFS!$E$2,MATCH($D1176&amp;"",UFS!$A$2:$A$175,0)-1,0,COUNTIF(UFS!$A$2:$A$175,$D1176&amp;""),1),M1176)&gt;0),"Valide","Invalide")</f>
        <v>#N/A</v>
      </c>
      <c r="AH1176" s="15" t="str">
        <f t="shared" si="18"/>
        <v/>
      </c>
    </row>
    <row r="1177" spans="1:34" s="15" customFormat="1" ht="45" hidden="1" customHeight="1" x14ac:dyDescent="0.3">
      <c r="A1177" s="42">
        <v>1178</v>
      </c>
      <c r="B1177" s="19"/>
      <c r="C1177" s="19"/>
      <c r="D1177" s="20"/>
      <c r="E1177" s="20"/>
      <c r="F1177" s="21"/>
      <c r="G1177" s="38"/>
      <c r="H1177" s="39"/>
      <c r="I1177" s="39"/>
      <c r="J1177" s="21"/>
      <c r="K1177" s="21"/>
      <c r="L1177" s="21"/>
      <c r="M1177" s="21"/>
      <c r="N1177" s="21"/>
      <c r="O1177" s="20"/>
      <c r="P1177" s="19"/>
      <c r="Q1177" s="39"/>
      <c r="R1177" s="19"/>
      <c r="S1177" s="21"/>
      <c r="T1177" s="21"/>
      <c r="U1177" s="39"/>
      <c r="V1177" s="21"/>
      <c r="W1177" s="54"/>
      <c r="X1177" s="23"/>
      <c r="Y1177" s="23"/>
      <c r="Z1177" s="56"/>
      <c r="AA1177" s="24"/>
      <c r="AB1177" s="19"/>
      <c r="AC1177" s="19"/>
      <c r="AD1177" s="15" t="e">
        <f ca="1">IF(AND($D1177&lt;&gt;"",COUNTIF(OFFSET(UFS!$E$2,MATCH($D1177&amp;"",UFS!$A$2:$A$175,0)-1,0,COUNTIF(UFS!$A$2:$A$175,$D1177&amp;""),1),M1177)&gt;0),"Valide","Invalide")</f>
        <v>#N/A</v>
      </c>
      <c r="AH1177" s="15" t="str">
        <f t="shared" si="18"/>
        <v/>
      </c>
    </row>
    <row r="1178" spans="1:34" s="15" customFormat="1" ht="45" hidden="1" customHeight="1" x14ac:dyDescent="0.3">
      <c r="A1178" s="42">
        <v>1179</v>
      </c>
      <c r="B1178" s="19"/>
      <c r="C1178" s="19"/>
      <c r="D1178" s="20"/>
      <c r="E1178" s="20"/>
      <c r="F1178" s="21"/>
      <c r="G1178" s="38"/>
      <c r="H1178" s="39"/>
      <c r="I1178" s="39"/>
      <c r="J1178" s="21"/>
      <c r="K1178" s="21"/>
      <c r="L1178" s="21"/>
      <c r="M1178" s="21"/>
      <c r="N1178" s="21"/>
      <c r="O1178" s="20"/>
      <c r="P1178" s="19"/>
      <c r="Q1178" s="39"/>
      <c r="R1178" s="19"/>
      <c r="S1178" s="21"/>
      <c r="T1178" s="21"/>
      <c r="U1178" s="39"/>
      <c r="V1178" s="21"/>
      <c r="W1178" s="54"/>
      <c r="X1178" s="23"/>
      <c r="Y1178" s="23"/>
      <c r="Z1178" s="56"/>
      <c r="AA1178" s="24"/>
      <c r="AB1178" s="19"/>
      <c r="AC1178" s="19"/>
      <c r="AD1178" s="15" t="e">
        <f ca="1">IF(AND($D1178&lt;&gt;"",COUNTIF(OFFSET(UFS!$E$2,MATCH($D1178&amp;"",UFS!$A$2:$A$175,0)-1,0,COUNTIF(UFS!$A$2:$A$175,$D1178&amp;""),1),M1178)&gt;0),"Valide","Invalide")</f>
        <v>#N/A</v>
      </c>
      <c r="AH1178" s="15" t="str">
        <f t="shared" si="18"/>
        <v/>
      </c>
    </row>
    <row r="1179" spans="1:34" s="15" customFormat="1" ht="45" hidden="1" customHeight="1" x14ac:dyDescent="0.3">
      <c r="A1179" s="42">
        <v>1180</v>
      </c>
      <c r="B1179" s="19"/>
      <c r="C1179" s="19"/>
      <c r="D1179" s="20"/>
      <c r="E1179" s="20"/>
      <c r="F1179" s="21"/>
      <c r="G1179" s="38"/>
      <c r="H1179" s="39"/>
      <c r="I1179" s="39"/>
      <c r="J1179" s="21"/>
      <c r="K1179" s="21"/>
      <c r="L1179" s="21"/>
      <c r="M1179" s="21"/>
      <c r="N1179" s="21"/>
      <c r="O1179" s="20"/>
      <c r="P1179" s="19"/>
      <c r="Q1179" s="39"/>
      <c r="R1179" s="19"/>
      <c r="S1179" s="21"/>
      <c r="T1179" s="21"/>
      <c r="U1179" s="39"/>
      <c r="V1179" s="21"/>
      <c r="W1179" s="54"/>
      <c r="X1179" s="23"/>
      <c r="Y1179" s="23"/>
      <c r="Z1179" s="56"/>
      <c r="AA1179" s="24"/>
      <c r="AB1179" s="19"/>
      <c r="AC1179" s="19"/>
      <c r="AD1179" s="15" t="e">
        <f ca="1">IF(AND($D1179&lt;&gt;"",COUNTIF(OFFSET(UFS!$E$2,MATCH($D1179&amp;"",UFS!$A$2:$A$175,0)-1,0,COUNTIF(UFS!$A$2:$A$175,$D1179&amp;""),1),M1179)&gt;0),"Valide","Invalide")</f>
        <v>#N/A</v>
      </c>
      <c r="AH1179" s="15" t="str">
        <f t="shared" si="18"/>
        <v/>
      </c>
    </row>
    <row r="1180" spans="1:34" s="15" customFormat="1" ht="45" hidden="1" customHeight="1" x14ac:dyDescent="0.3">
      <c r="A1180" s="42">
        <v>1181</v>
      </c>
      <c r="B1180" s="19"/>
      <c r="C1180" s="19"/>
      <c r="D1180" s="20"/>
      <c r="E1180" s="20"/>
      <c r="F1180" s="21"/>
      <c r="G1180" s="38"/>
      <c r="H1180" s="39"/>
      <c r="I1180" s="39"/>
      <c r="J1180" s="21"/>
      <c r="K1180" s="21"/>
      <c r="L1180" s="21"/>
      <c r="M1180" s="21"/>
      <c r="N1180" s="21"/>
      <c r="O1180" s="20"/>
      <c r="P1180" s="19"/>
      <c r="Q1180" s="39"/>
      <c r="R1180" s="19"/>
      <c r="S1180" s="21"/>
      <c r="T1180" s="21"/>
      <c r="U1180" s="39"/>
      <c r="V1180" s="21"/>
      <c r="W1180" s="54"/>
      <c r="X1180" s="23"/>
      <c r="Y1180" s="23"/>
      <c r="Z1180" s="56"/>
      <c r="AA1180" s="24"/>
      <c r="AB1180" s="19"/>
      <c r="AC1180" s="19"/>
      <c r="AD1180" s="15" t="e">
        <f ca="1">IF(AND($D1180&lt;&gt;"",COUNTIF(OFFSET(UFS!$E$2,MATCH($D1180&amp;"",UFS!$A$2:$A$175,0)-1,0,COUNTIF(UFS!$A$2:$A$175,$D1180&amp;""),1),M1180)&gt;0),"Valide","Invalide")</f>
        <v>#N/A</v>
      </c>
      <c r="AH1180" s="15" t="str">
        <f t="shared" si="18"/>
        <v/>
      </c>
    </row>
    <row r="1181" spans="1:34" s="15" customFormat="1" ht="45" hidden="1" customHeight="1" x14ac:dyDescent="0.3">
      <c r="A1181" s="42">
        <v>1182</v>
      </c>
      <c r="B1181" s="19"/>
      <c r="C1181" s="19"/>
      <c r="D1181" s="20"/>
      <c r="E1181" s="20"/>
      <c r="F1181" s="21"/>
      <c r="G1181" s="38"/>
      <c r="H1181" s="39"/>
      <c r="I1181" s="39"/>
      <c r="J1181" s="21"/>
      <c r="K1181" s="21"/>
      <c r="L1181" s="21"/>
      <c r="M1181" s="21"/>
      <c r="N1181" s="21"/>
      <c r="O1181" s="20"/>
      <c r="P1181" s="19"/>
      <c r="Q1181" s="39"/>
      <c r="R1181" s="19"/>
      <c r="S1181" s="21"/>
      <c r="T1181" s="21"/>
      <c r="U1181" s="39"/>
      <c r="V1181" s="21"/>
      <c r="W1181" s="54"/>
      <c r="X1181" s="23"/>
      <c r="Y1181" s="23"/>
      <c r="Z1181" s="56"/>
      <c r="AA1181" s="24"/>
      <c r="AB1181" s="19"/>
      <c r="AC1181" s="19"/>
      <c r="AD1181" s="15" t="e">
        <f ca="1">IF(AND($D1181&lt;&gt;"",COUNTIF(OFFSET(UFS!$E$2,MATCH($D1181&amp;"",UFS!$A$2:$A$175,0)-1,0,COUNTIF(UFS!$A$2:$A$175,$D1181&amp;""),1),M1181)&gt;0),"Valide","Invalide")</f>
        <v>#N/A</v>
      </c>
      <c r="AH1181" s="15" t="str">
        <f t="shared" si="18"/>
        <v/>
      </c>
    </row>
    <row r="1182" spans="1:34" s="15" customFormat="1" ht="45" hidden="1" customHeight="1" x14ac:dyDescent="0.3">
      <c r="A1182" s="42">
        <v>1183</v>
      </c>
      <c r="B1182" s="19"/>
      <c r="C1182" s="19"/>
      <c r="D1182" s="20"/>
      <c r="E1182" s="20"/>
      <c r="F1182" s="21"/>
      <c r="G1182" s="38"/>
      <c r="H1182" s="39"/>
      <c r="I1182" s="39"/>
      <c r="J1182" s="21"/>
      <c r="K1182" s="21"/>
      <c r="L1182" s="21"/>
      <c r="M1182" s="21"/>
      <c r="N1182" s="21"/>
      <c r="O1182" s="20"/>
      <c r="P1182" s="19"/>
      <c r="Q1182" s="39"/>
      <c r="R1182" s="19"/>
      <c r="S1182" s="21"/>
      <c r="T1182" s="21"/>
      <c r="U1182" s="39"/>
      <c r="V1182" s="21"/>
      <c r="W1182" s="54"/>
      <c r="X1182" s="23"/>
      <c r="Y1182" s="23"/>
      <c r="Z1182" s="56"/>
      <c r="AA1182" s="24"/>
      <c r="AB1182" s="19"/>
      <c r="AC1182" s="19"/>
      <c r="AD1182" s="15" t="e">
        <f ca="1">IF(AND($D1182&lt;&gt;"",COUNTIF(OFFSET(UFS!$E$2,MATCH($D1182&amp;"",UFS!$A$2:$A$175,0)-1,0,COUNTIF(UFS!$A$2:$A$175,$D1182&amp;""),1),M1182)&gt;0),"Valide","Invalide")</f>
        <v>#N/A</v>
      </c>
      <c r="AH1182" s="15" t="str">
        <f t="shared" si="18"/>
        <v/>
      </c>
    </row>
    <row r="1183" spans="1:34" s="15" customFormat="1" ht="45" hidden="1" customHeight="1" x14ac:dyDescent="0.3">
      <c r="A1183" s="42">
        <v>1184</v>
      </c>
      <c r="B1183" s="19"/>
      <c r="C1183" s="19"/>
      <c r="D1183" s="20"/>
      <c r="E1183" s="20"/>
      <c r="F1183" s="21"/>
      <c r="G1183" s="38"/>
      <c r="H1183" s="39"/>
      <c r="I1183" s="39"/>
      <c r="J1183" s="21"/>
      <c r="K1183" s="21"/>
      <c r="L1183" s="21"/>
      <c r="M1183" s="21"/>
      <c r="N1183" s="21"/>
      <c r="O1183" s="20"/>
      <c r="P1183" s="19"/>
      <c r="Q1183" s="39"/>
      <c r="R1183" s="19"/>
      <c r="S1183" s="21"/>
      <c r="T1183" s="21"/>
      <c r="U1183" s="39"/>
      <c r="V1183" s="21"/>
      <c r="W1183" s="54"/>
      <c r="X1183" s="23"/>
      <c r="Y1183" s="23"/>
      <c r="Z1183" s="56"/>
      <c r="AA1183" s="24"/>
      <c r="AB1183" s="19"/>
      <c r="AC1183" s="19"/>
      <c r="AD1183" s="15" t="e">
        <f ca="1">IF(AND($D1183&lt;&gt;"",COUNTIF(OFFSET(UFS!$E$2,MATCH($D1183&amp;"",UFS!$A$2:$A$175,0)-1,0,COUNTIF(UFS!$A$2:$A$175,$D1183&amp;""),1),M1183)&gt;0),"Valide","Invalide")</f>
        <v>#N/A</v>
      </c>
      <c r="AH1183" s="15" t="str">
        <f t="shared" si="18"/>
        <v/>
      </c>
    </row>
    <row r="1184" spans="1:34" s="15" customFormat="1" ht="45" hidden="1" customHeight="1" x14ac:dyDescent="0.3">
      <c r="A1184" s="42">
        <v>1185</v>
      </c>
      <c r="B1184" s="19"/>
      <c r="C1184" s="19"/>
      <c r="D1184" s="20"/>
      <c r="E1184" s="20"/>
      <c r="F1184" s="21"/>
      <c r="G1184" s="38"/>
      <c r="H1184" s="39"/>
      <c r="I1184" s="39"/>
      <c r="J1184" s="21"/>
      <c r="K1184" s="21"/>
      <c r="L1184" s="21"/>
      <c r="M1184" s="21"/>
      <c r="N1184" s="21"/>
      <c r="O1184" s="20"/>
      <c r="P1184" s="19"/>
      <c r="Q1184" s="39"/>
      <c r="R1184" s="19"/>
      <c r="S1184" s="21"/>
      <c r="T1184" s="21"/>
      <c r="U1184" s="39"/>
      <c r="V1184" s="21"/>
      <c r="W1184" s="54"/>
      <c r="X1184" s="23"/>
      <c r="Y1184" s="23"/>
      <c r="Z1184" s="56"/>
      <c r="AA1184" s="24"/>
      <c r="AB1184" s="19"/>
      <c r="AC1184" s="19"/>
      <c r="AD1184" s="15" t="e">
        <f ca="1">IF(AND($D1184&lt;&gt;"",COUNTIF(OFFSET(UFS!$E$2,MATCH($D1184&amp;"",UFS!$A$2:$A$175,0)-1,0,COUNTIF(UFS!$A$2:$A$175,$D1184&amp;""),1),M1184)&gt;0),"Valide","Invalide")</f>
        <v>#N/A</v>
      </c>
      <c r="AH1184" s="15" t="str">
        <f t="shared" si="18"/>
        <v/>
      </c>
    </row>
    <row r="1185" spans="1:34" s="15" customFormat="1" ht="45" hidden="1" customHeight="1" x14ac:dyDescent="0.3">
      <c r="A1185" s="42">
        <v>1186</v>
      </c>
      <c r="B1185" s="19"/>
      <c r="C1185" s="19"/>
      <c r="D1185" s="20"/>
      <c r="E1185" s="20"/>
      <c r="F1185" s="21"/>
      <c r="G1185" s="38"/>
      <c r="H1185" s="39"/>
      <c r="I1185" s="39"/>
      <c r="J1185" s="21"/>
      <c r="K1185" s="21"/>
      <c r="L1185" s="21"/>
      <c r="M1185" s="21"/>
      <c r="N1185" s="21"/>
      <c r="O1185" s="20"/>
      <c r="P1185" s="19"/>
      <c r="Q1185" s="39"/>
      <c r="R1185" s="19"/>
      <c r="S1185" s="21"/>
      <c r="T1185" s="21"/>
      <c r="U1185" s="39"/>
      <c r="V1185" s="21"/>
      <c r="W1185" s="54"/>
      <c r="X1185" s="23"/>
      <c r="Y1185" s="23"/>
      <c r="Z1185" s="56"/>
      <c r="AA1185" s="24"/>
      <c r="AB1185" s="19"/>
      <c r="AC1185" s="19"/>
      <c r="AD1185" s="15" t="e">
        <f ca="1">IF(AND($D1185&lt;&gt;"",COUNTIF(OFFSET(UFS!$E$2,MATCH($D1185&amp;"",UFS!$A$2:$A$175,0)-1,0,COUNTIF(UFS!$A$2:$A$175,$D1185&amp;""),1),M1185)&gt;0),"Valide","Invalide")</f>
        <v>#N/A</v>
      </c>
      <c r="AH1185" s="15" t="str">
        <f t="shared" si="18"/>
        <v/>
      </c>
    </row>
    <row r="1186" spans="1:34" s="15" customFormat="1" ht="45" hidden="1" customHeight="1" x14ac:dyDescent="0.3">
      <c r="A1186" s="42">
        <v>1187</v>
      </c>
      <c r="B1186" s="19"/>
      <c r="C1186" s="19"/>
      <c r="D1186" s="20"/>
      <c r="E1186" s="20"/>
      <c r="F1186" s="21"/>
      <c r="G1186" s="38"/>
      <c r="H1186" s="39"/>
      <c r="I1186" s="39"/>
      <c r="J1186" s="21"/>
      <c r="K1186" s="21"/>
      <c r="L1186" s="21"/>
      <c r="M1186" s="21"/>
      <c r="N1186" s="21"/>
      <c r="O1186" s="20"/>
      <c r="P1186" s="19"/>
      <c r="Q1186" s="39"/>
      <c r="R1186" s="19"/>
      <c r="S1186" s="21"/>
      <c r="T1186" s="21"/>
      <c r="U1186" s="39"/>
      <c r="V1186" s="21"/>
      <c r="W1186" s="54"/>
      <c r="X1186" s="23"/>
      <c r="Y1186" s="23"/>
      <c r="Z1186" s="56"/>
      <c r="AA1186" s="24"/>
      <c r="AB1186" s="19"/>
      <c r="AC1186" s="19"/>
      <c r="AD1186" s="15" t="e">
        <f ca="1">IF(AND($D1186&lt;&gt;"",COUNTIF(OFFSET(UFS!$E$2,MATCH($D1186&amp;"",UFS!$A$2:$A$175,0)-1,0,COUNTIF(UFS!$A$2:$A$175,$D1186&amp;""),1),M1186)&gt;0),"Valide","Invalide")</f>
        <v>#N/A</v>
      </c>
      <c r="AH1186" s="15" t="str">
        <f t="shared" si="18"/>
        <v/>
      </c>
    </row>
    <row r="1187" spans="1:34" s="15" customFormat="1" ht="45" hidden="1" customHeight="1" x14ac:dyDescent="0.3">
      <c r="A1187" s="42">
        <v>1188</v>
      </c>
      <c r="B1187" s="19"/>
      <c r="C1187" s="19"/>
      <c r="D1187" s="20"/>
      <c r="E1187" s="20"/>
      <c r="F1187" s="21"/>
      <c r="G1187" s="38"/>
      <c r="H1187" s="39"/>
      <c r="I1187" s="39"/>
      <c r="J1187" s="21"/>
      <c r="K1187" s="21"/>
      <c r="L1187" s="21"/>
      <c r="M1187" s="21"/>
      <c r="N1187" s="21"/>
      <c r="O1187" s="20"/>
      <c r="P1187" s="19"/>
      <c r="Q1187" s="39"/>
      <c r="R1187" s="19"/>
      <c r="S1187" s="21"/>
      <c r="T1187" s="21"/>
      <c r="U1187" s="39"/>
      <c r="V1187" s="21"/>
      <c r="W1187" s="54"/>
      <c r="X1187" s="23"/>
      <c r="Y1187" s="23"/>
      <c r="Z1187" s="56"/>
      <c r="AA1187" s="24"/>
      <c r="AB1187" s="19"/>
      <c r="AC1187" s="19"/>
      <c r="AD1187" s="15" t="e">
        <f ca="1">IF(AND($D1187&lt;&gt;"",COUNTIF(OFFSET(UFS!$E$2,MATCH($D1187&amp;"",UFS!$A$2:$A$175,0)-1,0,COUNTIF(UFS!$A$2:$A$175,$D1187&amp;""),1),M1187)&gt;0),"Valide","Invalide")</f>
        <v>#N/A</v>
      </c>
      <c r="AH1187" s="15" t="str">
        <f t="shared" si="18"/>
        <v/>
      </c>
    </row>
    <row r="1188" spans="1:34" s="15" customFormat="1" ht="45" hidden="1" customHeight="1" x14ac:dyDescent="0.3">
      <c r="A1188" s="42">
        <v>1189</v>
      </c>
      <c r="B1188" s="19"/>
      <c r="C1188" s="19"/>
      <c r="D1188" s="20"/>
      <c r="E1188" s="20"/>
      <c r="F1188" s="21"/>
      <c r="G1188" s="38"/>
      <c r="H1188" s="39"/>
      <c r="I1188" s="39"/>
      <c r="J1188" s="21"/>
      <c r="K1188" s="21"/>
      <c r="L1188" s="21"/>
      <c r="M1188" s="21"/>
      <c r="N1188" s="21"/>
      <c r="O1188" s="20"/>
      <c r="P1188" s="19"/>
      <c r="Q1188" s="39"/>
      <c r="R1188" s="19"/>
      <c r="S1188" s="21"/>
      <c r="T1188" s="21"/>
      <c r="U1188" s="39"/>
      <c r="V1188" s="21"/>
      <c r="W1188" s="54"/>
      <c r="X1188" s="23"/>
      <c r="Y1188" s="23"/>
      <c r="Z1188" s="56"/>
      <c r="AA1188" s="24"/>
      <c r="AB1188" s="19"/>
      <c r="AC1188" s="19"/>
      <c r="AD1188" s="15" t="e">
        <f ca="1">IF(AND($D1188&lt;&gt;"",COUNTIF(OFFSET(UFS!$E$2,MATCH($D1188&amp;"",UFS!$A$2:$A$175,0)-1,0,COUNTIF(UFS!$A$2:$A$175,$D1188&amp;""),1),M1188)&gt;0),"Valide","Invalide")</f>
        <v>#N/A</v>
      </c>
      <c r="AH1188" s="15" t="str">
        <f t="shared" si="18"/>
        <v/>
      </c>
    </row>
    <row r="1189" spans="1:34" s="15" customFormat="1" ht="45" hidden="1" customHeight="1" x14ac:dyDescent="0.3">
      <c r="A1189" s="42">
        <v>1190</v>
      </c>
      <c r="B1189" s="19"/>
      <c r="C1189" s="19"/>
      <c r="D1189" s="20"/>
      <c r="E1189" s="20"/>
      <c r="F1189" s="21"/>
      <c r="G1189" s="38"/>
      <c r="H1189" s="39"/>
      <c r="I1189" s="39"/>
      <c r="J1189" s="21"/>
      <c r="K1189" s="21"/>
      <c r="L1189" s="21"/>
      <c r="M1189" s="21"/>
      <c r="N1189" s="21"/>
      <c r="O1189" s="20"/>
      <c r="P1189" s="19"/>
      <c r="Q1189" s="39"/>
      <c r="R1189" s="19"/>
      <c r="S1189" s="21"/>
      <c r="T1189" s="21"/>
      <c r="U1189" s="39"/>
      <c r="V1189" s="21"/>
      <c r="W1189" s="54"/>
      <c r="X1189" s="23"/>
      <c r="Y1189" s="23"/>
      <c r="Z1189" s="56"/>
      <c r="AA1189" s="24"/>
      <c r="AB1189" s="19"/>
      <c r="AC1189" s="19"/>
      <c r="AD1189" s="15" t="e">
        <f ca="1">IF(AND($D1189&lt;&gt;"",COUNTIF(OFFSET(UFS!$E$2,MATCH($D1189&amp;"",UFS!$A$2:$A$175,0)-1,0,COUNTIF(UFS!$A$2:$A$175,$D1189&amp;""),1),M1189)&gt;0),"Valide","Invalide")</f>
        <v>#N/A</v>
      </c>
      <c r="AH1189" s="15" t="str">
        <f t="shared" si="18"/>
        <v/>
      </c>
    </row>
    <row r="1190" spans="1:34" s="15" customFormat="1" ht="45" hidden="1" customHeight="1" x14ac:dyDescent="0.3">
      <c r="A1190" s="42">
        <v>1191</v>
      </c>
      <c r="B1190" s="19"/>
      <c r="C1190" s="19"/>
      <c r="D1190" s="20"/>
      <c r="E1190" s="20"/>
      <c r="F1190" s="21"/>
      <c r="G1190" s="38"/>
      <c r="H1190" s="39"/>
      <c r="I1190" s="39"/>
      <c r="J1190" s="21"/>
      <c r="K1190" s="21"/>
      <c r="L1190" s="21"/>
      <c r="M1190" s="21"/>
      <c r="N1190" s="21"/>
      <c r="O1190" s="20"/>
      <c r="P1190" s="19"/>
      <c r="Q1190" s="39"/>
      <c r="R1190" s="19"/>
      <c r="S1190" s="21"/>
      <c r="T1190" s="21"/>
      <c r="U1190" s="39"/>
      <c r="V1190" s="21"/>
      <c r="W1190" s="54"/>
      <c r="X1190" s="23"/>
      <c r="Y1190" s="23"/>
      <c r="Z1190" s="56"/>
      <c r="AA1190" s="24"/>
      <c r="AB1190" s="19"/>
      <c r="AC1190" s="19"/>
      <c r="AD1190" s="15" t="e">
        <f ca="1">IF(AND($D1190&lt;&gt;"",COUNTIF(OFFSET(UFS!$E$2,MATCH($D1190&amp;"",UFS!$A$2:$A$175,0)-1,0,COUNTIF(UFS!$A$2:$A$175,$D1190&amp;""),1),M1190)&gt;0),"Valide","Invalide")</f>
        <v>#N/A</v>
      </c>
      <c r="AH1190" s="15" t="str">
        <f t="shared" si="18"/>
        <v/>
      </c>
    </row>
    <row r="1191" spans="1:34" s="15" customFormat="1" ht="45" hidden="1" customHeight="1" x14ac:dyDescent="0.3">
      <c r="A1191" s="42">
        <v>1192</v>
      </c>
      <c r="B1191" s="19"/>
      <c r="C1191" s="19"/>
      <c r="D1191" s="20"/>
      <c r="E1191" s="20"/>
      <c r="F1191" s="21"/>
      <c r="G1191" s="38"/>
      <c r="H1191" s="39"/>
      <c r="I1191" s="39"/>
      <c r="J1191" s="21"/>
      <c r="K1191" s="21"/>
      <c r="L1191" s="21"/>
      <c r="M1191" s="21"/>
      <c r="N1191" s="21"/>
      <c r="O1191" s="20"/>
      <c r="P1191" s="19"/>
      <c r="Q1191" s="39"/>
      <c r="R1191" s="19"/>
      <c r="S1191" s="21"/>
      <c r="T1191" s="21"/>
      <c r="U1191" s="39"/>
      <c r="V1191" s="21"/>
      <c r="W1191" s="54"/>
      <c r="X1191" s="23"/>
      <c r="Y1191" s="23"/>
      <c r="Z1191" s="56"/>
      <c r="AA1191" s="24"/>
      <c r="AB1191" s="19"/>
      <c r="AC1191" s="19"/>
      <c r="AD1191" s="15" t="e">
        <f ca="1">IF(AND($D1191&lt;&gt;"",COUNTIF(OFFSET(UFS!$E$2,MATCH($D1191&amp;"",UFS!$A$2:$A$175,0)-1,0,COUNTIF(UFS!$A$2:$A$175,$D1191&amp;""),1),M1191)&gt;0),"Valide","Invalide")</f>
        <v>#N/A</v>
      </c>
      <c r="AH1191" s="15" t="str">
        <f t="shared" si="18"/>
        <v/>
      </c>
    </row>
    <row r="1192" spans="1:34" s="15" customFormat="1" ht="45" hidden="1" customHeight="1" x14ac:dyDescent="0.3">
      <c r="A1192" s="42">
        <v>1193</v>
      </c>
      <c r="B1192" s="19"/>
      <c r="C1192" s="19"/>
      <c r="D1192" s="20"/>
      <c r="E1192" s="20"/>
      <c r="F1192" s="21"/>
      <c r="G1192" s="38"/>
      <c r="H1192" s="39"/>
      <c r="I1192" s="39"/>
      <c r="J1192" s="21"/>
      <c r="K1192" s="21"/>
      <c r="L1192" s="21"/>
      <c r="M1192" s="21"/>
      <c r="N1192" s="21"/>
      <c r="O1192" s="20"/>
      <c r="P1192" s="19"/>
      <c r="Q1192" s="39"/>
      <c r="R1192" s="19"/>
      <c r="S1192" s="21"/>
      <c r="T1192" s="21"/>
      <c r="U1192" s="39"/>
      <c r="V1192" s="21"/>
      <c r="W1192" s="54"/>
      <c r="X1192" s="23"/>
      <c r="Y1192" s="23"/>
      <c r="Z1192" s="56"/>
      <c r="AA1192" s="24"/>
      <c r="AB1192" s="19"/>
      <c r="AC1192" s="19"/>
      <c r="AD1192" s="15" t="e">
        <f ca="1">IF(AND($D1192&lt;&gt;"",COUNTIF(OFFSET(UFS!$E$2,MATCH($D1192&amp;"",UFS!$A$2:$A$175,0)-1,0,COUNTIF(UFS!$A$2:$A$175,$D1192&amp;""),1),M1192)&gt;0),"Valide","Invalide")</f>
        <v>#N/A</v>
      </c>
      <c r="AH1192" s="15" t="str">
        <f t="shared" si="18"/>
        <v/>
      </c>
    </row>
    <row r="1193" spans="1:34" s="15" customFormat="1" ht="45" hidden="1" customHeight="1" x14ac:dyDescent="0.3">
      <c r="A1193" s="42">
        <v>1194</v>
      </c>
      <c r="B1193" s="19"/>
      <c r="C1193" s="19"/>
      <c r="D1193" s="20"/>
      <c r="E1193" s="20"/>
      <c r="F1193" s="21"/>
      <c r="G1193" s="38"/>
      <c r="H1193" s="39"/>
      <c r="I1193" s="39"/>
      <c r="J1193" s="21"/>
      <c r="K1193" s="21"/>
      <c r="L1193" s="21"/>
      <c r="M1193" s="21"/>
      <c r="N1193" s="21"/>
      <c r="O1193" s="20"/>
      <c r="P1193" s="19"/>
      <c r="Q1193" s="39"/>
      <c r="R1193" s="19"/>
      <c r="S1193" s="21"/>
      <c r="T1193" s="21"/>
      <c r="U1193" s="39"/>
      <c r="V1193" s="21"/>
      <c r="W1193" s="54"/>
      <c r="X1193" s="23"/>
      <c r="Y1193" s="23"/>
      <c r="Z1193" s="56"/>
      <c r="AA1193" s="24"/>
      <c r="AB1193" s="19"/>
      <c r="AC1193" s="19"/>
      <c r="AD1193" s="15" t="e">
        <f ca="1">IF(AND($D1193&lt;&gt;"",COUNTIF(OFFSET(UFS!$E$2,MATCH($D1193&amp;"",UFS!$A$2:$A$175,0)-1,0,COUNTIF(UFS!$A$2:$A$175,$D1193&amp;""),1),M1193)&gt;0),"Valide","Invalide")</f>
        <v>#N/A</v>
      </c>
      <c r="AH1193" s="15" t="str">
        <f t="shared" si="18"/>
        <v/>
      </c>
    </row>
    <row r="1194" spans="1:34" s="15" customFormat="1" ht="45" hidden="1" customHeight="1" x14ac:dyDescent="0.3">
      <c r="A1194" s="42">
        <v>1195</v>
      </c>
      <c r="B1194" s="19"/>
      <c r="C1194" s="19"/>
      <c r="D1194" s="20"/>
      <c r="E1194" s="20"/>
      <c r="F1194" s="21"/>
      <c r="G1194" s="38"/>
      <c r="H1194" s="39"/>
      <c r="I1194" s="39"/>
      <c r="J1194" s="21"/>
      <c r="K1194" s="21"/>
      <c r="L1194" s="21"/>
      <c r="M1194" s="21"/>
      <c r="N1194" s="21"/>
      <c r="O1194" s="20"/>
      <c r="P1194" s="19"/>
      <c r="Q1194" s="39"/>
      <c r="R1194" s="19"/>
      <c r="S1194" s="21"/>
      <c r="T1194" s="21"/>
      <c r="U1194" s="39"/>
      <c r="V1194" s="21"/>
      <c r="W1194" s="54"/>
      <c r="X1194" s="23"/>
      <c r="Y1194" s="23"/>
      <c r="Z1194" s="56"/>
      <c r="AA1194" s="24"/>
      <c r="AB1194" s="19"/>
      <c r="AC1194" s="19"/>
      <c r="AD1194" s="15" t="e">
        <f ca="1">IF(AND($D1194&lt;&gt;"",COUNTIF(OFFSET(UFS!$E$2,MATCH($D1194&amp;"",UFS!$A$2:$A$175,0)-1,0,COUNTIF(UFS!$A$2:$A$175,$D1194&amp;""),1),M1194)&gt;0),"Valide","Invalide")</f>
        <v>#N/A</v>
      </c>
      <c r="AH1194" s="15" t="str">
        <f t="shared" si="18"/>
        <v/>
      </c>
    </row>
    <row r="1195" spans="1:34" s="15" customFormat="1" ht="45" hidden="1" customHeight="1" x14ac:dyDescent="0.3">
      <c r="A1195" s="42">
        <v>1196</v>
      </c>
      <c r="B1195" s="19"/>
      <c r="C1195" s="19"/>
      <c r="D1195" s="20"/>
      <c r="E1195" s="20"/>
      <c r="F1195" s="21"/>
      <c r="G1195" s="38"/>
      <c r="H1195" s="39"/>
      <c r="I1195" s="39"/>
      <c r="J1195" s="21"/>
      <c r="K1195" s="21"/>
      <c r="L1195" s="21"/>
      <c r="M1195" s="21"/>
      <c r="N1195" s="21"/>
      <c r="O1195" s="20"/>
      <c r="P1195" s="19"/>
      <c r="Q1195" s="39"/>
      <c r="R1195" s="19"/>
      <c r="S1195" s="21"/>
      <c r="T1195" s="21"/>
      <c r="U1195" s="39"/>
      <c r="V1195" s="21"/>
      <c r="W1195" s="54"/>
      <c r="X1195" s="23"/>
      <c r="Y1195" s="23"/>
      <c r="Z1195" s="56"/>
      <c r="AA1195" s="24"/>
      <c r="AB1195" s="19"/>
      <c r="AC1195" s="19"/>
      <c r="AD1195" s="15" t="e">
        <f ca="1">IF(AND($D1195&lt;&gt;"",COUNTIF(OFFSET(UFS!$E$2,MATCH($D1195&amp;"",UFS!$A$2:$A$175,0)-1,0,COUNTIF(UFS!$A$2:$A$175,$D1195&amp;""),1),M1195)&gt;0),"Valide","Invalide")</f>
        <v>#N/A</v>
      </c>
      <c r="AH1195" s="15" t="str">
        <f t="shared" si="18"/>
        <v/>
      </c>
    </row>
    <row r="1196" spans="1:34" s="15" customFormat="1" ht="45" hidden="1" customHeight="1" x14ac:dyDescent="0.3">
      <c r="A1196" s="42">
        <v>1197</v>
      </c>
      <c r="B1196" s="19"/>
      <c r="C1196" s="19"/>
      <c r="D1196" s="20"/>
      <c r="E1196" s="20"/>
      <c r="F1196" s="21"/>
      <c r="G1196" s="38"/>
      <c r="H1196" s="39"/>
      <c r="I1196" s="39"/>
      <c r="J1196" s="21"/>
      <c r="K1196" s="21"/>
      <c r="L1196" s="21"/>
      <c r="M1196" s="21"/>
      <c r="N1196" s="21"/>
      <c r="O1196" s="20"/>
      <c r="P1196" s="19"/>
      <c r="Q1196" s="39"/>
      <c r="R1196" s="19"/>
      <c r="S1196" s="21"/>
      <c r="T1196" s="21"/>
      <c r="U1196" s="39"/>
      <c r="V1196" s="21"/>
      <c r="W1196" s="54"/>
      <c r="X1196" s="23"/>
      <c r="Y1196" s="23"/>
      <c r="Z1196" s="56"/>
      <c r="AA1196" s="24"/>
      <c r="AB1196" s="19"/>
      <c r="AC1196" s="19"/>
      <c r="AD1196" s="15" t="e">
        <f ca="1">IF(AND($D1196&lt;&gt;"",COUNTIF(OFFSET(UFS!$E$2,MATCH($D1196&amp;"",UFS!$A$2:$A$175,0)-1,0,COUNTIF(UFS!$A$2:$A$175,$D1196&amp;""),1),M1196)&gt;0),"Valide","Invalide")</f>
        <v>#N/A</v>
      </c>
      <c r="AH1196" s="15" t="str">
        <f t="shared" si="18"/>
        <v/>
      </c>
    </row>
    <row r="1197" spans="1:34" s="15" customFormat="1" ht="45" hidden="1" customHeight="1" x14ac:dyDescent="0.3">
      <c r="A1197" s="42">
        <v>1198</v>
      </c>
      <c r="B1197" s="19"/>
      <c r="C1197" s="19"/>
      <c r="D1197" s="20"/>
      <c r="E1197" s="20"/>
      <c r="F1197" s="21"/>
      <c r="G1197" s="38"/>
      <c r="H1197" s="39"/>
      <c r="I1197" s="39"/>
      <c r="J1197" s="21"/>
      <c r="K1197" s="21"/>
      <c r="L1197" s="21"/>
      <c r="M1197" s="21"/>
      <c r="N1197" s="21"/>
      <c r="O1197" s="20"/>
      <c r="P1197" s="19"/>
      <c r="Q1197" s="39"/>
      <c r="R1197" s="19"/>
      <c r="S1197" s="21"/>
      <c r="T1197" s="21"/>
      <c r="U1197" s="39"/>
      <c r="V1197" s="21"/>
      <c r="W1197" s="54"/>
      <c r="X1197" s="23"/>
      <c r="Y1197" s="23"/>
      <c r="Z1197" s="56"/>
      <c r="AA1197" s="24"/>
      <c r="AB1197" s="19"/>
      <c r="AC1197" s="19"/>
      <c r="AD1197" s="15" t="e">
        <f ca="1">IF(AND($D1197&lt;&gt;"",COUNTIF(OFFSET(UFS!$E$2,MATCH($D1197&amp;"",UFS!$A$2:$A$175,0)-1,0,COUNTIF(UFS!$A$2:$A$175,$D1197&amp;""),1),M1197)&gt;0),"Valide","Invalide")</f>
        <v>#N/A</v>
      </c>
      <c r="AH1197" s="15" t="str">
        <f t="shared" si="18"/>
        <v/>
      </c>
    </row>
    <row r="1198" spans="1:34" s="15" customFormat="1" ht="45" hidden="1" customHeight="1" x14ac:dyDescent="0.3">
      <c r="A1198" s="42">
        <v>1199</v>
      </c>
      <c r="B1198" s="19"/>
      <c r="C1198" s="19"/>
      <c r="D1198" s="20"/>
      <c r="E1198" s="20"/>
      <c r="F1198" s="21"/>
      <c r="G1198" s="38"/>
      <c r="H1198" s="39"/>
      <c r="I1198" s="39"/>
      <c r="J1198" s="21"/>
      <c r="K1198" s="21"/>
      <c r="L1198" s="21"/>
      <c r="M1198" s="21"/>
      <c r="N1198" s="21"/>
      <c r="O1198" s="20"/>
      <c r="P1198" s="19"/>
      <c r="Q1198" s="39"/>
      <c r="R1198" s="19"/>
      <c r="S1198" s="21"/>
      <c r="T1198" s="21"/>
      <c r="U1198" s="39"/>
      <c r="V1198" s="21"/>
      <c r="W1198" s="54"/>
      <c r="X1198" s="23"/>
      <c r="Y1198" s="23"/>
      <c r="Z1198" s="56"/>
      <c r="AA1198" s="24"/>
      <c r="AB1198" s="19"/>
      <c r="AC1198" s="19"/>
      <c r="AD1198" s="15" t="e">
        <f ca="1">IF(AND($D1198&lt;&gt;"",COUNTIF(OFFSET(UFS!$E$2,MATCH($D1198&amp;"",UFS!$A$2:$A$175,0)-1,0,COUNTIF(UFS!$A$2:$A$175,$D1198&amp;""),1),M1198)&gt;0),"Valide","Invalide")</f>
        <v>#N/A</v>
      </c>
      <c r="AH1198" s="15" t="str">
        <f t="shared" si="18"/>
        <v/>
      </c>
    </row>
    <row r="1199" spans="1:34" s="15" customFormat="1" ht="45" hidden="1" customHeight="1" x14ac:dyDescent="0.3">
      <c r="A1199" s="42">
        <v>1200</v>
      </c>
      <c r="B1199" s="19"/>
      <c r="C1199" s="19"/>
      <c r="D1199" s="20"/>
      <c r="E1199" s="20"/>
      <c r="F1199" s="21"/>
      <c r="G1199" s="38"/>
      <c r="H1199" s="39"/>
      <c r="I1199" s="39"/>
      <c r="J1199" s="21"/>
      <c r="K1199" s="21"/>
      <c r="L1199" s="21"/>
      <c r="M1199" s="21"/>
      <c r="N1199" s="21"/>
      <c r="O1199" s="20"/>
      <c r="P1199" s="19"/>
      <c r="Q1199" s="39"/>
      <c r="R1199" s="19"/>
      <c r="S1199" s="21"/>
      <c r="T1199" s="21"/>
      <c r="U1199" s="39"/>
      <c r="V1199" s="21"/>
      <c r="W1199" s="54"/>
      <c r="X1199" s="23"/>
      <c r="Y1199" s="23"/>
      <c r="Z1199" s="56"/>
      <c r="AA1199" s="24"/>
      <c r="AB1199" s="19"/>
      <c r="AC1199" s="19"/>
      <c r="AD1199" s="15" t="e">
        <f ca="1">IF(AND($D1199&lt;&gt;"",COUNTIF(OFFSET(UFS!$E$2,MATCH($D1199&amp;"",UFS!$A$2:$A$175,0)-1,0,COUNTIF(UFS!$A$2:$A$175,$D1199&amp;""),1),M1199)&gt;0),"Valide","Invalide")</f>
        <v>#N/A</v>
      </c>
      <c r="AH1199" s="15" t="str">
        <f t="shared" si="18"/>
        <v/>
      </c>
    </row>
    <row r="1200" spans="1:34" s="15" customFormat="1" ht="45" hidden="1" customHeight="1" x14ac:dyDescent="0.3">
      <c r="A1200" s="42">
        <v>1201</v>
      </c>
      <c r="B1200" s="19"/>
      <c r="C1200" s="19"/>
      <c r="D1200" s="20"/>
      <c r="E1200" s="20"/>
      <c r="F1200" s="21"/>
      <c r="G1200" s="38"/>
      <c r="H1200" s="39"/>
      <c r="I1200" s="39"/>
      <c r="J1200" s="21"/>
      <c r="K1200" s="21"/>
      <c r="L1200" s="21"/>
      <c r="M1200" s="21"/>
      <c r="N1200" s="21"/>
      <c r="O1200" s="20"/>
      <c r="P1200" s="19"/>
      <c r="Q1200" s="39"/>
      <c r="R1200" s="19"/>
      <c r="S1200" s="21"/>
      <c r="T1200" s="21"/>
      <c r="U1200" s="39"/>
      <c r="V1200" s="21"/>
      <c r="W1200" s="54"/>
      <c r="X1200" s="23"/>
      <c r="Y1200" s="23"/>
      <c r="Z1200" s="56"/>
      <c r="AA1200" s="24"/>
      <c r="AB1200" s="19"/>
      <c r="AC1200" s="19"/>
      <c r="AD1200" s="15" t="e">
        <f ca="1">IF(AND($D1200&lt;&gt;"",COUNTIF(OFFSET(UFS!$E$2,MATCH($D1200&amp;"",UFS!$A$2:$A$175,0)-1,0,COUNTIF(UFS!$A$2:$A$175,$D1200&amp;""),1),M1200)&gt;0),"Valide","Invalide")</f>
        <v>#N/A</v>
      </c>
      <c r="AH1200" s="15" t="str">
        <f t="shared" si="18"/>
        <v/>
      </c>
    </row>
    <row r="1201" spans="1:34" s="15" customFormat="1" ht="45" hidden="1" customHeight="1" x14ac:dyDescent="0.3">
      <c r="A1201" s="42">
        <v>1202</v>
      </c>
      <c r="B1201" s="19"/>
      <c r="C1201" s="19"/>
      <c r="D1201" s="20"/>
      <c r="E1201" s="20"/>
      <c r="F1201" s="21"/>
      <c r="G1201" s="38"/>
      <c r="H1201" s="39"/>
      <c r="I1201" s="39"/>
      <c r="J1201" s="21"/>
      <c r="K1201" s="21"/>
      <c r="L1201" s="21"/>
      <c r="M1201" s="21"/>
      <c r="N1201" s="21"/>
      <c r="O1201" s="20"/>
      <c r="P1201" s="19"/>
      <c r="Q1201" s="39"/>
      <c r="R1201" s="19"/>
      <c r="S1201" s="21"/>
      <c r="T1201" s="21"/>
      <c r="U1201" s="39"/>
      <c r="V1201" s="21"/>
      <c r="W1201" s="54"/>
      <c r="X1201" s="23"/>
      <c r="Y1201" s="23"/>
      <c r="Z1201" s="56"/>
      <c r="AA1201" s="24"/>
      <c r="AB1201" s="19"/>
      <c r="AC1201" s="19"/>
      <c r="AD1201" s="15" t="e">
        <f ca="1">IF(AND($D1201&lt;&gt;"",COUNTIF(OFFSET(UFS!$E$2,MATCH($D1201&amp;"",UFS!$A$2:$A$175,0)-1,0,COUNTIF(UFS!$A$2:$A$175,$D1201&amp;""),1),M1201)&gt;0),"Valide","Invalide")</f>
        <v>#N/A</v>
      </c>
      <c r="AH1201" s="15" t="str">
        <f t="shared" si="18"/>
        <v/>
      </c>
    </row>
    <row r="1202" spans="1:34" s="15" customFormat="1" ht="45" hidden="1" customHeight="1" x14ac:dyDescent="0.3">
      <c r="A1202" s="42">
        <v>1203</v>
      </c>
      <c r="B1202" s="19"/>
      <c r="C1202" s="19"/>
      <c r="D1202" s="20"/>
      <c r="E1202" s="20"/>
      <c r="F1202" s="21"/>
      <c r="G1202" s="38"/>
      <c r="H1202" s="39"/>
      <c r="I1202" s="39"/>
      <c r="J1202" s="21"/>
      <c r="K1202" s="21"/>
      <c r="L1202" s="21"/>
      <c r="M1202" s="21"/>
      <c r="N1202" s="21"/>
      <c r="O1202" s="20"/>
      <c r="P1202" s="19"/>
      <c r="Q1202" s="39"/>
      <c r="R1202" s="19"/>
      <c r="S1202" s="21"/>
      <c r="T1202" s="21"/>
      <c r="U1202" s="39"/>
      <c r="V1202" s="21"/>
      <c r="W1202" s="54"/>
      <c r="X1202" s="23"/>
      <c r="Y1202" s="23"/>
      <c r="Z1202" s="56"/>
      <c r="AA1202" s="24"/>
      <c r="AB1202" s="19"/>
      <c r="AC1202" s="19"/>
      <c r="AD1202" s="15" t="e">
        <f ca="1">IF(AND($D1202&lt;&gt;"",COUNTIF(OFFSET(UFS!$E$2,MATCH($D1202&amp;"",UFS!$A$2:$A$175,0)-1,0,COUNTIF(UFS!$A$2:$A$175,$D1202&amp;""),1),M1202)&gt;0),"Valide","Invalide")</f>
        <v>#N/A</v>
      </c>
      <c r="AH1202" s="15" t="str">
        <f t="shared" si="18"/>
        <v/>
      </c>
    </row>
    <row r="1203" spans="1:34" s="15" customFormat="1" ht="45" hidden="1" customHeight="1" x14ac:dyDescent="0.3">
      <c r="A1203" s="42">
        <v>1204</v>
      </c>
      <c r="B1203" s="19"/>
      <c r="C1203" s="19"/>
      <c r="D1203" s="20"/>
      <c r="E1203" s="20"/>
      <c r="F1203" s="21"/>
      <c r="G1203" s="38"/>
      <c r="H1203" s="39"/>
      <c r="I1203" s="39"/>
      <c r="J1203" s="21"/>
      <c r="K1203" s="21"/>
      <c r="L1203" s="21"/>
      <c r="M1203" s="21"/>
      <c r="N1203" s="21"/>
      <c r="O1203" s="20"/>
      <c r="P1203" s="19"/>
      <c r="Q1203" s="39"/>
      <c r="R1203" s="19"/>
      <c r="S1203" s="21"/>
      <c r="T1203" s="21"/>
      <c r="U1203" s="39"/>
      <c r="V1203" s="21"/>
      <c r="W1203" s="54"/>
      <c r="X1203" s="23"/>
      <c r="Y1203" s="23"/>
      <c r="Z1203" s="56"/>
      <c r="AA1203" s="24"/>
      <c r="AB1203" s="19"/>
      <c r="AC1203" s="19"/>
      <c r="AD1203" s="15" t="e">
        <f ca="1">IF(AND($D1203&lt;&gt;"",COUNTIF(OFFSET(UFS!$E$2,MATCH($D1203&amp;"",UFS!$A$2:$A$175,0)-1,0,COUNTIF(UFS!$A$2:$A$175,$D1203&amp;""),1),M1203)&gt;0),"Valide","Invalide")</f>
        <v>#N/A</v>
      </c>
      <c r="AH1203" s="15" t="str">
        <f t="shared" si="18"/>
        <v/>
      </c>
    </row>
    <row r="1204" spans="1:34" s="15" customFormat="1" ht="45" hidden="1" customHeight="1" x14ac:dyDescent="0.3">
      <c r="A1204" s="42">
        <v>1205</v>
      </c>
      <c r="B1204" s="19"/>
      <c r="C1204" s="19"/>
      <c r="D1204" s="20"/>
      <c r="E1204" s="20"/>
      <c r="F1204" s="21"/>
      <c r="G1204" s="38"/>
      <c r="H1204" s="39"/>
      <c r="I1204" s="39"/>
      <c r="J1204" s="21"/>
      <c r="K1204" s="21"/>
      <c r="L1204" s="21"/>
      <c r="M1204" s="21"/>
      <c r="N1204" s="21"/>
      <c r="O1204" s="20"/>
      <c r="P1204" s="19"/>
      <c r="Q1204" s="39"/>
      <c r="R1204" s="19"/>
      <c r="S1204" s="21"/>
      <c r="T1204" s="21"/>
      <c r="U1204" s="39"/>
      <c r="V1204" s="21"/>
      <c r="W1204" s="54"/>
      <c r="X1204" s="23"/>
      <c r="Y1204" s="23"/>
      <c r="Z1204" s="56"/>
      <c r="AA1204" s="24"/>
      <c r="AB1204" s="19"/>
      <c r="AC1204" s="19"/>
      <c r="AD1204" s="15" t="e">
        <f ca="1">IF(AND($D1204&lt;&gt;"",COUNTIF(OFFSET(UFS!$E$2,MATCH($D1204&amp;"",UFS!$A$2:$A$175,0)-1,0,COUNTIF(UFS!$A$2:$A$175,$D1204&amp;""),1),M1204)&gt;0),"Valide","Invalide")</f>
        <v>#N/A</v>
      </c>
      <c r="AH1204" s="15" t="str">
        <f t="shared" si="18"/>
        <v/>
      </c>
    </row>
    <row r="1205" spans="1:34" s="15" customFormat="1" ht="45" hidden="1" customHeight="1" x14ac:dyDescent="0.3">
      <c r="A1205" s="42">
        <v>1206</v>
      </c>
      <c r="B1205" s="19"/>
      <c r="C1205" s="19"/>
      <c r="D1205" s="20"/>
      <c r="E1205" s="20"/>
      <c r="F1205" s="21"/>
      <c r="G1205" s="38"/>
      <c r="H1205" s="39"/>
      <c r="I1205" s="39"/>
      <c r="J1205" s="21"/>
      <c r="K1205" s="21"/>
      <c r="L1205" s="21"/>
      <c r="M1205" s="21"/>
      <c r="N1205" s="21"/>
      <c r="O1205" s="20"/>
      <c r="P1205" s="19"/>
      <c r="Q1205" s="39"/>
      <c r="R1205" s="19"/>
      <c r="S1205" s="21"/>
      <c r="T1205" s="21"/>
      <c r="U1205" s="39"/>
      <c r="V1205" s="21"/>
      <c r="W1205" s="54"/>
      <c r="X1205" s="23"/>
      <c r="Y1205" s="23"/>
      <c r="Z1205" s="56"/>
      <c r="AA1205" s="24"/>
      <c r="AB1205" s="19"/>
      <c r="AC1205" s="19"/>
      <c r="AD1205" s="15" t="e">
        <f ca="1">IF(AND($D1205&lt;&gt;"",COUNTIF(OFFSET(UFS!$E$2,MATCH($D1205&amp;"",UFS!$A$2:$A$175,0)-1,0,COUNTIF(UFS!$A$2:$A$175,$D1205&amp;""),1),M1205)&gt;0),"Valide","Invalide")</f>
        <v>#N/A</v>
      </c>
      <c r="AH1205" s="15" t="str">
        <f t="shared" si="18"/>
        <v/>
      </c>
    </row>
    <row r="1206" spans="1:34" s="15" customFormat="1" ht="45" hidden="1" customHeight="1" x14ac:dyDescent="0.3">
      <c r="A1206" s="42">
        <v>1207</v>
      </c>
      <c r="B1206" s="19"/>
      <c r="C1206" s="19"/>
      <c r="D1206" s="20"/>
      <c r="E1206" s="20"/>
      <c r="F1206" s="21"/>
      <c r="G1206" s="38"/>
      <c r="H1206" s="39"/>
      <c r="I1206" s="39"/>
      <c r="J1206" s="21"/>
      <c r="K1206" s="21"/>
      <c r="L1206" s="21"/>
      <c r="M1206" s="21"/>
      <c r="N1206" s="21"/>
      <c r="O1206" s="20"/>
      <c r="P1206" s="19"/>
      <c r="Q1206" s="39"/>
      <c r="R1206" s="19"/>
      <c r="S1206" s="21"/>
      <c r="T1206" s="21"/>
      <c r="U1206" s="39"/>
      <c r="V1206" s="21"/>
      <c r="W1206" s="54"/>
      <c r="X1206" s="23"/>
      <c r="Y1206" s="23"/>
      <c r="Z1206" s="56"/>
      <c r="AA1206" s="24"/>
      <c r="AB1206" s="19"/>
      <c r="AC1206" s="19"/>
      <c r="AD1206" s="15" t="e">
        <f ca="1">IF(AND($D1206&lt;&gt;"",COUNTIF(OFFSET(UFS!$E$2,MATCH($D1206&amp;"",UFS!$A$2:$A$175,0)-1,0,COUNTIF(UFS!$A$2:$A$175,$D1206&amp;""),1),M1206)&gt;0),"Valide","Invalide")</f>
        <v>#N/A</v>
      </c>
      <c r="AH1206" s="15" t="str">
        <f t="shared" si="18"/>
        <v/>
      </c>
    </row>
    <row r="1207" spans="1:34" s="15" customFormat="1" ht="45" hidden="1" customHeight="1" x14ac:dyDescent="0.3">
      <c r="A1207" s="42">
        <v>1208</v>
      </c>
      <c r="B1207" s="19"/>
      <c r="C1207" s="19"/>
      <c r="D1207" s="20"/>
      <c r="E1207" s="20"/>
      <c r="F1207" s="21"/>
      <c r="G1207" s="38"/>
      <c r="H1207" s="39"/>
      <c r="I1207" s="39"/>
      <c r="J1207" s="21"/>
      <c r="K1207" s="21"/>
      <c r="L1207" s="21"/>
      <c r="M1207" s="21"/>
      <c r="N1207" s="21"/>
      <c r="O1207" s="20"/>
      <c r="P1207" s="19"/>
      <c r="Q1207" s="39"/>
      <c r="R1207" s="19"/>
      <c r="S1207" s="21"/>
      <c r="T1207" s="21"/>
      <c r="U1207" s="39"/>
      <c r="V1207" s="21"/>
      <c r="W1207" s="54"/>
      <c r="X1207" s="23"/>
      <c r="Y1207" s="23"/>
      <c r="Z1207" s="56"/>
      <c r="AA1207" s="24"/>
      <c r="AB1207" s="19"/>
      <c r="AC1207" s="19"/>
      <c r="AD1207" s="15" t="e">
        <f ca="1">IF(AND($D1207&lt;&gt;"",COUNTIF(OFFSET(UFS!$E$2,MATCH($D1207&amp;"",UFS!$A$2:$A$175,0)-1,0,COUNTIF(UFS!$A$2:$A$175,$D1207&amp;""),1),M1207)&gt;0),"Valide","Invalide")</f>
        <v>#N/A</v>
      </c>
      <c r="AH1207" s="15" t="str">
        <f t="shared" si="18"/>
        <v/>
      </c>
    </row>
    <row r="1208" spans="1:34" s="15" customFormat="1" ht="45" hidden="1" customHeight="1" x14ac:dyDescent="0.3">
      <c r="A1208" s="42">
        <v>1209</v>
      </c>
      <c r="B1208" s="19"/>
      <c r="C1208" s="19"/>
      <c r="D1208" s="20"/>
      <c r="E1208" s="20"/>
      <c r="F1208" s="21"/>
      <c r="G1208" s="38"/>
      <c r="H1208" s="39"/>
      <c r="I1208" s="39"/>
      <c r="J1208" s="21"/>
      <c r="K1208" s="21"/>
      <c r="L1208" s="21"/>
      <c r="M1208" s="21"/>
      <c r="N1208" s="21"/>
      <c r="O1208" s="20"/>
      <c r="P1208" s="19"/>
      <c r="Q1208" s="39"/>
      <c r="R1208" s="19"/>
      <c r="S1208" s="21"/>
      <c r="T1208" s="21"/>
      <c r="U1208" s="39"/>
      <c r="V1208" s="21"/>
      <c r="W1208" s="54"/>
      <c r="X1208" s="23"/>
      <c r="Y1208" s="23"/>
      <c r="Z1208" s="56"/>
      <c r="AA1208" s="24"/>
      <c r="AB1208" s="19"/>
      <c r="AC1208" s="19"/>
      <c r="AD1208" s="15" t="e">
        <f ca="1">IF(AND($D1208&lt;&gt;"",COUNTIF(OFFSET(UFS!$E$2,MATCH($D1208&amp;"",UFS!$A$2:$A$175,0)-1,0,COUNTIF(UFS!$A$2:$A$175,$D1208&amp;""),1),M1208)&gt;0),"Valide","Invalide")</f>
        <v>#N/A</v>
      </c>
      <c r="AH1208" s="15" t="str">
        <f t="shared" si="18"/>
        <v/>
      </c>
    </row>
    <row r="1209" spans="1:34" s="15" customFormat="1" ht="45" hidden="1" customHeight="1" x14ac:dyDescent="0.3">
      <c r="A1209" s="42">
        <v>1210</v>
      </c>
      <c r="B1209" s="19"/>
      <c r="C1209" s="19"/>
      <c r="D1209" s="20"/>
      <c r="E1209" s="20"/>
      <c r="F1209" s="21"/>
      <c r="G1209" s="38"/>
      <c r="H1209" s="39"/>
      <c r="I1209" s="39"/>
      <c r="J1209" s="21"/>
      <c r="K1209" s="21"/>
      <c r="L1209" s="21"/>
      <c r="M1209" s="21"/>
      <c r="N1209" s="21"/>
      <c r="O1209" s="20"/>
      <c r="P1209" s="19"/>
      <c r="Q1209" s="39"/>
      <c r="R1209" s="19"/>
      <c r="S1209" s="21"/>
      <c r="T1209" s="21"/>
      <c r="U1209" s="39"/>
      <c r="V1209" s="21"/>
      <c r="W1209" s="54"/>
      <c r="X1209" s="23"/>
      <c r="Y1209" s="23"/>
      <c r="Z1209" s="56"/>
      <c r="AA1209" s="24"/>
      <c r="AB1209" s="19"/>
      <c r="AC1209" s="19"/>
      <c r="AD1209" s="15" t="e">
        <f ca="1">IF(AND($D1209&lt;&gt;"",COUNTIF(OFFSET(UFS!$E$2,MATCH($D1209&amp;"",UFS!$A$2:$A$175,0)-1,0,COUNTIF(UFS!$A$2:$A$175,$D1209&amp;""),1),M1209)&gt;0),"Valide","Invalide")</f>
        <v>#N/A</v>
      </c>
      <c r="AH1209" s="15" t="str">
        <f t="shared" si="18"/>
        <v/>
      </c>
    </row>
    <row r="1210" spans="1:34" s="15" customFormat="1" ht="45" hidden="1" customHeight="1" x14ac:dyDescent="0.3">
      <c r="A1210" s="42">
        <v>1211</v>
      </c>
      <c r="B1210" s="19"/>
      <c r="C1210" s="19"/>
      <c r="D1210" s="20"/>
      <c r="E1210" s="20"/>
      <c r="F1210" s="21"/>
      <c r="G1210" s="38"/>
      <c r="H1210" s="39"/>
      <c r="I1210" s="39"/>
      <c r="J1210" s="21"/>
      <c r="K1210" s="21"/>
      <c r="L1210" s="21"/>
      <c r="M1210" s="21"/>
      <c r="N1210" s="21"/>
      <c r="O1210" s="20"/>
      <c r="P1210" s="19"/>
      <c r="Q1210" s="39"/>
      <c r="R1210" s="19"/>
      <c r="S1210" s="21"/>
      <c r="T1210" s="21"/>
      <c r="U1210" s="39"/>
      <c r="V1210" s="21"/>
      <c r="W1210" s="54"/>
      <c r="X1210" s="23"/>
      <c r="Y1210" s="23"/>
      <c r="Z1210" s="56"/>
      <c r="AA1210" s="24"/>
      <c r="AB1210" s="19"/>
      <c r="AC1210" s="19"/>
      <c r="AD1210" s="15" t="e">
        <f ca="1">IF(AND($D1210&lt;&gt;"",COUNTIF(OFFSET(UFS!$E$2,MATCH($D1210&amp;"",UFS!$A$2:$A$175,0)-1,0,COUNTIF(UFS!$A$2:$A$175,$D1210&amp;""),1),M1210)&gt;0),"Valide","Invalide")</f>
        <v>#N/A</v>
      </c>
      <c r="AH1210" s="15" t="str">
        <f t="shared" si="18"/>
        <v/>
      </c>
    </row>
    <row r="1211" spans="1:34" s="15" customFormat="1" ht="45" hidden="1" customHeight="1" x14ac:dyDescent="0.3">
      <c r="A1211" s="42">
        <v>1212</v>
      </c>
      <c r="B1211" s="19"/>
      <c r="C1211" s="19"/>
      <c r="D1211" s="20"/>
      <c r="E1211" s="20"/>
      <c r="F1211" s="21"/>
      <c r="G1211" s="38"/>
      <c r="H1211" s="39"/>
      <c r="I1211" s="39"/>
      <c r="J1211" s="21"/>
      <c r="K1211" s="21"/>
      <c r="L1211" s="21"/>
      <c r="M1211" s="21"/>
      <c r="N1211" s="21"/>
      <c r="O1211" s="20"/>
      <c r="P1211" s="19"/>
      <c r="Q1211" s="39"/>
      <c r="R1211" s="19"/>
      <c r="S1211" s="21"/>
      <c r="T1211" s="21"/>
      <c r="U1211" s="39"/>
      <c r="V1211" s="21"/>
      <c r="W1211" s="54"/>
      <c r="X1211" s="23"/>
      <c r="Y1211" s="23"/>
      <c r="Z1211" s="56"/>
      <c r="AA1211" s="24"/>
      <c r="AB1211" s="19"/>
      <c r="AC1211" s="19"/>
      <c r="AD1211" s="15" t="e">
        <f ca="1">IF(AND($D1211&lt;&gt;"",COUNTIF(OFFSET(UFS!$E$2,MATCH($D1211&amp;"",UFS!$A$2:$A$175,0)-1,0,COUNTIF(UFS!$A$2:$A$175,$D1211&amp;""),1),M1211)&gt;0),"Valide","Invalide")</f>
        <v>#N/A</v>
      </c>
      <c r="AH1211" s="15" t="str">
        <f t="shared" si="18"/>
        <v/>
      </c>
    </row>
    <row r="1212" spans="1:34" s="15" customFormat="1" ht="45" hidden="1" customHeight="1" x14ac:dyDescent="0.3">
      <c r="A1212" s="42">
        <v>1213</v>
      </c>
      <c r="B1212" s="19"/>
      <c r="C1212" s="19"/>
      <c r="D1212" s="20"/>
      <c r="E1212" s="20"/>
      <c r="F1212" s="21"/>
      <c r="G1212" s="38"/>
      <c r="H1212" s="39"/>
      <c r="I1212" s="39"/>
      <c r="J1212" s="21"/>
      <c r="K1212" s="21"/>
      <c r="L1212" s="21"/>
      <c r="M1212" s="21"/>
      <c r="N1212" s="21"/>
      <c r="O1212" s="20"/>
      <c r="P1212" s="19"/>
      <c r="Q1212" s="39"/>
      <c r="R1212" s="19"/>
      <c r="S1212" s="21"/>
      <c r="T1212" s="21"/>
      <c r="U1212" s="39"/>
      <c r="V1212" s="21"/>
      <c r="W1212" s="54"/>
      <c r="X1212" s="23"/>
      <c r="Y1212" s="23"/>
      <c r="Z1212" s="56"/>
      <c r="AA1212" s="24"/>
      <c r="AB1212" s="19"/>
      <c r="AC1212" s="19"/>
      <c r="AD1212" s="15" t="e">
        <f ca="1">IF(AND($D1212&lt;&gt;"",COUNTIF(OFFSET(UFS!$E$2,MATCH($D1212&amp;"",UFS!$A$2:$A$175,0)-1,0,COUNTIF(UFS!$A$2:$A$175,$D1212&amp;""),1),M1212)&gt;0),"Valide","Invalide")</f>
        <v>#N/A</v>
      </c>
      <c r="AH1212" s="15" t="str">
        <f t="shared" si="18"/>
        <v/>
      </c>
    </row>
    <row r="1213" spans="1:34" s="15" customFormat="1" ht="45" hidden="1" customHeight="1" x14ac:dyDescent="0.3">
      <c r="A1213" s="42">
        <v>1214</v>
      </c>
      <c r="B1213" s="19"/>
      <c r="C1213" s="19"/>
      <c r="D1213" s="20"/>
      <c r="E1213" s="20"/>
      <c r="F1213" s="21"/>
      <c r="G1213" s="38"/>
      <c r="H1213" s="39"/>
      <c r="I1213" s="39"/>
      <c r="J1213" s="21"/>
      <c r="K1213" s="21"/>
      <c r="L1213" s="21"/>
      <c r="M1213" s="21"/>
      <c r="N1213" s="21"/>
      <c r="O1213" s="20"/>
      <c r="P1213" s="19"/>
      <c r="Q1213" s="39"/>
      <c r="R1213" s="19"/>
      <c r="S1213" s="21"/>
      <c r="T1213" s="21"/>
      <c r="U1213" s="39"/>
      <c r="V1213" s="21"/>
      <c r="W1213" s="54"/>
      <c r="X1213" s="23"/>
      <c r="Y1213" s="23"/>
      <c r="Z1213" s="56"/>
      <c r="AA1213" s="24"/>
      <c r="AB1213" s="19"/>
      <c r="AC1213" s="19"/>
      <c r="AD1213" s="15" t="e">
        <f ca="1">IF(AND($D1213&lt;&gt;"",COUNTIF(OFFSET(UFS!$E$2,MATCH($D1213&amp;"",UFS!$A$2:$A$175,0)-1,0,COUNTIF(UFS!$A$2:$A$175,$D1213&amp;""),1),M1213)&gt;0),"Valide","Invalide")</f>
        <v>#N/A</v>
      </c>
      <c r="AH1213" s="15" t="str">
        <f t="shared" si="18"/>
        <v/>
      </c>
    </row>
    <row r="1214" spans="1:34" s="15" customFormat="1" ht="45" hidden="1" customHeight="1" x14ac:dyDescent="0.3">
      <c r="A1214" s="42">
        <v>1215</v>
      </c>
      <c r="B1214" s="19"/>
      <c r="C1214" s="19"/>
      <c r="D1214" s="20"/>
      <c r="E1214" s="20"/>
      <c r="F1214" s="21"/>
      <c r="G1214" s="38"/>
      <c r="H1214" s="39"/>
      <c r="I1214" s="39"/>
      <c r="J1214" s="21"/>
      <c r="K1214" s="21"/>
      <c r="L1214" s="21"/>
      <c r="M1214" s="21"/>
      <c r="N1214" s="21"/>
      <c r="O1214" s="20"/>
      <c r="P1214" s="19"/>
      <c r="Q1214" s="39"/>
      <c r="R1214" s="19"/>
      <c r="S1214" s="21"/>
      <c r="T1214" s="21"/>
      <c r="U1214" s="39"/>
      <c r="V1214" s="21"/>
      <c r="W1214" s="54"/>
      <c r="X1214" s="23"/>
      <c r="Y1214" s="23"/>
      <c r="Z1214" s="56"/>
      <c r="AA1214" s="24"/>
      <c r="AB1214" s="19"/>
      <c r="AC1214" s="19"/>
      <c r="AD1214" s="15" t="e">
        <f ca="1">IF(AND($D1214&lt;&gt;"",COUNTIF(OFFSET(UFS!$E$2,MATCH($D1214&amp;"",UFS!$A$2:$A$175,0)-1,0,COUNTIF(UFS!$A$2:$A$175,$D1214&amp;""),1),M1214)&gt;0),"Valide","Invalide")</f>
        <v>#N/A</v>
      </c>
      <c r="AH1214" s="15" t="str">
        <f t="shared" si="18"/>
        <v/>
      </c>
    </row>
    <row r="1215" spans="1:34" s="15" customFormat="1" ht="45" hidden="1" customHeight="1" x14ac:dyDescent="0.3">
      <c r="A1215" s="42">
        <v>1216</v>
      </c>
      <c r="B1215" s="19"/>
      <c r="C1215" s="19"/>
      <c r="D1215" s="20"/>
      <c r="E1215" s="20"/>
      <c r="F1215" s="21"/>
      <c r="G1215" s="38"/>
      <c r="H1215" s="39"/>
      <c r="I1215" s="39"/>
      <c r="J1215" s="21"/>
      <c r="K1215" s="21"/>
      <c r="L1215" s="21"/>
      <c r="M1215" s="21"/>
      <c r="N1215" s="21"/>
      <c r="O1215" s="20"/>
      <c r="P1215" s="19"/>
      <c r="Q1215" s="39"/>
      <c r="R1215" s="19"/>
      <c r="S1215" s="21"/>
      <c r="T1215" s="21"/>
      <c r="U1215" s="39"/>
      <c r="V1215" s="21"/>
      <c r="W1215" s="54"/>
      <c r="X1215" s="23"/>
      <c r="Y1215" s="23"/>
      <c r="Z1215" s="56"/>
      <c r="AA1215" s="24"/>
      <c r="AB1215" s="19"/>
      <c r="AC1215" s="19"/>
      <c r="AD1215" s="15" t="e">
        <f ca="1">IF(AND($D1215&lt;&gt;"",COUNTIF(OFFSET(UFS!$E$2,MATCH($D1215&amp;"",UFS!$A$2:$A$175,0)-1,0,COUNTIF(UFS!$A$2:$A$175,$D1215&amp;""),1),M1215)&gt;0),"Valide","Invalide")</f>
        <v>#N/A</v>
      </c>
      <c r="AH1215" s="15" t="str">
        <f t="shared" si="18"/>
        <v/>
      </c>
    </row>
    <row r="1216" spans="1:34" s="15" customFormat="1" ht="45" hidden="1" customHeight="1" x14ac:dyDescent="0.3">
      <c r="A1216" s="42">
        <v>1217</v>
      </c>
      <c r="B1216" s="19"/>
      <c r="C1216" s="19"/>
      <c r="D1216" s="20"/>
      <c r="E1216" s="20"/>
      <c r="F1216" s="21"/>
      <c r="G1216" s="38"/>
      <c r="H1216" s="39"/>
      <c r="I1216" s="39"/>
      <c r="J1216" s="21"/>
      <c r="K1216" s="21"/>
      <c r="L1216" s="21"/>
      <c r="M1216" s="21"/>
      <c r="N1216" s="21"/>
      <c r="O1216" s="20"/>
      <c r="P1216" s="19"/>
      <c r="Q1216" s="39"/>
      <c r="R1216" s="19"/>
      <c r="S1216" s="21"/>
      <c r="T1216" s="21"/>
      <c r="U1216" s="39"/>
      <c r="V1216" s="21"/>
      <c r="W1216" s="54"/>
      <c r="X1216" s="23"/>
      <c r="Y1216" s="23"/>
      <c r="Z1216" s="56"/>
      <c r="AA1216" s="24"/>
      <c r="AB1216" s="19"/>
      <c r="AC1216" s="19"/>
      <c r="AD1216" s="15" t="e">
        <f ca="1">IF(AND($D1216&lt;&gt;"",COUNTIF(OFFSET(UFS!$E$2,MATCH($D1216&amp;"",UFS!$A$2:$A$175,0)-1,0,COUNTIF(UFS!$A$2:$A$175,$D1216&amp;""),1),M1216)&gt;0),"Valide","Invalide")</f>
        <v>#N/A</v>
      </c>
      <c r="AH1216" s="15" t="str">
        <f t="shared" si="18"/>
        <v/>
      </c>
    </row>
    <row r="1217" spans="1:34" s="15" customFormat="1" ht="45" hidden="1" customHeight="1" x14ac:dyDescent="0.3">
      <c r="A1217" s="42">
        <v>1218</v>
      </c>
      <c r="B1217" s="19"/>
      <c r="C1217" s="19"/>
      <c r="D1217" s="20"/>
      <c r="E1217" s="20"/>
      <c r="F1217" s="21"/>
      <c r="G1217" s="38"/>
      <c r="H1217" s="39"/>
      <c r="I1217" s="39"/>
      <c r="J1217" s="21"/>
      <c r="K1217" s="21"/>
      <c r="L1217" s="21"/>
      <c r="M1217" s="21"/>
      <c r="N1217" s="21"/>
      <c r="O1217" s="20"/>
      <c r="P1217" s="19"/>
      <c r="Q1217" s="39"/>
      <c r="R1217" s="19"/>
      <c r="S1217" s="21"/>
      <c r="T1217" s="21"/>
      <c r="U1217" s="39"/>
      <c r="V1217" s="21"/>
      <c r="W1217" s="54"/>
      <c r="X1217" s="23"/>
      <c r="Y1217" s="23"/>
      <c r="Z1217" s="56"/>
      <c r="AA1217" s="24"/>
      <c r="AB1217" s="19"/>
      <c r="AC1217" s="19"/>
      <c r="AD1217" s="15" t="e">
        <f ca="1">IF(AND($D1217&lt;&gt;"",COUNTIF(OFFSET(UFS!$E$2,MATCH($D1217&amp;"",UFS!$A$2:$A$175,0)-1,0,COUNTIF(UFS!$A$2:$A$175,$D1217&amp;""),1),M1217)&gt;0),"Valide","Invalide")</f>
        <v>#N/A</v>
      </c>
      <c r="AH1217" s="15" t="str">
        <f t="shared" si="18"/>
        <v/>
      </c>
    </row>
    <row r="1218" spans="1:34" s="15" customFormat="1" ht="45" hidden="1" customHeight="1" x14ac:dyDescent="0.3">
      <c r="A1218" s="42">
        <v>1219</v>
      </c>
      <c r="B1218" s="19"/>
      <c r="C1218" s="19"/>
      <c r="D1218" s="20"/>
      <c r="E1218" s="20"/>
      <c r="F1218" s="21"/>
      <c r="G1218" s="38"/>
      <c r="H1218" s="39"/>
      <c r="I1218" s="39"/>
      <c r="J1218" s="21"/>
      <c r="K1218" s="21"/>
      <c r="L1218" s="21"/>
      <c r="M1218" s="21"/>
      <c r="N1218" s="21"/>
      <c r="O1218" s="20"/>
      <c r="P1218" s="19"/>
      <c r="Q1218" s="39"/>
      <c r="R1218" s="19"/>
      <c r="S1218" s="21"/>
      <c r="T1218" s="21"/>
      <c r="U1218" s="39"/>
      <c r="V1218" s="21"/>
      <c r="W1218" s="54"/>
      <c r="X1218" s="23"/>
      <c r="Y1218" s="23"/>
      <c r="Z1218" s="56"/>
      <c r="AA1218" s="24"/>
      <c r="AB1218" s="19"/>
      <c r="AC1218" s="19"/>
      <c r="AD1218" s="15" t="e">
        <f ca="1">IF(AND($D1218&lt;&gt;"",COUNTIF(OFFSET(UFS!$E$2,MATCH($D1218&amp;"",UFS!$A$2:$A$175,0)-1,0,COUNTIF(UFS!$A$2:$A$175,$D1218&amp;""),1),M1218)&gt;0),"Valide","Invalide")</f>
        <v>#N/A</v>
      </c>
      <c r="AH1218" s="15" t="str">
        <f t="shared" si="18"/>
        <v/>
      </c>
    </row>
    <row r="1219" spans="1:34" s="15" customFormat="1" ht="45" hidden="1" customHeight="1" x14ac:dyDescent="0.3">
      <c r="A1219" s="42">
        <v>1220</v>
      </c>
      <c r="B1219" s="19"/>
      <c r="C1219" s="19"/>
      <c r="D1219" s="20"/>
      <c r="E1219" s="20"/>
      <c r="F1219" s="21"/>
      <c r="G1219" s="38"/>
      <c r="H1219" s="39"/>
      <c r="I1219" s="39"/>
      <c r="J1219" s="21"/>
      <c r="K1219" s="21"/>
      <c r="L1219" s="21"/>
      <c r="M1219" s="21"/>
      <c r="N1219" s="21"/>
      <c r="O1219" s="20"/>
      <c r="P1219" s="19"/>
      <c r="Q1219" s="39"/>
      <c r="R1219" s="19"/>
      <c r="S1219" s="21"/>
      <c r="T1219" s="21"/>
      <c r="U1219" s="39"/>
      <c r="V1219" s="21"/>
      <c r="W1219" s="54"/>
      <c r="X1219" s="23"/>
      <c r="Y1219" s="23"/>
      <c r="Z1219" s="56"/>
      <c r="AA1219" s="24"/>
      <c r="AB1219" s="19"/>
      <c r="AC1219" s="19"/>
      <c r="AD1219" s="15" t="e">
        <f ca="1">IF(AND($D1219&lt;&gt;"",COUNTIF(OFFSET(UFS!$E$2,MATCH($D1219&amp;"",UFS!$A$2:$A$175,0)-1,0,COUNTIF(UFS!$A$2:$A$175,$D1219&amp;""),1),M1219)&gt;0),"Valide","Invalide")</f>
        <v>#N/A</v>
      </c>
      <c r="AH1219" s="15" t="str">
        <f t="shared" ref="AH1219:AH1282" si="19">IF(T1219&lt;&gt;"","En attente","")</f>
        <v/>
      </c>
    </row>
    <row r="1220" spans="1:34" s="15" customFormat="1" ht="45" hidden="1" customHeight="1" x14ac:dyDescent="0.3">
      <c r="A1220" s="42">
        <v>1221</v>
      </c>
      <c r="B1220" s="19"/>
      <c r="C1220" s="19"/>
      <c r="D1220" s="20"/>
      <c r="E1220" s="20"/>
      <c r="F1220" s="21"/>
      <c r="G1220" s="38"/>
      <c r="H1220" s="39"/>
      <c r="I1220" s="39"/>
      <c r="J1220" s="21"/>
      <c r="K1220" s="21"/>
      <c r="L1220" s="21"/>
      <c r="M1220" s="21"/>
      <c r="N1220" s="21"/>
      <c r="O1220" s="20"/>
      <c r="P1220" s="19"/>
      <c r="Q1220" s="39"/>
      <c r="R1220" s="19"/>
      <c r="S1220" s="21"/>
      <c r="T1220" s="21"/>
      <c r="U1220" s="39"/>
      <c r="V1220" s="21"/>
      <c r="W1220" s="54"/>
      <c r="X1220" s="23"/>
      <c r="Y1220" s="23"/>
      <c r="Z1220" s="56"/>
      <c r="AA1220" s="24"/>
      <c r="AB1220" s="19"/>
      <c r="AC1220" s="19"/>
      <c r="AD1220" s="15" t="e">
        <f ca="1">IF(AND($D1220&lt;&gt;"",COUNTIF(OFFSET(UFS!$E$2,MATCH($D1220&amp;"",UFS!$A$2:$A$175,0)-1,0,COUNTIF(UFS!$A$2:$A$175,$D1220&amp;""),1),M1220)&gt;0),"Valide","Invalide")</f>
        <v>#N/A</v>
      </c>
      <c r="AH1220" s="15" t="str">
        <f t="shared" si="19"/>
        <v/>
      </c>
    </row>
    <row r="1221" spans="1:34" s="15" customFormat="1" ht="45" hidden="1" customHeight="1" x14ac:dyDescent="0.3">
      <c r="A1221" s="42">
        <v>1222</v>
      </c>
      <c r="B1221" s="19"/>
      <c r="C1221" s="19"/>
      <c r="D1221" s="20"/>
      <c r="E1221" s="20"/>
      <c r="F1221" s="21"/>
      <c r="G1221" s="38"/>
      <c r="H1221" s="39"/>
      <c r="I1221" s="39"/>
      <c r="J1221" s="21"/>
      <c r="K1221" s="21"/>
      <c r="L1221" s="21"/>
      <c r="M1221" s="21"/>
      <c r="N1221" s="21"/>
      <c r="O1221" s="20"/>
      <c r="P1221" s="19"/>
      <c r="Q1221" s="39"/>
      <c r="R1221" s="19"/>
      <c r="S1221" s="21"/>
      <c r="T1221" s="21"/>
      <c r="U1221" s="39"/>
      <c r="V1221" s="21"/>
      <c r="W1221" s="54"/>
      <c r="X1221" s="23"/>
      <c r="Y1221" s="23"/>
      <c r="Z1221" s="56"/>
      <c r="AA1221" s="24"/>
      <c r="AB1221" s="19"/>
      <c r="AC1221" s="19"/>
      <c r="AD1221" s="15" t="e">
        <f ca="1">IF(AND($D1221&lt;&gt;"",COUNTIF(OFFSET(UFS!$E$2,MATCH($D1221&amp;"",UFS!$A$2:$A$175,0)-1,0,COUNTIF(UFS!$A$2:$A$175,$D1221&amp;""),1),M1221)&gt;0),"Valide","Invalide")</f>
        <v>#N/A</v>
      </c>
      <c r="AH1221" s="15" t="str">
        <f t="shared" si="19"/>
        <v/>
      </c>
    </row>
    <row r="1222" spans="1:34" s="15" customFormat="1" ht="45" hidden="1" customHeight="1" x14ac:dyDescent="0.3">
      <c r="A1222" s="42">
        <v>1223</v>
      </c>
      <c r="B1222" s="19"/>
      <c r="C1222" s="19"/>
      <c r="D1222" s="20"/>
      <c r="E1222" s="20"/>
      <c r="F1222" s="21"/>
      <c r="G1222" s="38"/>
      <c r="H1222" s="39"/>
      <c r="I1222" s="39"/>
      <c r="J1222" s="21"/>
      <c r="K1222" s="21"/>
      <c r="L1222" s="21"/>
      <c r="M1222" s="21"/>
      <c r="N1222" s="21"/>
      <c r="O1222" s="20"/>
      <c r="P1222" s="19"/>
      <c r="Q1222" s="39"/>
      <c r="R1222" s="19"/>
      <c r="S1222" s="21"/>
      <c r="T1222" s="21"/>
      <c r="U1222" s="39"/>
      <c r="V1222" s="21"/>
      <c r="W1222" s="54"/>
      <c r="X1222" s="23"/>
      <c r="Y1222" s="23"/>
      <c r="Z1222" s="56"/>
      <c r="AA1222" s="24"/>
      <c r="AB1222" s="19"/>
      <c r="AC1222" s="19"/>
      <c r="AD1222" s="15" t="e">
        <f ca="1">IF(AND($D1222&lt;&gt;"",COUNTIF(OFFSET(UFS!$E$2,MATCH($D1222&amp;"",UFS!$A$2:$A$175,0)-1,0,COUNTIF(UFS!$A$2:$A$175,$D1222&amp;""),1),M1222)&gt;0),"Valide","Invalide")</f>
        <v>#N/A</v>
      </c>
      <c r="AH1222" s="15" t="str">
        <f t="shared" si="19"/>
        <v/>
      </c>
    </row>
    <row r="1223" spans="1:34" s="15" customFormat="1" ht="45" hidden="1" customHeight="1" x14ac:dyDescent="0.3">
      <c r="A1223" s="42">
        <v>1224</v>
      </c>
      <c r="B1223" s="19"/>
      <c r="C1223" s="19"/>
      <c r="D1223" s="20"/>
      <c r="E1223" s="20"/>
      <c r="F1223" s="21"/>
      <c r="G1223" s="38"/>
      <c r="H1223" s="39"/>
      <c r="I1223" s="39"/>
      <c r="J1223" s="21"/>
      <c r="K1223" s="21"/>
      <c r="L1223" s="21"/>
      <c r="M1223" s="21"/>
      <c r="N1223" s="21"/>
      <c r="O1223" s="20"/>
      <c r="P1223" s="19"/>
      <c r="Q1223" s="39"/>
      <c r="R1223" s="19"/>
      <c r="S1223" s="21"/>
      <c r="T1223" s="21"/>
      <c r="U1223" s="39"/>
      <c r="V1223" s="21"/>
      <c r="W1223" s="54"/>
      <c r="X1223" s="23"/>
      <c r="Y1223" s="23"/>
      <c r="Z1223" s="56"/>
      <c r="AA1223" s="24"/>
      <c r="AB1223" s="19"/>
      <c r="AC1223" s="19"/>
      <c r="AD1223" s="15" t="e">
        <f ca="1">IF(AND($D1223&lt;&gt;"",COUNTIF(OFFSET(UFS!$E$2,MATCH($D1223&amp;"",UFS!$A$2:$A$175,0)-1,0,COUNTIF(UFS!$A$2:$A$175,$D1223&amp;""),1),M1223)&gt;0),"Valide","Invalide")</f>
        <v>#N/A</v>
      </c>
      <c r="AH1223" s="15" t="str">
        <f t="shared" si="19"/>
        <v/>
      </c>
    </row>
    <row r="1224" spans="1:34" s="15" customFormat="1" ht="45" hidden="1" customHeight="1" x14ac:dyDescent="0.3">
      <c r="A1224" s="42">
        <v>1225</v>
      </c>
      <c r="B1224" s="19"/>
      <c r="C1224" s="19"/>
      <c r="D1224" s="20"/>
      <c r="E1224" s="20"/>
      <c r="F1224" s="21"/>
      <c r="G1224" s="38"/>
      <c r="H1224" s="39"/>
      <c r="I1224" s="39"/>
      <c r="J1224" s="21"/>
      <c r="K1224" s="21"/>
      <c r="L1224" s="21"/>
      <c r="M1224" s="21"/>
      <c r="N1224" s="21"/>
      <c r="O1224" s="20"/>
      <c r="P1224" s="19"/>
      <c r="Q1224" s="39"/>
      <c r="R1224" s="19"/>
      <c r="S1224" s="21"/>
      <c r="T1224" s="21"/>
      <c r="U1224" s="39"/>
      <c r="V1224" s="21"/>
      <c r="W1224" s="54"/>
      <c r="X1224" s="23"/>
      <c r="Y1224" s="23"/>
      <c r="Z1224" s="56"/>
      <c r="AA1224" s="24"/>
      <c r="AB1224" s="19"/>
      <c r="AC1224" s="19"/>
      <c r="AD1224" s="15" t="e">
        <f ca="1">IF(AND($D1224&lt;&gt;"",COUNTIF(OFFSET(UFS!$E$2,MATCH($D1224&amp;"",UFS!$A$2:$A$175,0)-1,0,COUNTIF(UFS!$A$2:$A$175,$D1224&amp;""),1),M1224)&gt;0),"Valide","Invalide")</f>
        <v>#N/A</v>
      </c>
      <c r="AH1224" s="15" t="str">
        <f t="shared" si="19"/>
        <v/>
      </c>
    </row>
    <row r="1225" spans="1:34" s="15" customFormat="1" ht="45" hidden="1" customHeight="1" x14ac:dyDescent="0.3">
      <c r="A1225" s="42">
        <v>1226</v>
      </c>
      <c r="B1225" s="19"/>
      <c r="C1225" s="19"/>
      <c r="D1225" s="20"/>
      <c r="E1225" s="20"/>
      <c r="F1225" s="21"/>
      <c r="G1225" s="38"/>
      <c r="H1225" s="39"/>
      <c r="I1225" s="39"/>
      <c r="J1225" s="21"/>
      <c r="K1225" s="21"/>
      <c r="L1225" s="21"/>
      <c r="M1225" s="21"/>
      <c r="N1225" s="21"/>
      <c r="O1225" s="20"/>
      <c r="P1225" s="19"/>
      <c r="Q1225" s="39"/>
      <c r="R1225" s="19"/>
      <c r="S1225" s="21"/>
      <c r="T1225" s="21"/>
      <c r="U1225" s="39"/>
      <c r="V1225" s="21"/>
      <c r="W1225" s="54"/>
      <c r="X1225" s="23"/>
      <c r="Y1225" s="23"/>
      <c r="Z1225" s="56"/>
      <c r="AA1225" s="24"/>
      <c r="AB1225" s="19"/>
      <c r="AC1225" s="19"/>
      <c r="AD1225" s="15" t="e">
        <f ca="1">IF(AND($D1225&lt;&gt;"",COUNTIF(OFFSET(UFS!$E$2,MATCH($D1225&amp;"",UFS!$A$2:$A$175,0)-1,0,COUNTIF(UFS!$A$2:$A$175,$D1225&amp;""),1),M1225)&gt;0),"Valide","Invalide")</f>
        <v>#N/A</v>
      </c>
      <c r="AH1225" s="15" t="str">
        <f t="shared" si="19"/>
        <v/>
      </c>
    </row>
    <row r="1226" spans="1:34" s="15" customFormat="1" ht="45" hidden="1" customHeight="1" x14ac:dyDescent="0.3">
      <c r="A1226" s="42">
        <v>1227</v>
      </c>
      <c r="B1226" s="19"/>
      <c r="C1226" s="19"/>
      <c r="D1226" s="20"/>
      <c r="E1226" s="20"/>
      <c r="F1226" s="21"/>
      <c r="G1226" s="38"/>
      <c r="H1226" s="39"/>
      <c r="I1226" s="39"/>
      <c r="J1226" s="21"/>
      <c r="K1226" s="21"/>
      <c r="L1226" s="21"/>
      <c r="M1226" s="21"/>
      <c r="N1226" s="21"/>
      <c r="O1226" s="20"/>
      <c r="P1226" s="19"/>
      <c r="Q1226" s="39"/>
      <c r="R1226" s="19"/>
      <c r="S1226" s="21"/>
      <c r="T1226" s="21"/>
      <c r="U1226" s="39"/>
      <c r="V1226" s="21"/>
      <c r="W1226" s="54"/>
      <c r="X1226" s="23"/>
      <c r="Y1226" s="23"/>
      <c r="Z1226" s="56"/>
      <c r="AA1226" s="24"/>
      <c r="AB1226" s="19"/>
      <c r="AC1226" s="19"/>
      <c r="AD1226" s="15" t="e">
        <f ca="1">IF(AND($D1226&lt;&gt;"",COUNTIF(OFFSET(UFS!$E$2,MATCH($D1226&amp;"",UFS!$A$2:$A$175,0)-1,0,COUNTIF(UFS!$A$2:$A$175,$D1226&amp;""),1),M1226)&gt;0),"Valide","Invalide")</f>
        <v>#N/A</v>
      </c>
      <c r="AH1226" s="15" t="str">
        <f t="shared" si="19"/>
        <v/>
      </c>
    </row>
    <row r="1227" spans="1:34" s="15" customFormat="1" ht="45" hidden="1" customHeight="1" x14ac:dyDescent="0.3">
      <c r="A1227" s="42">
        <v>1228</v>
      </c>
      <c r="B1227" s="19"/>
      <c r="C1227" s="19"/>
      <c r="D1227" s="20"/>
      <c r="E1227" s="20"/>
      <c r="F1227" s="21"/>
      <c r="G1227" s="38"/>
      <c r="H1227" s="39"/>
      <c r="I1227" s="39"/>
      <c r="J1227" s="21"/>
      <c r="K1227" s="21"/>
      <c r="L1227" s="21"/>
      <c r="M1227" s="21"/>
      <c r="N1227" s="21"/>
      <c r="O1227" s="20"/>
      <c r="P1227" s="19"/>
      <c r="Q1227" s="39"/>
      <c r="R1227" s="19"/>
      <c r="S1227" s="21"/>
      <c r="T1227" s="21"/>
      <c r="U1227" s="39"/>
      <c r="V1227" s="21"/>
      <c r="W1227" s="54"/>
      <c r="X1227" s="23"/>
      <c r="Y1227" s="23"/>
      <c r="Z1227" s="56"/>
      <c r="AA1227" s="24"/>
      <c r="AB1227" s="19"/>
      <c r="AC1227" s="19"/>
      <c r="AD1227" s="15" t="e">
        <f ca="1">IF(AND($D1227&lt;&gt;"",COUNTIF(OFFSET(UFS!$E$2,MATCH($D1227&amp;"",UFS!$A$2:$A$175,0)-1,0,COUNTIF(UFS!$A$2:$A$175,$D1227&amp;""),1),M1227)&gt;0),"Valide","Invalide")</f>
        <v>#N/A</v>
      </c>
      <c r="AH1227" s="15" t="str">
        <f t="shared" si="19"/>
        <v/>
      </c>
    </row>
    <row r="1228" spans="1:34" s="15" customFormat="1" ht="45" hidden="1" customHeight="1" x14ac:dyDescent="0.3">
      <c r="A1228" s="42">
        <v>1229</v>
      </c>
      <c r="B1228" s="19"/>
      <c r="C1228" s="19"/>
      <c r="D1228" s="20"/>
      <c r="E1228" s="20"/>
      <c r="F1228" s="21"/>
      <c r="G1228" s="38"/>
      <c r="H1228" s="39"/>
      <c r="I1228" s="39"/>
      <c r="J1228" s="21"/>
      <c r="K1228" s="21"/>
      <c r="L1228" s="21"/>
      <c r="M1228" s="21"/>
      <c r="N1228" s="21"/>
      <c r="O1228" s="20"/>
      <c r="P1228" s="19"/>
      <c r="Q1228" s="39"/>
      <c r="R1228" s="19"/>
      <c r="S1228" s="21"/>
      <c r="T1228" s="21"/>
      <c r="U1228" s="39"/>
      <c r="V1228" s="21"/>
      <c r="W1228" s="54"/>
      <c r="X1228" s="23"/>
      <c r="Y1228" s="23"/>
      <c r="Z1228" s="56"/>
      <c r="AA1228" s="24"/>
      <c r="AB1228" s="19"/>
      <c r="AC1228" s="19"/>
      <c r="AD1228" s="15" t="e">
        <f ca="1">IF(AND($D1228&lt;&gt;"",COUNTIF(OFFSET(UFS!$E$2,MATCH($D1228&amp;"",UFS!$A$2:$A$175,0)-1,0,COUNTIF(UFS!$A$2:$A$175,$D1228&amp;""),1),M1228)&gt;0),"Valide","Invalide")</f>
        <v>#N/A</v>
      </c>
      <c r="AH1228" s="15" t="str">
        <f t="shared" si="19"/>
        <v/>
      </c>
    </row>
    <row r="1229" spans="1:34" s="15" customFormat="1" ht="45" hidden="1" customHeight="1" x14ac:dyDescent="0.3">
      <c r="A1229" s="42">
        <v>1230</v>
      </c>
      <c r="B1229" s="19"/>
      <c r="C1229" s="19"/>
      <c r="D1229" s="20"/>
      <c r="E1229" s="20"/>
      <c r="F1229" s="21"/>
      <c r="G1229" s="38"/>
      <c r="H1229" s="39"/>
      <c r="I1229" s="39"/>
      <c r="J1229" s="21"/>
      <c r="K1229" s="21"/>
      <c r="L1229" s="21"/>
      <c r="M1229" s="21"/>
      <c r="N1229" s="21"/>
      <c r="O1229" s="20"/>
      <c r="P1229" s="19"/>
      <c r="Q1229" s="39"/>
      <c r="R1229" s="19"/>
      <c r="S1229" s="21"/>
      <c r="T1229" s="21"/>
      <c r="U1229" s="39"/>
      <c r="V1229" s="21"/>
      <c r="W1229" s="54"/>
      <c r="X1229" s="23"/>
      <c r="Y1229" s="23"/>
      <c r="Z1229" s="56"/>
      <c r="AA1229" s="24"/>
      <c r="AB1229" s="19"/>
      <c r="AC1229" s="19"/>
      <c r="AD1229" s="15" t="e">
        <f ca="1">IF(AND($D1229&lt;&gt;"",COUNTIF(OFFSET(UFS!$E$2,MATCH($D1229&amp;"",UFS!$A$2:$A$175,0)-1,0,COUNTIF(UFS!$A$2:$A$175,$D1229&amp;""),1),M1229)&gt;0),"Valide","Invalide")</f>
        <v>#N/A</v>
      </c>
      <c r="AH1229" s="15" t="str">
        <f t="shared" si="19"/>
        <v/>
      </c>
    </row>
    <row r="1230" spans="1:34" s="15" customFormat="1" ht="45" hidden="1" customHeight="1" x14ac:dyDescent="0.3">
      <c r="A1230" s="42">
        <v>1231</v>
      </c>
      <c r="B1230" s="19"/>
      <c r="C1230" s="19"/>
      <c r="D1230" s="20"/>
      <c r="E1230" s="20"/>
      <c r="F1230" s="21"/>
      <c r="G1230" s="38"/>
      <c r="H1230" s="39"/>
      <c r="I1230" s="39"/>
      <c r="J1230" s="21"/>
      <c r="K1230" s="21"/>
      <c r="L1230" s="21"/>
      <c r="M1230" s="21"/>
      <c r="N1230" s="21"/>
      <c r="O1230" s="20"/>
      <c r="P1230" s="19"/>
      <c r="Q1230" s="39"/>
      <c r="R1230" s="19"/>
      <c r="S1230" s="21"/>
      <c r="T1230" s="21"/>
      <c r="U1230" s="39"/>
      <c r="V1230" s="21"/>
      <c r="W1230" s="54"/>
      <c r="X1230" s="23"/>
      <c r="Y1230" s="23"/>
      <c r="Z1230" s="56"/>
      <c r="AA1230" s="24"/>
      <c r="AB1230" s="19"/>
      <c r="AC1230" s="19"/>
      <c r="AD1230" s="15" t="e">
        <f ca="1">IF(AND($D1230&lt;&gt;"",COUNTIF(OFFSET(UFS!$E$2,MATCH($D1230&amp;"",UFS!$A$2:$A$175,0)-1,0,COUNTIF(UFS!$A$2:$A$175,$D1230&amp;""),1),M1230)&gt;0),"Valide","Invalide")</f>
        <v>#N/A</v>
      </c>
      <c r="AH1230" s="15" t="str">
        <f t="shared" si="19"/>
        <v/>
      </c>
    </row>
    <row r="1231" spans="1:34" s="15" customFormat="1" ht="45" hidden="1" customHeight="1" x14ac:dyDescent="0.3">
      <c r="A1231" s="42">
        <v>1232</v>
      </c>
      <c r="B1231" s="19"/>
      <c r="C1231" s="19"/>
      <c r="D1231" s="20"/>
      <c r="E1231" s="20"/>
      <c r="F1231" s="21"/>
      <c r="G1231" s="38"/>
      <c r="H1231" s="39"/>
      <c r="I1231" s="39"/>
      <c r="J1231" s="21"/>
      <c r="K1231" s="21"/>
      <c r="L1231" s="21"/>
      <c r="M1231" s="21"/>
      <c r="N1231" s="21"/>
      <c r="O1231" s="20"/>
      <c r="P1231" s="19"/>
      <c r="Q1231" s="39"/>
      <c r="R1231" s="19"/>
      <c r="S1231" s="21"/>
      <c r="T1231" s="21"/>
      <c r="U1231" s="39"/>
      <c r="V1231" s="21"/>
      <c r="W1231" s="54"/>
      <c r="X1231" s="23"/>
      <c r="Y1231" s="23"/>
      <c r="Z1231" s="56"/>
      <c r="AA1231" s="24"/>
      <c r="AB1231" s="19"/>
      <c r="AC1231" s="19"/>
      <c r="AD1231" s="15" t="e">
        <f ca="1">IF(AND($D1231&lt;&gt;"",COUNTIF(OFFSET(UFS!$E$2,MATCH($D1231&amp;"",UFS!$A$2:$A$175,0)-1,0,COUNTIF(UFS!$A$2:$A$175,$D1231&amp;""),1),M1231)&gt;0),"Valide","Invalide")</f>
        <v>#N/A</v>
      </c>
      <c r="AH1231" s="15" t="str">
        <f t="shared" si="19"/>
        <v/>
      </c>
    </row>
    <row r="1232" spans="1:34" s="15" customFormat="1" ht="45" hidden="1" customHeight="1" x14ac:dyDescent="0.3">
      <c r="A1232" s="42">
        <v>1233</v>
      </c>
      <c r="B1232" s="19"/>
      <c r="C1232" s="19"/>
      <c r="D1232" s="20"/>
      <c r="E1232" s="20"/>
      <c r="F1232" s="21"/>
      <c r="G1232" s="38"/>
      <c r="H1232" s="39"/>
      <c r="I1232" s="39"/>
      <c r="J1232" s="21"/>
      <c r="K1232" s="21"/>
      <c r="L1232" s="21"/>
      <c r="M1232" s="21"/>
      <c r="N1232" s="21"/>
      <c r="O1232" s="20"/>
      <c r="P1232" s="19"/>
      <c r="Q1232" s="39"/>
      <c r="R1232" s="19"/>
      <c r="S1232" s="21"/>
      <c r="T1232" s="21"/>
      <c r="U1232" s="39"/>
      <c r="V1232" s="21"/>
      <c r="W1232" s="54"/>
      <c r="X1232" s="23"/>
      <c r="Y1232" s="23"/>
      <c r="Z1232" s="56"/>
      <c r="AA1232" s="24"/>
      <c r="AB1232" s="19"/>
      <c r="AC1232" s="19"/>
      <c r="AD1232" s="15" t="e">
        <f ca="1">IF(AND($D1232&lt;&gt;"",COUNTIF(OFFSET(UFS!$E$2,MATCH($D1232&amp;"",UFS!$A$2:$A$175,0)-1,0,COUNTIF(UFS!$A$2:$A$175,$D1232&amp;""),1),M1232)&gt;0),"Valide","Invalide")</f>
        <v>#N/A</v>
      </c>
      <c r="AH1232" s="15" t="str">
        <f t="shared" si="19"/>
        <v/>
      </c>
    </row>
    <row r="1233" spans="1:34" s="15" customFormat="1" ht="45" hidden="1" customHeight="1" x14ac:dyDescent="0.3">
      <c r="A1233" s="42">
        <v>1234</v>
      </c>
      <c r="B1233" s="19"/>
      <c r="C1233" s="19"/>
      <c r="D1233" s="20"/>
      <c r="E1233" s="20"/>
      <c r="F1233" s="21"/>
      <c r="G1233" s="38"/>
      <c r="H1233" s="39"/>
      <c r="I1233" s="39"/>
      <c r="J1233" s="21"/>
      <c r="K1233" s="21"/>
      <c r="L1233" s="21"/>
      <c r="M1233" s="21"/>
      <c r="N1233" s="21"/>
      <c r="O1233" s="20"/>
      <c r="P1233" s="19"/>
      <c r="Q1233" s="39"/>
      <c r="R1233" s="19"/>
      <c r="S1233" s="21"/>
      <c r="T1233" s="21"/>
      <c r="U1233" s="39"/>
      <c r="V1233" s="21"/>
      <c r="W1233" s="54"/>
      <c r="X1233" s="23"/>
      <c r="Y1233" s="23"/>
      <c r="Z1233" s="56"/>
      <c r="AA1233" s="24"/>
      <c r="AB1233" s="19"/>
      <c r="AC1233" s="19"/>
      <c r="AD1233" s="15" t="e">
        <f ca="1">IF(AND($D1233&lt;&gt;"",COUNTIF(OFFSET(UFS!$E$2,MATCH($D1233&amp;"",UFS!$A$2:$A$175,0)-1,0,COUNTIF(UFS!$A$2:$A$175,$D1233&amp;""),1),M1233)&gt;0),"Valide","Invalide")</f>
        <v>#N/A</v>
      </c>
      <c r="AH1233" s="15" t="str">
        <f t="shared" si="19"/>
        <v/>
      </c>
    </row>
    <row r="1234" spans="1:34" s="15" customFormat="1" ht="45" hidden="1" customHeight="1" x14ac:dyDescent="0.3">
      <c r="A1234" s="42">
        <v>1235</v>
      </c>
      <c r="B1234" s="19"/>
      <c r="C1234" s="19"/>
      <c r="D1234" s="20"/>
      <c r="E1234" s="20"/>
      <c r="F1234" s="21"/>
      <c r="G1234" s="38"/>
      <c r="H1234" s="39"/>
      <c r="I1234" s="39"/>
      <c r="J1234" s="21"/>
      <c r="K1234" s="21"/>
      <c r="L1234" s="21"/>
      <c r="M1234" s="21"/>
      <c r="N1234" s="21"/>
      <c r="O1234" s="20"/>
      <c r="P1234" s="19"/>
      <c r="Q1234" s="39"/>
      <c r="R1234" s="19"/>
      <c r="S1234" s="21"/>
      <c r="T1234" s="21"/>
      <c r="U1234" s="39"/>
      <c r="V1234" s="21"/>
      <c r="W1234" s="54"/>
      <c r="X1234" s="23"/>
      <c r="Y1234" s="23"/>
      <c r="Z1234" s="56"/>
      <c r="AA1234" s="24"/>
      <c r="AB1234" s="19"/>
      <c r="AC1234" s="19"/>
      <c r="AD1234" s="15" t="e">
        <f ca="1">IF(AND($D1234&lt;&gt;"",COUNTIF(OFFSET(UFS!$E$2,MATCH($D1234&amp;"",UFS!$A$2:$A$175,0)-1,0,COUNTIF(UFS!$A$2:$A$175,$D1234&amp;""),1),M1234)&gt;0),"Valide","Invalide")</f>
        <v>#N/A</v>
      </c>
      <c r="AH1234" s="15" t="str">
        <f t="shared" si="19"/>
        <v/>
      </c>
    </row>
    <row r="1235" spans="1:34" s="15" customFormat="1" ht="45" hidden="1" customHeight="1" x14ac:dyDescent="0.3">
      <c r="A1235" s="42">
        <v>1236</v>
      </c>
      <c r="B1235" s="19"/>
      <c r="C1235" s="19"/>
      <c r="D1235" s="20"/>
      <c r="E1235" s="20"/>
      <c r="F1235" s="21"/>
      <c r="G1235" s="38"/>
      <c r="H1235" s="39"/>
      <c r="I1235" s="39"/>
      <c r="J1235" s="21"/>
      <c r="K1235" s="21"/>
      <c r="L1235" s="21"/>
      <c r="M1235" s="21"/>
      <c r="N1235" s="21"/>
      <c r="O1235" s="20"/>
      <c r="P1235" s="19"/>
      <c r="Q1235" s="39"/>
      <c r="R1235" s="19"/>
      <c r="S1235" s="21"/>
      <c r="T1235" s="21"/>
      <c r="U1235" s="39"/>
      <c r="V1235" s="21"/>
      <c r="W1235" s="54"/>
      <c r="X1235" s="23"/>
      <c r="Y1235" s="23"/>
      <c r="Z1235" s="56"/>
      <c r="AA1235" s="24"/>
      <c r="AB1235" s="19"/>
      <c r="AC1235" s="19"/>
      <c r="AD1235" s="15" t="e">
        <f ca="1">IF(AND($D1235&lt;&gt;"",COUNTIF(OFFSET(UFS!$E$2,MATCH($D1235&amp;"",UFS!$A$2:$A$175,0)-1,0,COUNTIF(UFS!$A$2:$A$175,$D1235&amp;""),1),M1235)&gt;0),"Valide","Invalide")</f>
        <v>#N/A</v>
      </c>
      <c r="AH1235" s="15" t="str">
        <f t="shared" si="19"/>
        <v/>
      </c>
    </row>
    <row r="1236" spans="1:34" s="15" customFormat="1" ht="45" hidden="1" customHeight="1" x14ac:dyDescent="0.3">
      <c r="A1236" s="42">
        <v>1237</v>
      </c>
      <c r="B1236" s="19"/>
      <c r="C1236" s="19"/>
      <c r="D1236" s="20"/>
      <c r="E1236" s="20"/>
      <c r="F1236" s="21"/>
      <c r="G1236" s="38"/>
      <c r="H1236" s="39"/>
      <c r="I1236" s="39"/>
      <c r="J1236" s="21"/>
      <c r="K1236" s="21"/>
      <c r="L1236" s="21"/>
      <c r="M1236" s="21"/>
      <c r="N1236" s="21"/>
      <c r="O1236" s="20"/>
      <c r="P1236" s="19"/>
      <c r="Q1236" s="39"/>
      <c r="R1236" s="19"/>
      <c r="S1236" s="21"/>
      <c r="T1236" s="21"/>
      <c r="U1236" s="39"/>
      <c r="V1236" s="21"/>
      <c r="W1236" s="54"/>
      <c r="X1236" s="23"/>
      <c r="Y1236" s="23"/>
      <c r="Z1236" s="56"/>
      <c r="AA1236" s="24"/>
      <c r="AB1236" s="19"/>
      <c r="AC1236" s="19"/>
      <c r="AD1236" s="15" t="e">
        <f ca="1">IF(AND($D1236&lt;&gt;"",COUNTIF(OFFSET(UFS!$E$2,MATCH($D1236&amp;"",UFS!$A$2:$A$175,0)-1,0,COUNTIF(UFS!$A$2:$A$175,$D1236&amp;""),1),M1236)&gt;0),"Valide","Invalide")</f>
        <v>#N/A</v>
      </c>
      <c r="AH1236" s="15" t="str">
        <f t="shared" si="19"/>
        <v/>
      </c>
    </row>
    <row r="1237" spans="1:34" s="15" customFormat="1" ht="45" hidden="1" customHeight="1" x14ac:dyDescent="0.3">
      <c r="A1237" s="42">
        <v>1238</v>
      </c>
      <c r="B1237" s="19"/>
      <c r="C1237" s="19"/>
      <c r="D1237" s="20"/>
      <c r="E1237" s="20"/>
      <c r="F1237" s="21"/>
      <c r="G1237" s="38"/>
      <c r="H1237" s="39"/>
      <c r="I1237" s="39"/>
      <c r="J1237" s="21"/>
      <c r="K1237" s="21"/>
      <c r="L1237" s="21"/>
      <c r="M1237" s="21"/>
      <c r="N1237" s="21"/>
      <c r="O1237" s="20"/>
      <c r="P1237" s="19"/>
      <c r="Q1237" s="39"/>
      <c r="R1237" s="19"/>
      <c r="S1237" s="21"/>
      <c r="T1237" s="21"/>
      <c r="U1237" s="39"/>
      <c r="V1237" s="21"/>
      <c r="W1237" s="54"/>
      <c r="X1237" s="23"/>
      <c r="Y1237" s="23"/>
      <c r="Z1237" s="56"/>
      <c r="AA1237" s="24"/>
      <c r="AB1237" s="19"/>
      <c r="AC1237" s="19"/>
      <c r="AD1237" s="15" t="e">
        <f ca="1">IF(AND($D1237&lt;&gt;"",COUNTIF(OFFSET(UFS!$E$2,MATCH($D1237&amp;"",UFS!$A$2:$A$175,0)-1,0,COUNTIF(UFS!$A$2:$A$175,$D1237&amp;""),1),M1237)&gt;0),"Valide","Invalide")</f>
        <v>#N/A</v>
      </c>
      <c r="AH1237" s="15" t="str">
        <f t="shared" si="19"/>
        <v/>
      </c>
    </row>
    <row r="1238" spans="1:34" s="15" customFormat="1" ht="45" hidden="1" customHeight="1" x14ac:dyDescent="0.3">
      <c r="A1238" s="42">
        <v>1239</v>
      </c>
      <c r="B1238" s="19"/>
      <c r="C1238" s="19"/>
      <c r="D1238" s="20"/>
      <c r="E1238" s="20"/>
      <c r="F1238" s="21"/>
      <c r="G1238" s="38"/>
      <c r="H1238" s="39"/>
      <c r="I1238" s="39"/>
      <c r="J1238" s="21"/>
      <c r="K1238" s="21"/>
      <c r="L1238" s="21"/>
      <c r="M1238" s="21"/>
      <c r="N1238" s="21"/>
      <c r="O1238" s="20"/>
      <c r="P1238" s="19"/>
      <c r="Q1238" s="39"/>
      <c r="R1238" s="19"/>
      <c r="S1238" s="21"/>
      <c r="T1238" s="21"/>
      <c r="U1238" s="39"/>
      <c r="V1238" s="21"/>
      <c r="W1238" s="54"/>
      <c r="X1238" s="23"/>
      <c r="Y1238" s="23"/>
      <c r="Z1238" s="56"/>
      <c r="AA1238" s="24"/>
      <c r="AB1238" s="19"/>
      <c r="AC1238" s="19"/>
      <c r="AD1238" s="15" t="e">
        <f ca="1">IF(AND($D1238&lt;&gt;"",COUNTIF(OFFSET(UFS!$E$2,MATCH($D1238&amp;"",UFS!$A$2:$A$175,0)-1,0,COUNTIF(UFS!$A$2:$A$175,$D1238&amp;""),1),M1238)&gt;0),"Valide","Invalide")</f>
        <v>#N/A</v>
      </c>
      <c r="AH1238" s="15" t="str">
        <f t="shared" si="19"/>
        <v/>
      </c>
    </row>
    <row r="1239" spans="1:34" s="15" customFormat="1" ht="45" hidden="1" customHeight="1" x14ac:dyDescent="0.3">
      <c r="A1239" s="42">
        <v>1240</v>
      </c>
      <c r="B1239" s="19"/>
      <c r="C1239" s="19"/>
      <c r="D1239" s="20"/>
      <c r="E1239" s="20"/>
      <c r="F1239" s="21"/>
      <c r="G1239" s="38"/>
      <c r="H1239" s="39"/>
      <c r="I1239" s="39"/>
      <c r="J1239" s="21"/>
      <c r="K1239" s="21"/>
      <c r="L1239" s="21"/>
      <c r="M1239" s="21"/>
      <c r="N1239" s="21"/>
      <c r="O1239" s="20"/>
      <c r="P1239" s="19"/>
      <c r="Q1239" s="39"/>
      <c r="R1239" s="19"/>
      <c r="S1239" s="21"/>
      <c r="T1239" s="21"/>
      <c r="U1239" s="39"/>
      <c r="V1239" s="21"/>
      <c r="W1239" s="54"/>
      <c r="X1239" s="23"/>
      <c r="Y1239" s="23"/>
      <c r="Z1239" s="56"/>
      <c r="AA1239" s="24"/>
      <c r="AB1239" s="19"/>
      <c r="AC1239" s="19"/>
      <c r="AD1239" s="15" t="e">
        <f ca="1">IF(AND($D1239&lt;&gt;"",COUNTIF(OFFSET(UFS!$E$2,MATCH($D1239&amp;"",UFS!$A$2:$A$175,0)-1,0,COUNTIF(UFS!$A$2:$A$175,$D1239&amp;""),1),M1239)&gt;0),"Valide","Invalide")</f>
        <v>#N/A</v>
      </c>
      <c r="AH1239" s="15" t="str">
        <f t="shared" si="19"/>
        <v/>
      </c>
    </row>
    <row r="1240" spans="1:34" s="15" customFormat="1" ht="45" hidden="1" customHeight="1" x14ac:dyDescent="0.3">
      <c r="A1240" s="42">
        <v>1241</v>
      </c>
      <c r="B1240" s="19"/>
      <c r="C1240" s="19"/>
      <c r="D1240" s="20"/>
      <c r="E1240" s="20"/>
      <c r="F1240" s="21"/>
      <c r="G1240" s="38"/>
      <c r="H1240" s="39"/>
      <c r="I1240" s="39"/>
      <c r="J1240" s="21"/>
      <c r="K1240" s="21"/>
      <c r="L1240" s="21"/>
      <c r="M1240" s="21"/>
      <c r="N1240" s="21"/>
      <c r="O1240" s="20"/>
      <c r="P1240" s="19"/>
      <c r="Q1240" s="39"/>
      <c r="R1240" s="19"/>
      <c r="S1240" s="21"/>
      <c r="T1240" s="21"/>
      <c r="U1240" s="39"/>
      <c r="V1240" s="21"/>
      <c r="W1240" s="54"/>
      <c r="X1240" s="23"/>
      <c r="Y1240" s="23"/>
      <c r="Z1240" s="56"/>
      <c r="AA1240" s="24"/>
      <c r="AB1240" s="19"/>
      <c r="AC1240" s="19"/>
      <c r="AD1240" s="15" t="e">
        <f ca="1">IF(AND($D1240&lt;&gt;"",COUNTIF(OFFSET(UFS!$E$2,MATCH($D1240&amp;"",UFS!$A$2:$A$175,0)-1,0,COUNTIF(UFS!$A$2:$A$175,$D1240&amp;""),1),M1240)&gt;0),"Valide","Invalide")</f>
        <v>#N/A</v>
      </c>
      <c r="AH1240" s="15" t="str">
        <f t="shared" si="19"/>
        <v/>
      </c>
    </row>
    <row r="1241" spans="1:34" s="15" customFormat="1" ht="45" hidden="1" customHeight="1" x14ac:dyDescent="0.3">
      <c r="A1241" s="42">
        <v>1242</v>
      </c>
      <c r="B1241" s="19"/>
      <c r="C1241" s="19"/>
      <c r="D1241" s="20"/>
      <c r="E1241" s="20"/>
      <c r="F1241" s="21"/>
      <c r="G1241" s="38"/>
      <c r="H1241" s="39"/>
      <c r="I1241" s="39"/>
      <c r="J1241" s="21"/>
      <c r="K1241" s="21"/>
      <c r="L1241" s="21"/>
      <c r="M1241" s="21"/>
      <c r="N1241" s="21"/>
      <c r="O1241" s="20"/>
      <c r="P1241" s="19"/>
      <c r="Q1241" s="39"/>
      <c r="R1241" s="19"/>
      <c r="S1241" s="21"/>
      <c r="T1241" s="21"/>
      <c r="U1241" s="39"/>
      <c r="V1241" s="21"/>
      <c r="W1241" s="54"/>
      <c r="X1241" s="23"/>
      <c r="Y1241" s="23"/>
      <c r="Z1241" s="56"/>
      <c r="AA1241" s="24"/>
      <c r="AB1241" s="19"/>
      <c r="AC1241" s="19"/>
      <c r="AD1241" s="15" t="e">
        <f ca="1">IF(AND($D1241&lt;&gt;"",COUNTIF(OFFSET(UFS!$E$2,MATCH($D1241&amp;"",UFS!$A$2:$A$175,0)-1,0,COUNTIF(UFS!$A$2:$A$175,$D1241&amp;""),1),M1241)&gt;0),"Valide","Invalide")</f>
        <v>#N/A</v>
      </c>
      <c r="AH1241" s="15" t="str">
        <f t="shared" si="19"/>
        <v/>
      </c>
    </row>
    <row r="1242" spans="1:34" s="15" customFormat="1" ht="45" hidden="1" customHeight="1" x14ac:dyDescent="0.3">
      <c r="A1242" s="42">
        <v>1243</v>
      </c>
      <c r="B1242" s="19"/>
      <c r="C1242" s="19"/>
      <c r="D1242" s="20"/>
      <c r="E1242" s="20"/>
      <c r="F1242" s="21"/>
      <c r="G1242" s="38"/>
      <c r="H1242" s="39"/>
      <c r="I1242" s="39"/>
      <c r="J1242" s="21"/>
      <c r="K1242" s="21"/>
      <c r="L1242" s="21"/>
      <c r="M1242" s="21"/>
      <c r="N1242" s="21"/>
      <c r="O1242" s="20"/>
      <c r="P1242" s="19"/>
      <c r="Q1242" s="39"/>
      <c r="R1242" s="19"/>
      <c r="S1242" s="21"/>
      <c r="T1242" s="21"/>
      <c r="U1242" s="39"/>
      <c r="V1242" s="21"/>
      <c r="W1242" s="54"/>
      <c r="X1242" s="23"/>
      <c r="Y1242" s="23"/>
      <c r="Z1242" s="56"/>
      <c r="AA1242" s="24"/>
      <c r="AB1242" s="19"/>
      <c r="AC1242" s="19"/>
      <c r="AD1242" s="15" t="e">
        <f ca="1">IF(AND($D1242&lt;&gt;"",COUNTIF(OFFSET(UFS!$E$2,MATCH($D1242&amp;"",UFS!$A$2:$A$175,0)-1,0,COUNTIF(UFS!$A$2:$A$175,$D1242&amp;""),1),M1242)&gt;0),"Valide","Invalide")</f>
        <v>#N/A</v>
      </c>
      <c r="AH1242" s="15" t="str">
        <f t="shared" si="19"/>
        <v/>
      </c>
    </row>
    <row r="1243" spans="1:34" s="15" customFormat="1" ht="45" hidden="1" customHeight="1" x14ac:dyDescent="0.3">
      <c r="A1243" s="42">
        <v>1244</v>
      </c>
      <c r="B1243" s="19"/>
      <c r="C1243" s="19"/>
      <c r="D1243" s="20"/>
      <c r="E1243" s="20"/>
      <c r="F1243" s="21"/>
      <c r="G1243" s="38"/>
      <c r="H1243" s="39"/>
      <c r="I1243" s="39"/>
      <c r="J1243" s="21"/>
      <c r="K1243" s="21"/>
      <c r="L1243" s="21"/>
      <c r="M1243" s="21"/>
      <c r="N1243" s="21"/>
      <c r="O1243" s="20"/>
      <c r="P1243" s="19"/>
      <c r="Q1243" s="39"/>
      <c r="R1243" s="19"/>
      <c r="S1243" s="21"/>
      <c r="T1243" s="21"/>
      <c r="U1243" s="39"/>
      <c r="V1243" s="21"/>
      <c r="W1243" s="54"/>
      <c r="X1243" s="23"/>
      <c r="Y1243" s="23"/>
      <c r="Z1243" s="56"/>
      <c r="AA1243" s="24"/>
      <c r="AB1243" s="19"/>
      <c r="AC1243" s="19"/>
      <c r="AD1243" s="15" t="e">
        <f ca="1">IF(AND($D1243&lt;&gt;"",COUNTIF(OFFSET(UFS!$E$2,MATCH($D1243&amp;"",UFS!$A$2:$A$175,0)-1,0,COUNTIF(UFS!$A$2:$A$175,$D1243&amp;""),1),M1243)&gt;0),"Valide","Invalide")</f>
        <v>#N/A</v>
      </c>
      <c r="AH1243" s="15" t="str">
        <f t="shared" si="19"/>
        <v/>
      </c>
    </row>
    <row r="1244" spans="1:34" s="15" customFormat="1" ht="45" hidden="1" customHeight="1" x14ac:dyDescent="0.3">
      <c r="A1244" s="42">
        <v>1245</v>
      </c>
      <c r="B1244" s="19"/>
      <c r="C1244" s="19"/>
      <c r="D1244" s="20"/>
      <c r="E1244" s="20"/>
      <c r="F1244" s="21"/>
      <c r="G1244" s="38"/>
      <c r="H1244" s="39"/>
      <c r="I1244" s="39"/>
      <c r="J1244" s="21"/>
      <c r="K1244" s="21"/>
      <c r="L1244" s="21"/>
      <c r="M1244" s="21"/>
      <c r="N1244" s="21"/>
      <c r="O1244" s="20"/>
      <c r="P1244" s="19"/>
      <c r="Q1244" s="39"/>
      <c r="R1244" s="19"/>
      <c r="S1244" s="21"/>
      <c r="T1244" s="21"/>
      <c r="U1244" s="39"/>
      <c r="V1244" s="21"/>
      <c r="W1244" s="54"/>
      <c r="X1244" s="23"/>
      <c r="Y1244" s="23"/>
      <c r="Z1244" s="56"/>
      <c r="AA1244" s="24"/>
      <c r="AB1244" s="19"/>
      <c r="AC1244" s="19"/>
      <c r="AD1244" s="15" t="e">
        <f ca="1">IF(AND($D1244&lt;&gt;"",COUNTIF(OFFSET(UFS!$E$2,MATCH($D1244&amp;"",UFS!$A$2:$A$175,0)-1,0,COUNTIF(UFS!$A$2:$A$175,$D1244&amp;""),1),M1244)&gt;0),"Valide","Invalide")</f>
        <v>#N/A</v>
      </c>
      <c r="AH1244" s="15" t="str">
        <f t="shared" si="19"/>
        <v/>
      </c>
    </row>
    <row r="1245" spans="1:34" s="15" customFormat="1" ht="45" hidden="1" customHeight="1" x14ac:dyDescent="0.3">
      <c r="A1245" s="42">
        <v>1246</v>
      </c>
      <c r="B1245" s="19"/>
      <c r="C1245" s="19"/>
      <c r="D1245" s="20"/>
      <c r="E1245" s="20"/>
      <c r="F1245" s="21"/>
      <c r="G1245" s="38"/>
      <c r="H1245" s="39"/>
      <c r="I1245" s="39"/>
      <c r="J1245" s="21"/>
      <c r="K1245" s="21"/>
      <c r="L1245" s="21"/>
      <c r="M1245" s="21"/>
      <c r="N1245" s="21"/>
      <c r="O1245" s="20"/>
      <c r="P1245" s="19"/>
      <c r="Q1245" s="39"/>
      <c r="R1245" s="19"/>
      <c r="S1245" s="21"/>
      <c r="T1245" s="21"/>
      <c r="U1245" s="39"/>
      <c r="V1245" s="21"/>
      <c r="W1245" s="54"/>
      <c r="X1245" s="23"/>
      <c r="Y1245" s="23"/>
      <c r="Z1245" s="56"/>
      <c r="AA1245" s="24"/>
      <c r="AB1245" s="19"/>
      <c r="AC1245" s="19"/>
      <c r="AD1245" s="15" t="e">
        <f ca="1">IF(AND($D1245&lt;&gt;"",COUNTIF(OFFSET(UFS!$E$2,MATCH($D1245&amp;"",UFS!$A$2:$A$175,0)-1,0,COUNTIF(UFS!$A$2:$A$175,$D1245&amp;""),1),M1245)&gt;0),"Valide","Invalide")</f>
        <v>#N/A</v>
      </c>
      <c r="AH1245" s="15" t="str">
        <f t="shared" si="19"/>
        <v/>
      </c>
    </row>
    <row r="1246" spans="1:34" s="15" customFormat="1" ht="45" hidden="1" customHeight="1" x14ac:dyDescent="0.3">
      <c r="A1246" s="42">
        <v>1247</v>
      </c>
      <c r="B1246" s="19"/>
      <c r="C1246" s="19"/>
      <c r="D1246" s="20"/>
      <c r="E1246" s="20"/>
      <c r="F1246" s="21"/>
      <c r="G1246" s="38"/>
      <c r="H1246" s="39"/>
      <c r="I1246" s="39"/>
      <c r="J1246" s="21"/>
      <c r="K1246" s="21"/>
      <c r="L1246" s="21"/>
      <c r="M1246" s="21"/>
      <c r="N1246" s="21"/>
      <c r="O1246" s="20"/>
      <c r="P1246" s="19"/>
      <c r="Q1246" s="39"/>
      <c r="R1246" s="19"/>
      <c r="S1246" s="21"/>
      <c r="T1246" s="21"/>
      <c r="U1246" s="39"/>
      <c r="V1246" s="21"/>
      <c r="W1246" s="54"/>
      <c r="X1246" s="23"/>
      <c r="Y1246" s="23"/>
      <c r="Z1246" s="56"/>
      <c r="AA1246" s="24"/>
      <c r="AB1246" s="19"/>
      <c r="AC1246" s="19"/>
      <c r="AD1246" s="15" t="e">
        <f ca="1">IF(AND($D1246&lt;&gt;"",COUNTIF(OFFSET(UFS!$E$2,MATCH($D1246&amp;"",UFS!$A$2:$A$175,0)-1,0,COUNTIF(UFS!$A$2:$A$175,$D1246&amp;""),1),M1246)&gt;0),"Valide","Invalide")</f>
        <v>#N/A</v>
      </c>
      <c r="AH1246" s="15" t="str">
        <f t="shared" si="19"/>
        <v/>
      </c>
    </row>
    <row r="1247" spans="1:34" s="15" customFormat="1" ht="45" hidden="1" customHeight="1" x14ac:dyDescent="0.3">
      <c r="A1247" s="42">
        <v>1248</v>
      </c>
      <c r="B1247" s="19"/>
      <c r="C1247" s="19"/>
      <c r="D1247" s="20"/>
      <c r="E1247" s="20"/>
      <c r="F1247" s="21"/>
      <c r="G1247" s="38"/>
      <c r="H1247" s="39"/>
      <c r="I1247" s="39"/>
      <c r="J1247" s="21"/>
      <c r="K1247" s="21"/>
      <c r="L1247" s="21"/>
      <c r="M1247" s="21"/>
      <c r="N1247" s="21"/>
      <c r="O1247" s="20"/>
      <c r="P1247" s="19"/>
      <c r="Q1247" s="39"/>
      <c r="R1247" s="19"/>
      <c r="S1247" s="21"/>
      <c r="T1247" s="21"/>
      <c r="U1247" s="39"/>
      <c r="V1247" s="21"/>
      <c r="W1247" s="54"/>
      <c r="X1247" s="23"/>
      <c r="Y1247" s="23"/>
      <c r="Z1247" s="56"/>
      <c r="AA1247" s="24"/>
      <c r="AB1247" s="19"/>
      <c r="AC1247" s="19"/>
      <c r="AD1247" s="15" t="e">
        <f ca="1">IF(AND($D1247&lt;&gt;"",COUNTIF(OFFSET(UFS!$E$2,MATCH($D1247&amp;"",UFS!$A$2:$A$175,0)-1,0,COUNTIF(UFS!$A$2:$A$175,$D1247&amp;""),1),M1247)&gt;0),"Valide","Invalide")</f>
        <v>#N/A</v>
      </c>
      <c r="AH1247" s="15" t="str">
        <f t="shared" si="19"/>
        <v/>
      </c>
    </row>
    <row r="1248" spans="1:34" s="15" customFormat="1" ht="45" hidden="1" customHeight="1" x14ac:dyDescent="0.3">
      <c r="A1248" s="42">
        <v>1249</v>
      </c>
      <c r="B1248" s="19"/>
      <c r="C1248" s="19"/>
      <c r="D1248" s="20"/>
      <c r="E1248" s="20"/>
      <c r="F1248" s="21"/>
      <c r="G1248" s="38"/>
      <c r="H1248" s="39"/>
      <c r="I1248" s="39"/>
      <c r="J1248" s="21"/>
      <c r="K1248" s="21"/>
      <c r="L1248" s="21"/>
      <c r="M1248" s="21"/>
      <c r="N1248" s="21"/>
      <c r="O1248" s="20"/>
      <c r="P1248" s="19"/>
      <c r="Q1248" s="39"/>
      <c r="R1248" s="19"/>
      <c r="S1248" s="21"/>
      <c r="T1248" s="21"/>
      <c r="U1248" s="39"/>
      <c r="V1248" s="21"/>
      <c r="W1248" s="54"/>
      <c r="X1248" s="23"/>
      <c r="Y1248" s="23"/>
      <c r="Z1248" s="56"/>
      <c r="AA1248" s="24"/>
      <c r="AB1248" s="19"/>
      <c r="AC1248" s="19"/>
      <c r="AD1248" s="15" t="e">
        <f ca="1">IF(AND($D1248&lt;&gt;"",COUNTIF(OFFSET(UFS!$E$2,MATCH($D1248&amp;"",UFS!$A$2:$A$175,0)-1,0,COUNTIF(UFS!$A$2:$A$175,$D1248&amp;""),1),M1248)&gt;0),"Valide","Invalide")</f>
        <v>#N/A</v>
      </c>
      <c r="AH1248" s="15" t="str">
        <f t="shared" si="19"/>
        <v/>
      </c>
    </row>
    <row r="1249" spans="1:34" s="15" customFormat="1" ht="45" hidden="1" customHeight="1" x14ac:dyDescent="0.3">
      <c r="A1249" s="42">
        <v>1250</v>
      </c>
      <c r="B1249" s="19"/>
      <c r="C1249" s="19"/>
      <c r="D1249" s="20"/>
      <c r="E1249" s="20"/>
      <c r="F1249" s="21"/>
      <c r="G1249" s="38"/>
      <c r="H1249" s="39"/>
      <c r="I1249" s="39"/>
      <c r="J1249" s="21"/>
      <c r="K1249" s="21"/>
      <c r="L1249" s="21"/>
      <c r="M1249" s="21"/>
      <c r="N1249" s="21"/>
      <c r="O1249" s="20"/>
      <c r="P1249" s="19"/>
      <c r="Q1249" s="39"/>
      <c r="R1249" s="19"/>
      <c r="S1249" s="21"/>
      <c r="T1249" s="21"/>
      <c r="U1249" s="39"/>
      <c r="V1249" s="21"/>
      <c r="W1249" s="54"/>
      <c r="X1249" s="23"/>
      <c r="Y1249" s="23"/>
      <c r="Z1249" s="56"/>
      <c r="AA1249" s="24"/>
      <c r="AB1249" s="19"/>
      <c r="AC1249" s="19"/>
      <c r="AD1249" s="15" t="e">
        <f ca="1">IF(AND($D1249&lt;&gt;"",COUNTIF(OFFSET(UFS!$E$2,MATCH($D1249&amp;"",UFS!$A$2:$A$175,0)-1,0,COUNTIF(UFS!$A$2:$A$175,$D1249&amp;""),1),M1249)&gt;0),"Valide","Invalide")</f>
        <v>#N/A</v>
      </c>
      <c r="AH1249" s="15" t="str">
        <f t="shared" si="19"/>
        <v/>
      </c>
    </row>
    <row r="1250" spans="1:34" s="15" customFormat="1" ht="45" hidden="1" customHeight="1" x14ac:dyDescent="0.3">
      <c r="A1250" s="42">
        <v>1251</v>
      </c>
      <c r="B1250" s="19"/>
      <c r="C1250" s="19"/>
      <c r="D1250" s="20"/>
      <c r="E1250" s="20"/>
      <c r="F1250" s="21"/>
      <c r="G1250" s="38"/>
      <c r="H1250" s="39"/>
      <c r="I1250" s="39"/>
      <c r="J1250" s="21"/>
      <c r="K1250" s="21"/>
      <c r="L1250" s="21"/>
      <c r="M1250" s="21"/>
      <c r="N1250" s="21"/>
      <c r="O1250" s="20"/>
      <c r="P1250" s="19"/>
      <c r="Q1250" s="39"/>
      <c r="R1250" s="19"/>
      <c r="S1250" s="21"/>
      <c r="T1250" s="21"/>
      <c r="U1250" s="39"/>
      <c r="V1250" s="21"/>
      <c r="W1250" s="54"/>
      <c r="X1250" s="23"/>
      <c r="Y1250" s="23"/>
      <c r="Z1250" s="56"/>
      <c r="AA1250" s="24"/>
      <c r="AB1250" s="19"/>
      <c r="AC1250" s="19"/>
      <c r="AD1250" s="15" t="e">
        <f ca="1">IF(AND($D1250&lt;&gt;"",COUNTIF(OFFSET(UFS!$E$2,MATCH($D1250&amp;"",UFS!$A$2:$A$175,0)-1,0,COUNTIF(UFS!$A$2:$A$175,$D1250&amp;""),1),M1250)&gt;0),"Valide","Invalide")</f>
        <v>#N/A</v>
      </c>
      <c r="AH1250" s="15" t="str">
        <f t="shared" si="19"/>
        <v/>
      </c>
    </row>
    <row r="1251" spans="1:34" s="15" customFormat="1" ht="45" hidden="1" customHeight="1" x14ac:dyDescent="0.3">
      <c r="A1251" s="42">
        <v>1252</v>
      </c>
      <c r="B1251" s="19"/>
      <c r="C1251" s="19"/>
      <c r="D1251" s="20"/>
      <c r="E1251" s="20"/>
      <c r="F1251" s="21"/>
      <c r="G1251" s="38"/>
      <c r="H1251" s="39"/>
      <c r="I1251" s="39"/>
      <c r="J1251" s="21"/>
      <c r="K1251" s="21"/>
      <c r="L1251" s="21"/>
      <c r="M1251" s="21"/>
      <c r="N1251" s="21"/>
      <c r="O1251" s="20"/>
      <c r="P1251" s="19"/>
      <c r="Q1251" s="39"/>
      <c r="R1251" s="19"/>
      <c r="S1251" s="21"/>
      <c r="T1251" s="21"/>
      <c r="U1251" s="39"/>
      <c r="V1251" s="21"/>
      <c r="W1251" s="54"/>
      <c r="X1251" s="23"/>
      <c r="Y1251" s="23"/>
      <c r="Z1251" s="56"/>
      <c r="AA1251" s="24"/>
      <c r="AB1251" s="19"/>
      <c r="AC1251" s="19"/>
      <c r="AD1251" s="15" t="e">
        <f ca="1">IF(AND($D1251&lt;&gt;"",COUNTIF(OFFSET(UFS!$E$2,MATCH($D1251&amp;"",UFS!$A$2:$A$175,0)-1,0,COUNTIF(UFS!$A$2:$A$175,$D1251&amp;""),1),M1251)&gt;0),"Valide","Invalide")</f>
        <v>#N/A</v>
      </c>
      <c r="AH1251" s="15" t="str">
        <f t="shared" si="19"/>
        <v/>
      </c>
    </row>
    <row r="1252" spans="1:34" s="15" customFormat="1" ht="45" hidden="1" customHeight="1" x14ac:dyDescent="0.3">
      <c r="A1252" s="42">
        <v>1253</v>
      </c>
      <c r="B1252" s="19"/>
      <c r="C1252" s="19"/>
      <c r="D1252" s="20"/>
      <c r="E1252" s="20"/>
      <c r="F1252" s="21"/>
      <c r="G1252" s="38"/>
      <c r="H1252" s="39"/>
      <c r="I1252" s="39"/>
      <c r="J1252" s="21"/>
      <c r="K1252" s="21"/>
      <c r="L1252" s="21"/>
      <c r="M1252" s="21"/>
      <c r="N1252" s="21"/>
      <c r="O1252" s="20"/>
      <c r="P1252" s="19"/>
      <c r="Q1252" s="39"/>
      <c r="R1252" s="19"/>
      <c r="S1252" s="21"/>
      <c r="T1252" s="21"/>
      <c r="U1252" s="39"/>
      <c r="V1252" s="21"/>
      <c r="W1252" s="54"/>
      <c r="X1252" s="23"/>
      <c r="Y1252" s="23"/>
      <c r="Z1252" s="56"/>
      <c r="AA1252" s="24"/>
      <c r="AB1252" s="19"/>
      <c r="AC1252" s="19"/>
      <c r="AD1252" s="15" t="e">
        <f ca="1">IF(AND($D1252&lt;&gt;"",COUNTIF(OFFSET(UFS!$E$2,MATCH($D1252&amp;"",UFS!$A$2:$A$175,0)-1,0,COUNTIF(UFS!$A$2:$A$175,$D1252&amp;""),1),M1252)&gt;0),"Valide","Invalide")</f>
        <v>#N/A</v>
      </c>
      <c r="AH1252" s="15" t="str">
        <f t="shared" si="19"/>
        <v/>
      </c>
    </row>
    <row r="1253" spans="1:34" s="15" customFormat="1" ht="45" hidden="1" customHeight="1" x14ac:dyDescent="0.3">
      <c r="A1253" s="42">
        <v>1254</v>
      </c>
      <c r="B1253" s="19"/>
      <c r="C1253" s="19"/>
      <c r="D1253" s="20"/>
      <c r="E1253" s="20"/>
      <c r="F1253" s="21"/>
      <c r="G1253" s="38"/>
      <c r="H1253" s="39"/>
      <c r="I1253" s="39"/>
      <c r="J1253" s="21"/>
      <c r="K1253" s="21"/>
      <c r="L1253" s="21"/>
      <c r="M1253" s="21"/>
      <c r="N1253" s="21"/>
      <c r="O1253" s="20"/>
      <c r="P1253" s="19"/>
      <c r="Q1253" s="39"/>
      <c r="R1253" s="19"/>
      <c r="S1253" s="21"/>
      <c r="T1253" s="21"/>
      <c r="U1253" s="39"/>
      <c r="V1253" s="21"/>
      <c r="W1253" s="54"/>
      <c r="X1253" s="23"/>
      <c r="Y1253" s="23"/>
      <c r="Z1253" s="56"/>
      <c r="AA1253" s="24"/>
      <c r="AB1253" s="19"/>
      <c r="AC1253" s="19"/>
      <c r="AD1253" s="15" t="e">
        <f ca="1">IF(AND($D1253&lt;&gt;"",COUNTIF(OFFSET(UFS!$E$2,MATCH($D1253&amp;"",UFS!$A$2:$A$175,0)-1,0,COUNTIF(UFS!$A$2:$A$175,$D1253&amp;""),1),M1253)&gt;0),"Valide","Invalide")</f>
        <v>#N/A</v>
      </c>
      <c r="AH1253" s="15" t="str">
        <f t="shared" si="19"/>
        <v/>
      </c>
    </row>
    <row r="1254" spans="1:34" s="15" customFormat="1" ht="45" hidden="1" customHeight="1" x14ac:dyDescent="0.3">
      <c r="A1254" s="42">
        <v>1255</v>
      </c>
      <c r="B1254" s="19"/>
      <c r="C1254" s="19"/>
      <c r="D1254" s="20"/>
      <c r="E1254" s="20"/>
      <c r="F1254" s="21"/>
      <c r="G1254" s="38"/>
      <c r="H1254" s="39"/>
      <c r="I1254" s="39"/>
      <c r="J1254" s="21"/>
      <c r="K1254" s="21"/>
      <c r="L1254" s="21"/>
      <c r="M1254" s="21"/>
      <c r="N1254" s="21"/>
      <c r="O1254" s="20"/>
      <c r="P1254" s="19"/>
      <c r="Q1254" s="39"/>
      <c r="R1254" s="19"/>
      <c r="S1254" s="21"/>
      <c r="T1254" s="21"/>
      <c r="U1254" s="39"/>
      <c r="V1254" s="21"/>
      <c r="W1254" s="54"/>
      <c r="X1254" s="23"/>
      <c r="Y1254" s="23"/>
      <c r="Z1254" s="56"/>
      <c r="AA1254" s="24"/>
      <c r="AB1254" s="19"/>
      <c r="AC1254" s="19"/>
      <c r="AD1254" s="15" t="e">
        <f ca="1">IF(AND($D1254&lt;&gt;"",COUNTIF(OFFSET(UFS!$E$2,MATCH($D1254&amp;"",UFS!$A$2:$A$175,0)-1,0,COUNTIF(UFS!$A$2:$A$175,$D1254&amp;""),1),M1254)&gt;0),"Valide","Invalide")</f>
        <v>#N/A</v>
      </c>
      <c r="AH1254" s="15" t="str">
        <f t="shared" si="19"/>
        <v/>
      </c>
    </row>
    <row r="1255" spans="1:34" s="15" customFormat="1" ht="45" hidden="1" customHeight="1" x14ac:dyDescent="0.3">
      <c r="A1255" s="42">
        <v>1256</v>
      </c>
      <c r="B1255" s="19"/>
      <c r="C1255" s="19"/>
      <c r="D1255" s="20"/>
      <c r="E1255" s="20"/>
      <c r="F1255" s="21"/>
      <c r="G1255" s="38"/>
      <c r="H1255" s="39"/>
      <c r="I1255" s="39"/>
      <c r="J1255" s="21"/>
      <c r="K1255" s="21"/>
      <c r="L1255" s="21"/>
      <c r="M1255" s="21"/>
      <c r="N1255" s="21"/>
      <c r="O1255" s="20"/>
      <c r="P1255" s="19"/>
      <c r="Q1255" s="39"/>
      <c r="R1255" s="19"/>
      <c r="S1255" s="21"/>
      <c r="T1255" s="21"/>
      <c r="U1255" s="39"/>
      <c r="V1255" s="21"/>
      <c r="W1255" s="54"/>
      <c r="X1255" s="23"/>
      <c r="Y1255" s="23"/>
      <c r="Z1255" s="56"/>
      <c r="AA1255" s="24"/>
      <c r="AB1255" s="19"/>
      <c r="AC1255" s="19"/>
      <c r="AD1255" s="15" t="e">
        <f ca="1">IF(AND($D1255&lt;&gt;"",COUNTIF(OFFSET(UFS!$E$2,MATCH($D1255&amp;"",UFS!$A$2:$A$175,0)-1,0,COUNTIF(UFS!$A$2:$A$175,$D1255&amp;""),1),M1255)&gt;0),"Valide","Invalide")</f>
        <v>#N/A</v>
      </c>
      <c r="AH1255" s="15" t="str">
        <f t="shared" si="19"/>
        <v/>
      </c>
    </row>
    <row r="1256" spans="1:34" s="15" customFormat="1" ht="45" hidden="1" customHeight="1" x14ac:dyDescent="0.3">
      <c r="A1256" s="42">
        <v>1257</v>
      </c>
      <c r="B1256" s="19"/>
      <c r="C1256" s="19"/>
      <c r="D1256" s="20"/>
      <c r="E1256" s="20"/>
      <c r="F1256" s="21"/>
      <c r="G1256" s="38"/>
      <c r="H1256" s="39"/>
      <c r="I1256" s="39"/>
      <c r="J1256" s="21"/>
      <c r="K1256" s="21"/>
      <c r="L1256" s="21"/>
      <c r="M1256" s="21"/>
      <c r="N1256" s="21"/>
      <c r="O1256" s="20"/>
      <c r="P1256" s="19"/>
      <c r="Q1256" s="39"/>
      <c r="R1256" s="19"/>
      <c r="S1256" s="21"/>
      <c r="T1256" s="21"/>
      <c r="U1256" s="39"/>
      <c r="V1256" s="21"/>
      <c r="W1256" s="54"/>
      <c r="X1256" s="23"/>
      <c r="Y1256" s="23"/>
      <c r="Z1256" s="56"/>
      <c r="AA1256" s="24"/>
      <c r="AB1256" s="19"/>
      <c r="AC1256" s="19"/>
      <c r="AD1256" s="15" t="e">
        <f ca="1">IF(AND($D1256&lt;&gt;"",COUNTIF(OFFSET(UFS!$E$2,MATCH($D1256&amp;"",UFS!$A$2:$A$175,0)-1,0,COUNTIF(UFS!$A$2:$A$175,$D1256&amp;""),1),M1256)&gt;0),"Valide","Invalide")</f>
        <v>#N/A</v>
      </c>
      <c r="AH1256" s="15" t="str">
        <f t="shared" si="19"/>
        <v/>
      </c>
    </row>
    <row r="1257" spans="1:34" s="15" customFormat="1" ht="45" hidden="1" customHeight="1" x14ac:dyDescent="0.3">
      <c r="A1257" s="42">
        <v>1258</v>
      </c>
      <c r="B1257" s="19"/>
      <c r="C1257" s="19"/>
      <c r="D1257" s="20"/>
      <c r="E1257" s="20"/>
      <c r="F1257" s="21"/>
      <c r="G1257" s="38"/>
      <c r="H1257" s="39"/>
      <c r="I1257" s="39"/>
      <c r="J1257" s="21"/>
      <c r="K1257" s="21"/>
      <c r="L1257" s="21"/>
      <c r="M1257" s="21"/>
      <c r="N1257" s="21"/>
      <c r="O1257" s="20"/>
      <c r="P1257" s="19"/>
      <c r="Q1257" s="39"/>
      <c r="R1257" s="19"/>
      <c r="S1257" s="21"/>
      <c r="T1257" s="21"/>
      <c r="U1257" s="39"/>
      <c r="V1257" s="21"/>
      <c r="W1257" s="54"/>
      <c r="X1257" s="23"/>
      <c r="Y1257" s="23"/>
      <c r="Z1257" s="56"/>
      <c r="AA1257" s="24"/>
      <c r="AB1257" s="19"/>
      <c r="AC1257" s="19"/>
      <c r="AD1257" s="15" t="e">
        <f ca="1">IF(AND($D1257&lt;&gt;"",COUNTIF(OFFSET(UFS!$E$2,MATCH($D1257&amp;"",UFS!$A$2:$A$175,0)-1,0,COUNTIF(UFS!$A$2:$A$175,$D1257&amp;""),1),M1257)&gt;0),"Valide","Invalide")</f>
        <v>#N/A</v>
      </c>
      <c r="AH1257" s="15" t="str">
        <f t="shared" si="19"/>
        <v/>
      </c>
    </row>
    <row r="1258" spans="1:34" s="15" customFormat="1" ht="45" hidden="1" customHeight="1" x14ac:dyDescent="0.3">
      <c r="A1258" s="42">
        <v>1259</v>
      </c>
      <c r="B1258" s="19"/>
      <c r="C1258" s="19"/>
      <c r="D1258" s="20"/>
      <c r="E1258" s="20"/>
      <c r="F1258" s="21"/>
      <c r="G1258" s="38"/>
      <c r="H1258" s="39"/>
      <c r="I1258" s="39"/>
      <c r="J1258" s="21"/>
      <c r="K1258" s="21"/>
      <c r="L1258" s="21"/>
      <c r="M1258" s="21"/>
      <c r="N1258" s="21"/>
      <c r="O1258" s="20"/>
      <c r="P1258" s="19"/>
      <c r="Q1258" s="39"/>
      <c r="R1258" s="19"/>
      <c r="S1258" s="21"/>
      <c r="T1258" s="21"/>
      <c r="U1258" s="39"/>
      <c r="V1258" s="21"/>
      <c r="W1258" s="54"/>
      <c r="X1258" s="23"/>
      <c r="Y1258" s="23"/>
      <c r="Z1258" s="56"/>
      <c r="AA1258" s="24"/>
      <c r="AB1258" s="19"/>
      <c r="AC1258" s="19"/>
      <c r="AD1258" s="15" t="e">
        <f ca="1">IF(AND($D1258&lt;&gt;"",COUNTIF(OFFSET(UFS!$E$2,MATCH($D1258&amp;"",UFS!$A$2:$A$175,0)-1,0,COUNTIF(UFS!$A$2:$A$175,$D1258&amp;""),1),M1258)&gt;0),"Valide","Invalide")</f>
        <v>#N/A</v>
      </c>
      <c r="AH1258" s="15" t="str">
        <f t="shared" si="19"/>
        <v/>
      </c>
    </row>
    <row r="1259" spans="1:34" s="15" customFormat="1" ht="45" hidden="1" customHeight="1" x14ac:dyDescent="0.3">
      <c r="A1259" s="42">
        <v>1260</v>
      </c>
      <c r="B1259" s="19"/>
      <c r="C1259" s="19"/>
      <c r="D1259" s="20"/>
      <c r="E1259" s="20"/>
      <c r="F1259" s="21"/>
      <c r="G1259" s="38"/>
      <c r="H1259" s="39"/>
      <c r="I1259" s="39"/>
      <c r="J1259" s="21"/>
      <c r="K1259" s="21"/>
      <c r="L1259" s="21"/>
      <c r="M1259" s="21"/>
      <c r="N1259" s="21"/>
      <c r="O1259" s="20"/>
      <c r="P1259" s="19"/>
      <c r="Q1259" s="39"/>
      <c r="R1259" s="19"/>
      <c r="S1259" s="21"/>
      <c r="T1259" s="21"/>
      <c r="U1259" s="39"/>
      <c r="V1259" s="21"/>
      <c r="W1259" s="54"/>
      <c r="X1259" s="23"/>
      <c r="Y1259" s="23"/>
      <c r="Z1259" s="56"/>
      <c r="AA1259" s="24"/>
      <c r="AB1259" s="19"/>
      <c r="AC1259" s="19"/>
      <c r="AD1259" s="15" t="e">
        <f ca="1">IF(AND($D1259&lt;&gt;"",COUNTIF(OFFSET(UFS!$E$2,MATCH($D1259&amp;"",UFS!$A$2:$A$175,0)-1,0,COUNTIF(UFS!$A$2:$A$175,$D1259&amp;""),1),M1259)&gt;0),"Valide","Invalide")</f>
        <v>#N/A</v>
      </c>
      <c r="AH1259" s="15" t="str">
        <f t="shared" si="19"/>
        <v/>
      </c>
    </row>
    <row r="1260" spans="1:34" s="15" customFormat="1" ht="45" hidden="1" customHeight="1" x14ac:dyDescent="0.3">
      <c r="A1260" s="42">
        <v>1261</v>
      </c>
      <c r="B1260" s="19"/>
      <c r="C1260" s="19"/>
      <c r="D1260" s="20"/>
      <c r="E1260" s="20"/>
      <c r="F1260" s="21"/>
      <c r="G1260" s="38"/>
      <c r="H1260" s="39"/>
      <c r="I1260" s="39"/>
      <c r="J1260" s="21"/>
      <c r="K1260" s="21"/>
      <c r="L1260" s="21"/>
      <c r="M1260" s="21"/>
      <c r="N1260" s="21"/>
      <c r="O1260" s="20"/>
      <c r="P1260" s="19"/>
      <c r="Q1260" s="39"/>
      <c r="R1260" s="19"/>
      <c r="S1260" s="21"/>
      <c r="T1260" s="21"/>
      <c r="U1260" s="39"/>
      <c r="V1260" s="21"/>
      <c r="W1260" s="54"/>
      <c r="X1260" s="23"/>
      <c r="Y1260" s="23"/>
      <c r="Z1260" s="56"/>
      <c r="AA1260" s="24"/>
      <c r="AB1260" s="19"/>
      <c r="AC1260" s="19"/>
      <c r="AD1260" s="15" t="e">
        <f ca="1">IF(AND($D1260&lt;&gt;"",COUNTIF(OFFSET(UFS!$E$2,MATCH($D1260&amp;"",UFS!$A$2:$A$175,0)-1,0,COUNTIF(UFS!$A$2:$A$175,$D1260&amp;""),1),M1260)&gt;0),"Valide","Invalide")</f>
        <v>#N/A</v>
      </c>
      <c r="AH1260" s="15" t="str">
        <f t="shared" si="19"/>
        <v/>
      </c>
    </row>
    <row r="1261" spans="1:34" s="15" customFormat="1" ht="45" hidden="1" customHeight="1" x14ac:dyDescent="0.3">
      <c r="A1261" s="42">
        <v>1262</v>
      </c>
      <c r="B1261" s="19"/>
      <c r="C1261" s="19"/>
      <c r="D1261" s="20"/>
      <c r="E1261" s="20"/>
      <c r="F1261" s="21"/>
      <c r="G1261" s="38"/>
      <c r="H1261" s="39"/>
      <c r="I1261" s="39"/>
      <c r="J1261" s="21"/>
      <c r="K1261" s="21"/>
      <c r="L1261" s="21"/>
      <c r="M1261" s="21"/>
      <c r="N1261" s="21"/>
      <c r="O1261" s="20"/>
      <c r="P1261" s="19"/>
      <c r="Q1261" s="39"/>
      <c r="R1261" s="19"/>
      <c r="S1261" s="21"/>
      <c r="T1261" s="21"/>
      <c r="U1261" s="39"/>
      <c r="V1261" s="21"/>
      <c r="W1261" s="54"/>
      <c r="X1261" s="23"/>
      <c r="Y1261" s="23"/>
      <c r="Z1261" s="56"/>
      <c r="AA1261" s="24"/>
      <c r="AB1261" s="19"/>
      <c r="AC1261" s="19"/>
      <c r="AD1261" s="15" t="e">
        <f ca="1">IF(AND($D1261&lt;&gt;"",COUNTIF(OFFSET(UFS!$E$2,MATCH($D1261&amp;"",UFS!$A$2:$A$175,0)-1,0,COUNTIF(UFS!$A$2:$A$175,$D1261&amp;""),1),M1261)&gt;0),"Valide","Invalide")</f>
        <v>#N/A</v>
      </c>
      <c r="AH1261" s="15" t="str">
        <f t="shared" si="19"/>
        <v/>
      </c>
    </row>
    <row r="1262" spans="1:34" s="15" customFormat="1" ht="45" hidden="1" customHeight="1" x14ac:dyDescent="0.3">
      <c r="A1262" s="42">
        <v>1263</v>
      </c>
      <c r="B1262" s="19"/>
      <c r="C1262" s="19"/>
      <c r="D1262" s="20"/>
      <c r="E1262" s="20"/>
      <c r="F1262" s="21"/>
      <c r="G1262" s="38"/>
      <c r="H1262" s="39"/>
      <c r="I1262" s="39"/>
      <c r="J1262" s="21"/>
      <c r="K1262" s="21"/>
      <c r="L1262" s="21"/>
      <c r="M1262" s="21"/>
      <c r="N1262" s="21"/>
      <c r="O1262" s="20"/>
      <c r="P1262" s="19"/>
      <c r="Q1262" s="39"/>
      <c r="R1262" s="19"/>
      <c r="S1262" s="21"/>
      <c r="T1262" s="21"/>
      <c r="U1262" s="39"/>
      <c r="V1262" s="21"/>
      <c r="W1262" s="54"/>
      <c r="X1262" s="23"/>
      <c r="Y1262" s="23"/>
      <c r="Z1262" s="56"/>
      <c r="AA1262" s="24"/>
      <c r="AB1262" s="19"/>
      <c r="AC1262" s="19"/>
      <c r="AD1262" s="15" t="e">
        <f ca="1">IF(AND($D1262&lt;&gt;"",COUNTIF(OFFSET(UFS!$E$2,MATCH($D1262&amp;"",UFS!$A$2:$A$175,0)-1,0,COUNTIF(UFS!$A$2:$A$175,$D1262&amp;""),1),M1262)&gt;0),"Valide","Invalide")</f>
        <v>#N/A</v>
      </c>
      <c r="AH1262" s="15" t="str">
        <f t="shared" si="19"/>
        <v/>
      </c>
    </row>
    <row r="1263" spans="1:34" s="15" customFormat="1" ht="45" hidden="1" customHeight="1" x14ac:dyDescent="0.3">
      <c r="A1263" s="42">
        <v>1264</v>
      </c>
      <c r="B1263" s="19"/>
      <c r="C1263" s="19"/>
      <c r="D1263" s="20"/>
      <c r="E1263" s="20"/>
      <c r="F1263" s="21"/>
      <c r="G1263" s="38"/>
      <c r="H1263" s="39"/>
      <c r="I1263" s="39"/>
      <c r="J1263" s="21"/>
      <c r="K1263" s="21"/>
      <c r="L1263" s="21"/>
      <c r="M1263" s="21"/>
      <c r="N1263" s="21"/>
      <c r="O1263" s="20"/>
      <c r="P1263" s="19"/>
      <c r="Q1263" s="39"/>
      <c r="R1263" s="19"/>
      <c r="S1263" s="21"/>
      <c r="T1263" s="21"/>
      <c r="U1263" s="39"/>
      <c r="V1263" s="21"/>
      <c r="W1263" s="54"/>
      <c r="X1263" s="23"/>
      <c r="Y1263" s="23"/>
      <c r="Z1263" s="56"/>
      <c r="AA1263" s="24"/>
      <c r="AB1263" s="19"/>
      <c r="AC1263" s="19"/>
      <c r="AD1263" s="15" t="e">
        <f ca="1">IF(AND($D1263&lt;&gt;"",COUNTIF(OFFSET(UFS!$E$2,MATCH($D1263&amp;"",UFS!$A$2:$A$175,0)-1,0,COUNTIF(UFS!$A$2:$A$175,$D1263&amp;""),1),M1263)&gt;0),"Valide","Invalide")</f>
        <v>#N/A</v>
      </c>
      <c r="AH1263" s="15" t="str">
        <f t="shared" si="19"/>
        <v/>
      </c>
    </row>
    <row r="1264" spans="1:34" s="15" customFormat="1" ht="45" hidden="1" customHeight="1" x14ac:dyDescent="0.3">
      <c r="A1264" s="42">
        <v>1265</v>
      </c>
      <c r="B1264" s="19"/>
      <c r="C1264" s="19"/>
      <c r="D1264" s="20"/>
      <c r="E1264" s="20"/>
      <c r="F1264" s="21"/>
      <c r="G1264" s="38"/>
      <c r="H1264" s="39"/>
      <c r="I1264" s="39"/>
      <c r="J1264" s="21"/>
      <c r="K1264" s="21"/>
      <c r="L1264" s="21"/>
      <c r="M1264" s="21"/>
      <c r="N1264" s="21"/>
      <c r="O1264" s="20"/>
      <c r="P1264" s="19"/>
      <c r="Q1264" s="39"/>
      <c r="R1264" s="19"/>
      <c r="S1264" s="21"/>
      <c r="T1264" s="21"/>
      <c r="U1264" s="39"/>
      <c r="V1264" s="21"/>
      <c r="W1264" s="54"/>
      <c r="X1264" s="23"/>
      <c r="Y1264" s="23"/>
      <c r="Z1264" s="56"/>
      <c r="AA1264" s="24"/>
      <c r="AB1264" s="19"/>
      <c r="AC1264" s="19"/>
      <c r="AD1264" s="15" t="e">
        <f ca="1">IF(AND($D1264&lt;&gt;"",COUNTIF(OFFSET(UFS!$E$2,MATCH($D1264&amp;"",UFS!$A$2:$A$175,0)-1,0,COUNTIF(UFS!$A$2:$A$175,$D1264&amp;""),1),M1264)&gt;0),"Valide","Invalide")</f>
        <v>#N/A</v>
      </c>
      <c r="AH1264" s="15" t="str">
        <f t="shared" si="19"/>
        <v/>
      </c>
    </row>
    <row r="1265" spans="1:34" s="15" customFormat="1" ht="45" hidden="1" customHeight="1" x14ac:dyDescent="0.3">
      <c r="A1265" s="42">
        <v>1266</v>
      </c>
      <c r="B1265" s="19"/>
      <c r="C1265" s="19"/>
      <c r="D1265" s="20"/>
      <c r="E1265" s="20"/>
      <c r="F1265" s="21"/>
      <c r="G1265" s="38"/>
      <c r="H1265" s="39"/>
      <c r="I1265" s="39"/>
      <c r="J1265" s="21"/>
      <c r="K1265" s="21"/>
      <c r="L1265" s="21"/>
      <c r="M1265" s="21"/>
      <c r="N1265" s="21"/>
      <c r="O1265" s="20"/>
      <c r="P1265" s="19"/>
      <c r="Q1265" s="39"/>
      <c r="R1265" s="19"/>
      <c r="S1265" s="21"/>
      <c r="T1265" s="21"/>
      <c r="U1265" s="39"/>
      <c r="V1265" s="21"/>
      <c r="W1265" s="54"/>
      <c r="X1265" s="23"/>
      <c r="Y1265" s="23"/>
      <c r="Z1265" s="56"/>
      <c r="AA1265" s="24"/>
      <c r="AB1265" s="19"/>
      <c r="AC1265" s="19"/>
      <c r="AD1265" s="15" t="e">
        <f ca="1">IF(AND($D1265&lt;&gt;"",COUNTIF(OFFSET(UFS!$E$2,MATCH($D1265&amp;"",UFS!$A$2:$A$175,0)-1,0,COUNTIF(UFS!$A$2:$A$175,$D1265&amp;""),1),M1265)&gt;0),"Valide","Invalide")</f>
        <v>#N/A</v>
      </c>
      <c r="AH1265" s="15" t="str">
        <f t="shared" si="19"/>
        <v/>
      </c>
    </row>
    <row r="1266" spans="1:34" s="15" customFormat="1" ht="45" hidden="1" customHeight="1" x14ac:dyDescent="0.3">
      <c r="A1266" s="42">
        <v>1267</v>
      </c>
      <c r="B1266" s="19"/>
      <c r="C1266" s="19"/>
      <c r="D1266" s="20"/>
      <c r="E1266" s="20"/>
      <c r="F1266" s="21"/>
      <c r="G1266" s="38"/>
      <c r="H1266" s="39"/>
      <c r="I1266" s="39"/>
      <c r="J1266" s="21"/>
      <c r="K1266" s="21"/>
      <c r="L1266" s="21"/>
      <c r="M1266" s="21"/>
      <c r="N1266" s="21"/>
      <c r="O1266" s="20"/>
      <c r="P1266" s="19"/>
      <c r="Q1266" s="39"/>
      <c r="R1266" s="19"/>
      <c r="S1266" s="21"/>
      <c r="T1266" s="21"/>
      <c r="U1266" s="39"/>
      <c r="V1266" s="21"/>
      <c r="W1266" s="54"/>
      <c r="X1266" s="23"/>
      <c r="Y1266" s="23"/>
      <c r="Z1266" s="56"/>
      <c r="AA1266" s="24"/>
      <c r="AB1266" s="19"/>
      <c r="AC1266" s="19"/>
      <c r="AD1266" s="15" t="e">
        <f ca="1">IF(AND($D1266&lt;&gt;"",COUNTIF(OFFSET(UFS!$E$2,MATCH($D1266&amp;"",UFS!$A$2:$A$175,0)-1,0,COUNTIF(UFS!$A$2:$A$175,$D1266&amp;""),1),M1266)&gt;0),"Valide","Invalide")</f>
        <v>#N/A</v>
      </c>
      <c r="AH1266" s="15" t="str">
        <f t="shared" si="19"/>
        <v/>
      </c>
    </row>
    <row r="1267" spans="1:34" s="15" customFormat="1" ht="45" hidden="1" customHeight="1" x14ac:dyDescent="0.3">
      <c r="A1267" s="42">
        <v>1268</v>
      </c>
      <c r="B1267" s="19"/>
      <c r="C1267" s="19"/>
      <c r="D1267" s="20"/>
      <c r="E1267" s="20"/>
      <c r="F1267" s="21"/>
      <c r="G1267" s="38"/>
      <c r="H1267" s="39"/>
      <c r="I1267" s="39"/>
      <c r="J1267" s="21"/>
      <c r="K1267" s="21"/>
      <c r="L1267" s="21"/>
      <c r="M1267" s="21"/>
      <c r="N1267" s="21"/>
      <c r="O1267" s="20"/>
      <c r="P1267" s="19"/>
      <c r="Q1267" s="39"/>
      <c r="R1267" s="19"/>
      <c r="S1267" s="21"/>
      <c r="T1267" s="21"/>
      <c r="U1267" s="39"/>
      <c r="V1267" s="21"/>
      <c r="W1267" s="54"/>
      <c r="X1267" s="23"/>
      <c r="Y1267" s="23"/>
      <c r="Z1267" s="56"/>
      <c r="AA1267" s="24"/>
      <c r="AB1267" s="19"/>
      <c r="AC1267" s="19"/>
      <c r="AD1267" s="15" t="e">
        <f ca="1">IF(AND($D1267&lt;&gt;"",COUNTIF(OFFSET(UFS!$E$2,MATCH($D1267&amp;"",UFS!$A$2:$A$175,0)-1,0,COUNTIF(UFS!$A$2:$A$175,$D1267&amp;""),1),M1267)&gt;0),"Valide","Invalide")</f>
        <v>#N/A</v>
      </c>
      <c r="AH1267" s="15" t="str">
        <f t="shared" si="19"/>
        <v/>
      </c>
    </row>
    <row r="1268" spans="1:34" s="15" customFormat="1" ht="45" hidden="1" customHeight="1" x14ac:dyDescent="0.3">
      <c r="A1268" s="42">
        <v>1269</v>
      </c>
      <c r="B1268" s="19"/>
      <c r="C1268" s="19"/>
      <c r="D1268" s="20"/>
      <c r="E1268" s="20"/>
      <c r="F1268" s="21"/>
      <c r="G1268" s="38"/>
      <c r="H1268" s="39"/>
      <c r="I1268" s="39"/>
      <c r="J1268" s="21"/>
      <c r="K1268" s="21"/>
      <c r="L1268" s="21"/>
      <c r="M1268" s="21"/>
      <c r="N1268" s="21"/>
      <c r="O1268" s="20"/>
      <c r="P1268" s="19"/>
      <c r="Q1268" s="39"/>
      <c r="R1268" s="19"/>
      <c r="S1268" s="21"/>
      <c r="T1268" s="21"/>
      <c r="U1268" s="39"/>
      <c r="V1268" s="21"/>
      <c r="W1268" s="54"/>
      <c r="X1268" s="23"/>
      <c r="Y1268" s="23"/>
      <c r="Z1268" s="56"/>
      <c r="AA1268" s="24"/>
      <c r="AB1268" s="19"/>
      <c r="AC1268" s="19"/>
      <c r="AD1268" s="15" t="e">
        <f ca="1">IF(AND($D1268&lt;&gt;"",COUNTIF(OFFSET(UFS!$E$2,MATCH($D1268&amp;"",UFS!$A$2:$A$175,0)-1,0,COUNTIF(UFS!$A$2:$A$175,$D1268&amp;""),1),M1268)&gt;0),"Valide","Invalide")</f>
        <v>#N/A</v>
      </c>
      <c r="AH1268" s="15" t="str">
        <f t="shared" si="19"/>
        <v/>
      </c>
    </row>
    <row r="1269" spans="1:34" s="15" customFormat="1" ht="45" hidden="1" customHeight="1" x14ac:dyDescent="0.3">
      <c r="A1269" s="42">
        <v>1270</v>
      </c>
      <c r="B1269" s="19"/>
      <c r="C1269" s="19"/>
      <c r="D1269" s="20"/>
      <c r="E1269" s="20"/>
      <c r="F1269" s="21"/>
      <c r="G1269" s="38"/>
      <c r="H1269" s="39"/>
      <c r="I1269" s="39"/>
      <c r="J1269" s="21"/>
      <c r="K1269" s="21"/>
      <c r="L1269" s="21"/>
      <c r="M1269" s="21"/>
      <c r="N1269" s="21"/>
      <c r="O1269" s="20"/>
      <c r="P1269" s="19"/>
      <c r="Q1269" s="39"/>
      <c r="R1269" s="19"/>
      <c r="S1269" s="21"/>
      <c r="T1269" s="21"/>
      <c r="U1269" s="39"/>
      <c r="V1269" s="21"/>
      <c r="W1269" s="54"/>
      <c r="X1269" s="23"/>
      <c r="Y1269" s="23"/>
      <c r="Z1269" s="56"/>
      <c r="AA1269" s="24"/>
      <c r="AB1269" s="19"/>
      <c r="AC1269" s="19"/>
      <c r="AD1269" s="15" t="e">
        <f ca="1">IF(AND($D1269&lt;&gt;"",COUNTIF(OFFSET(UFS!$E$2,MATCH($D1269&amp;"",UFS!$A$2:$A$175,0)-1,0,COUNTIF(UFS!$A$2:$A$175,$D1269&amp;""),1),M1269)&gt;0),"Valide","Invalide")</f>
        <v>#N/A</v>
      </c>
      <c r="AH1269" s="15" t="str">
        <f t="shared" si="19"/>
        <v/>
      </c>
    </row>
    <row r="1270" spans="1:34" s="15" customFormat="1" ht="45" hidden="1" customHeight="1" x14ac:dyDescent="0.3">
      <c r="A1270" s="42">
        <v>1271</v>
      </c>
      <c r="B1270" s="19"/>
      <c r="C1270" s="19"/>
      <c r="D1270" s="20"/>
      <c r="E1270" s="20"/>
      <c r="F1270" s="21"/>
      <c r="G1270" s="38"/>
      <c r="H1270" s="39"/>
      <c r="I1270" s="39"/>
      <c r="J1270" s="21"/>
      <c r="K1270" s="21"/>
      <c r="L1270" s="21"/>
      <c r="M1270" s="21"/>
      <c r="N1270" s="21"/>
      <c r="O1270" s="20"/>
      <c r="P1270" s="19"/>
      <c r="Q1270" s="39"/>
      <c r="R1270" s="19"/>
      <c r="S1270" s="21"/>
      <c r="T1270" s="21"/>
      <c r="U1270" s="39"/>
      <c r="V1270" s="21"/>
      <c r="W1270" s="54"/>
      <c r="X1270" s="23"/>
      <c r="Y1270" s="23"/>
      <c r="Z1270" s="56"/>
      <c r="AA1270" s="24"/>
      <c r="AB1270" s="19"/>
      <c r="AC1270" s="19"/>
      <c r="AD1270" s="15" t="e">
        <f ca="1">IF(AND($D1270&lt;&gt;"",COUNTIF(OFFSET(UFS!$E$2,MATCH($D1270&amp;"",UFS!$A$2:$A$175,0)-1,0,COUNTIF(UFS!$A$2:$A$175,$D1270&amp;""),1),M1270)&gt;0),"Valide","Invalide")</f>
        <v>#N/A</v>
      </c>
      <c r="AH1270" s="15" t="str">
        <f t="shared" si="19"/>
        <v/>
      </c>
    </row>
    <row r="1271" spans="1:34" s="15" customFormat="1" ht="45" hidden="1" customHeight="1" x14ac:dyDescent="0.3">
      <c r="A1271" s="42">
        <v>1272</v>
      </c>
      <c r="B1271" s="19"/>
      <c r="C1271" s="19"/>
      <c r="D1271" s="20"/>
      <c r="E1271" s="20"/>
      <c r="F1271" s="21"/>
      <c r="G1271" s="38"/>
      <c r="H1271" s="39"/>
      <c r="I1271" s="39"/>
      <c r="J1271" s="21"/>
      <c r="K1271" s="21"/>
      <c r="L1271" s="21"/>
      <c r="M1271" s="21"/>
      <c r="N1271" s="21"/>
      <c r="O1271" s="20"/>
      <c r="P1271" s="19"/>
      <c r="Q1271" s="39"/>
      <c r="R1271" s="19"/>
      <c r="S1271" s="21"/>
      <c r="T1271" s="21"/>
      <c r="U1271" s="39"/>
      <c r="V1271" s="21"/>
      <c r="W1271" s="54"/>
      <c r="X1271" s="23"/>
      <c r="Y1271" s="23"/>
      <c r="Z1271" s="56"/>
      <c r="AA1271" s="24"/>
      <c r="AB1271" s="19"/>
      <c r="AC1271" s="19"/>
      <c r="AD1271" s="15" t="e">
        <f ca="1">IF(AND($D1271&lt;&gt;"",COUNTIF(OFFSET(UFS!$E$2,MATCH($D1271&amp;"",UFS!$A$2:$A$175,0)-1,0,COUNTIF(UFS!$A$2:$A$175,$D1271&amp;""),1),M1271)&gt;0),"Valide","Invalide")</f>
        <v>#N/A</v>
      </c>
      <c r="AH1271" s="15" t="str">
        <f t="shared" si="19"/>
        <v/>
      </c>
    </row>
    <row r="1272" spans="1:34" s="15" customFormat="1" ht="45" hidden="1" customHeight="1" x14ac:dyDescent="0.3">
      <c r="A1272" s="42">
        <v>1273</v>
      </c>
      <c r="B1272" s="19"/>
      <c r="C1272" s="19"/>
      <c r="D1272" s="20"/>
      <c r="E1272" s="20"/>
      <c r="F1272" s="21"/>
      <c r="G1272" s="38"/>
      <c r="H1272" s="39"/>
      <c r="I1272" s="39"/>
      <c r="J1272" s="21"/>
      <c r="K1272" s="21"/>
      <c r="L1272" s="21"/>
      <c r="M1272" s="21"/>
      <c r="N1272" s="21"/>
      <c r="O1272" s="20"/>
      <c r="P1272" s="19"/>
      <c r="Q1272" s="39"/>
      <c r="R1272" s="19"/>
      <c r="S1272" s="21"/>
      <c r="T1272" s="21"/>
      <c r="U1272" s="39"/>
      <c r="V1272" s="21"/>
      <c r="W1272" s="54"/>
      <c r="X1272" s="23"/>
      <c r="Y1272" s="23"/>
      <c r="Z1272" s="56"/>
      <c r="AA1272" s="24"/>
      <c r="AB1272" s="19"/>
      <c r="AC1272" s="19"/>
      <c r="AD1272" s="15" t="e">
        <f ca="1">IF(AND($D1272&lt;&gt;"",COUNTIF(OFFSET(UFS!$E$2,MATCH($D1272&amp;"",UFS!$A$2:$A$175,0)-1,0,COUNTIF(UFS!$A$2:$A$175,$D1272&amp;""),1),M1272)&gt;0),"Valide","Invalide")</f>
        <v>#N/A</v>
      </c>
      <c r="AH1272" s="15" t="str">
        <f t="shared" si="19"/>
        <v/>
      </c>
    </row>
    <row r="1273" spans="1:34" s="15" customFormat="1" ht="45" hidden="1" customHeight="1" x14ac:dyDescent="0.3">
      <c r="A1273" s="42">
        <v>1274</v>
      </c>
      <c r="B1273" s="19"/>
      <c r="C1273" s="19"/>
      <c r="D1273" s="20"/>
      <c r="E1273" s="20"/>
      <c r="F1273" s="21"/>
      <c r="G1273" s="38"/>
      <c r="H1273" s="39"/>
      <c r="I1273" s="39"/>
      <c r="J1273" s="21"/>
      <c r="K1273" s="21"/>
      <c r="L1273" s="21"/>
      <c r="M1273" s="21"/>
      <c r="N1273" s="21"/>
      <c r="O1273" s="20"/>
      <c r="P1273" s="19"/>
      <c r="Q1273" s="39"/>
      <c r="R1273" s="19"/>
      <c r="S1273" s="21"/>
      <c r="T1273" s="21"/>
      <c r="U1273" s="39"/>
      <c r="V1273" s="21"/>
      <c r="W1273" s="54"/>
      <c r="X1273" s="23"/>
      <c r="Y1273" s="23"/>
      <c r="Z1273" s="56"/>
      <c r="AA1273" s="24"/>
      <c r="AB1273" s="19"/>
      <c r="AC1273" s="19"/>
      <c r="AD1273" s="15" t="e">
        <f ca="1">IF(AND($D1273&lt;&gt;"",COUNTIF(OFFSET(UFS!$E$2,MATCH($D1273&amp;"",UFS!$A$2:$A$175,0)-1,0,COUNTIF(UFS!$A$2:$A$175,$D1273&amp;""),1),M1273)&gt;0),"Valide","Invalide")</f>
        <v>#N/A</v>
      </c>
      <c r="AH1273" s="15" t="str">
        <f t="shared" si="19"/>
        <v/>
      </c>
    </row>
    <row r="1274" spans="1:34" s="15" customFormat="1" ht="45" hidden="1" customHeight="1" x14ac:dyDescent="0.3">
      <c r="A1274" s="42">
        <v>1275</v>
      </c>
      <c r="B1274" s="19"/>
      <c r="C1274" s="19"/>
      <c r="D1274" s="20"/>
      <c r="E1274" s="20"/>
      <c r="F1274" s="21"/>
      <c r="G1274" s="38"/>
      <c r="H1274" s="39"/>
      <c r="I1274" s="39"/>
      <c r="J1274" s="21"/>
      <c r="K1274" s="21"/>
      <c r="L1274" s="21"/>
      <c r="M1274" s="21"/>
      <c r="N1274" s="21"/>
      <c r="O1274" s="20"/>
      <c r="P1274" s="19"/>
      <c r="Q1274" s="39"/>
      <c r="R1274" s="19"/>
      <c r="S1274" s="21"/>
      <c r="T1274" s="21"/>
      <c r="U1274" s="39"/>
      <c r="V1274" s="21"/>
      <c r="W1274" s="54"/>
      <c r="X1274" s="23"/>
      <c r="Y1274" s="23"/>
      <c r="Z1274" s="56"/>
      <c r="AA1274" s="24"/>
      <c r="AB1274" s="19"/>
      <c r="AC1274" s="19"/>
      <c r="AD1274" s="15" t="e">
        <f ca="1">IF(AND($D1274&lt;&gt;"",COUNTIF(OFFSET(UFS!$E$2,MATCH($D1274&amp;"",UFS!$A$2:$A$175,0)-1,0,COUNTIF(UFS!$A$2:$A$175,$D1274&amp;""),1),M1274)&gt;0),"Valide","Invalide")</f>
        <v>#N/A</v>
      </c>
      <c r="AH1274" s="15" t="str">
        <f t="shared" si="19"/>
        <v/>
      </c>
    </row>
    <row r="1275" spans="1:34" s="15" customFormat="1" ht="45" hidden="1" customHeight="1" x14ac:dyDescent="0.3">
      <c r="A1275" s="42">
        <v>1276</v>
      </c>
      <c r="B1275" s="19"/>
      <c r="C1275" s="19"/>
      <c r="D1275" s="20"/>
      <c r="E1275" s="20"/>
      <c r="F1275" s="21"/>
      <c r="G1275" s="38"/>
      <c r="H1275" s="39"/>
      <c r="I1275" s="39"/>
      <c r="J1275" s="21"/>
      <c r="K1275" s="21"/>
      <c r="L1275" s="21"/>
      <c r="M1275" s="21"/>
      <c r="N1275" s="21"/>
      <c r="O1275" s="20"/>
      <c r="P1275" s="19"/>
      <c r="Q1275" s="39"/>
      <c r="R1275" s="19"/>
      <c r="S1275" s="21"/>
      <c r="T1275" s="21"/>
      <c r="U1275" s="39"/>
      <c r="V1275" s="21"/>
      <c r="W1275" s="54"/>
      <c r="X1275" s="23"/>
      <c r="Y1275" s="23"/>
      <c r="Z1275" s="56"/>
      <c r="AA1275" s="24"/>
      <c r="AB1275" s="19"/>
      <c r="AC1275" s="19"/>
      <c r="AD1275" s="15" t="e">
        <f ca="1">IF(AND($D1275&lt;&gt;"",COUNTIF(OFFSET(UFS!$E$2,MATCH($D1275&amp;"",UFS!$A$2:$A$175,0)-1,0,COUNTIF(UFS!$A$2:$A$175,$D1275&amp;""),1),M1275)&gt;0),"Valide","Invalide")</f>
        <v>#N/A</v>
      </c>
      <c r="AH1275" s="15" t="str">
        <f t="shared" si="19"/>
        <v/>
      </c>
    </row>
    <row r="1276" spans="1:34" s="15" customFormat="1" ht="45" hidden="1" customHeight="1" x14ac:dyDescent="0.3">
      <c r="A1276" s="42">
        <v>1277</v>
      </c>
      <c r="B1276" s="19"/>
      <c r="C1276" s="19"/>
      <c r="D1276" s="20"/>
      <c r="E1276" s="20"/>
      <c r="F1276" s="21"/>
      <c r="G1276" s="38"/>
      <c r="H1276" s="39"/>
      <c r="I1276" s="39"/>
      <c r="J1276" s="21"/>
      <c r="K1276" s="21"/>
      <c r="L1276" s="21"/>
      <c r="M1276" s="21"/>
      <c r="N1276" s="21"/>
      <c r="O1276" s="20"/>
      <c r="P1276" s="19"/>
      <c r="Q1276" s="39"/>
      <c r="R1276" s="19"/>
      <c r="S1276" s="21"/>
      <c r="T1276" s="21"/>
      <c r="U1276" s="39"/>
      <c r="V1276" s="21"/>
      <c r="W1276" s="54"/>
      <c r="X1276" s="23"/>
      <c r="Y1276" s="23"/>
      <c r="Z1276" s="56"/>
      <c r="AA1276" s="24"/>
      <c r="AB1276" s="19"/>
      <c r="AC1276" s="19"/>
      <c r="AD1276" s="15" t="e">
        <f ca="1">IF(AND($D1276&lt;&gt;"",COUNTIF(OFFSET(UFS!$E$2,MATCH($D1276&amp;"",UFS!$A$2:$A$175,0)-1,0,COUNTIF(UFS!$A$2:$A$175,$D1276&amp;""),1),M1276)&gt;0),"Valide","Invalide")</f>
        <v>#N/A</v>
      </c>
      <c r="AH1276" s="15" t="str">
        <f t="shared" si="19"/>
        <v/>
      </c>
    </row>
    <row r="1277" spans="1:34" s="15" customFormat="1" ht="45" hidden="1" customHeight="1" x14ac:dyDescent="0.3">
      <c r="A1277" s="42">
        <v>1278</v>
      </c>
      <c r="B1277" s="19"/>
      <c r="C1277" s="19"/>
      <c r="D1277" s="20"/>
      <c r="E1277" s="20"/>
      <c r="F1277" s="21"/>
      <c r="G1277" s="38"/>
      <c r="H1277" s="39"/>
      <c r="I1277" s="39"/>
      <c r="J1277" s="21"/>
      <c r="K1277" s="21"/>
      <c r="L1277" s="21"/>
      <c r="M1277" s="21"/>
      <c r="N1277" s="21"/>
      <c r="O1277" s="20"/>
      <c r="P1277" s="19"/>
      <c r="Q1277" s="39"/>
      <c r="R1277" s="19"/>
      <c r="S1277" s="21"/>
      <c r="T1277" s="21"/>
      <c r="U1277" s="39"/>
      <c r="V1277" s="21"/>
      <c r="W1277" s="54"/>
      <c r="X1277" s="23"/>
      <c r="Y1277" s="23"/>
      <c r="Z1277" s="56"/>
      <c r="AA1277" s="24"/>
      <c r="AB1277" s="19"/>
      <c r="AC1277" s="19"/>
      <c r="AD1277" s="15" t="e">
        <f ca="1">IF(AND($D1277&lt;&gt;"",COUNTIF(OFFSET(UFS!$E$2,MATCH($D1277&amp;"",UFS!$A$2:$A$175,0)-1,0,COUNTIF(UFS!$A$2:$A$175,$D1277&amp;""),1),M1277)&gt;0),"Valide","Invalide")</f>
        <v>#N/A</v>
      </c>
      <c r="AH1277" s="15" t="str">
        <f t="shared" si="19"/>
        <v/>
      </c>
    </row>
    <row r="1278" spans="1:34" s="15" customFormat="1" ht="45" hidden="1" customHeight="1" x14ac:dyDescent="0.3">
      <c r="A1278" s="42">
        <v>1279</v>
      </c>
      <c r="B1278" s="19"/>
      <c r="C1278" s="19"/>
      <c r="D1278" s="20"/>
      <c r="E1278" s="20"/>
      <c r="F1278" s="21"/>
      <c r="G1278" s="38"/>
      <c r="H1278" s="39"/>
      <c r="I1278" s="39"/>
      <c r="J1278" s="21"/>
      <c r="K1278" s="21"/>
      <c r="L1278" s="21"/>
      <c r="M1278" s="21"/>
      <c r="N1278" s="21"/>
      <c r="O1278" s="20"/>
      <c r="P1278" s="19"/>
      <c r="Q1278" s="39"/>
      <c r="R1278" s="19"/>
      <c r="S1278" s="21"/>
      <c r="T1278" s="21"/>
      <c r="U1278" s="39"/>
      <c r="V1278" s="21"/>
      <c r="W1278" s="54"/>
      <c r="X1278" s="23"/>
      <c r="Y1278" s="23"/>
      <c r="Z1278" s="56"/>
      <c r="AA1278" s="24"/>
      <c r="AB1278" s="19"/>
      <c r="AC1278" s="19"/>
      <c r="AD1278" s="15" t="e">
        <f ca="1">IF(AND($D1278&lt;&gt;"",COUNTIF(OFFSET(UFS!$E$2,MATCH($D1278&amp;"",UFS!$A$2:$A$175,0)-1,0,COUNTIF(UFS!$A$2:$A$175,$D1278&amp;""),1),M1278)&gt;0),"Valide","Invalide")</f>
        <v>#N/A</v>
      </c>
      <c r="AH1278" s="15" t="str">
        <f t="shared" si="19"/>
        <v/>
      </c>
    </row>
    <row r="1279" spans="1:34" s="15" customFormat="1" ht="45" hidden="1" customHeight="1" x14ac:dyDescent="0.3">
      <c r="A1279" s="42">
        <v>1280</v>
      </c>
      <c r="B1279" s="19"/>
      <c r="C1279" s="19"/>
      <c r="D1279" s="20"/>
      <c r="E1279" s="20"/>
      <c r="F1279" s="21"/>
      <c r="G1279" s="38"/>
      <c r="H1279" s="39"/>
      <c r="I1279" s="39"/>
      <c r="J1279" s="21"/>
      <c r="K1279" s="21"/>
      <c r="L1279" s="21"/>
      <c r="M1279" s="21"/>
      <c r="N1279" s="21"/>
      <c r="O1279" s="20"/>
      <c r="P1279" s="19"/>
      <c r="Q1279" s="39"/>
      <c r="R1279" s="19"/>
      <c r="S1279" s="21"/>
      <c r="T1279" s="21"/>
      <c r="U1279" s="39"/>
      <c r="V1279" s="21"/>
      <c r="W1279" s="54"/>
      <c r="X1279" s="23"/>
      <c r="Y1279" s="23"/>
      <c r="Z1279" s="56"/>
      <c r="AA1279" s="24"/>
      <c r="AB1279" s="19"/>
      <c r="AC1279" s="19"/>
      <c r="AD1279" s="15" t="e">
        <f ca="1">IF(AND($D1279&lt;&gt;"",COUNTIF(OFFSET(UFS!$E$2,MATCH($D1279&amp;"",UFS!$A$2:$A$175,0)-1,0,COUNTIF(UFS!$A$2:$A$175,$D1279&amp;""),1),M1279)&gt;0),"Valide","Invalide")</f>
        <v>#N/A</v>
      </c>
      <c r="AH1279" s="15" t="str">
        <f t="shared" si="19"/>
        <v/>
      </c>
    </row>
    <row r="1280" spans="1:34" s="15" customFormat="1" ht="45" hidden="1" customHeight="1" x14ac:dyDescent="0.3">
      <c r="A1280" s="42">
        <v>1281</v>
      </c>
      <c r="B1280" s="19"/>
      <c r="C1280" s="19"/>
      <c r="D1280" s="20"/>
      <c r="E1280" s="20"/>
      <c r="F1280" s="21"/>
      <c r="G1280" s="38"/>
      <c r="H1280" s="39"/>
      <c r="I1280" s="39"/>
      <c r="J1280" s="21"/>
      <c r="K1280" s="21"/>
      <c r="L1280" s="21"/>
      <c r="M1280" s="21"/>
      <c r="N1280" s="21"/>
      <c r="O1280" s="20"/>
      <c r="P1280" s="19"/>
      <c r="Q1280" s="39"/>
      <c r="R1280" s="19"/>
      <c r="S1280" s="21"/>
      <c r="T1280" s="21"/>
      <c r="U1280" s="39"/>
      <c r="V1280" s="21"/>
      <c r="W1280" s="54"/>
      <c r="X1280" s="23"/>
      <c r="Y1280" s="23"/>
      <c r="Z1280" s="56"/>
      <c r="AA1280" s="24"/>
      <c r="AB1280" s="19"/>
      <c r="AC1280" s="19"/>
      <c r="AD1280" s="15" t="e">
        <f ca="1">IF(AND($D1280&lt;&gt;"",COUNTIF(OFFSET(UFS!$E$2,MATCH($D1280&amp;"",UFS!$A$2:$A$175,0)-1,0,COUNTIF(UFS!$A$2:$A$175,$D1280&amp;""),1),M1280)&gt;0),"Valide","Invalide")</f>
        <v>#N/A</v>
      </c>
      <c r="AH1280" s="15" t="str">
        <f t="shared" si="19"/>
        <v/>
      </c>
    </row>
    <row r="1281" spans="1:34" s="15" customFormat="1" ht="45" hidden="1" customHeight="1" x14ac:dyDescent="0.3">
      <c r="A1281" s="42">
        <v>1282</v>
      </c>
      <c r="B1281" s="19"/>
      <c r="C1281" s="19"/>
      <c r="D1281" s="20"/>
      <c r="E1281" s="20"/>
      <c r="F1281" s="21"/>
      <c r="G1281" s="38"/>
      <c r="H1281" s="39"/>
      <c r="I1281" s="39"/>
      <c r="J1281" s="21"/>
      <c r="K1281" s="21"/>
      <c r="L1281" s="21"/>
      <c r="M1281" s="21"/>
      <c r="N1281" s="21"/>
      <c r="O1281" s="20"/>
      <c r="P1281" s="19"/>
      <c r="Q1281" s="39"/>
      <c r="R1281" s="19"/>
      <c r="S1281" s="21"/>
      <c r="T1281" s="21"/>
      <c r="U1281" s="39"/>
      <c r="V1281" s="21"/>
      <c r="W1281" s="54"/>
      <c r="X1281" s="23"/>
      <c r="Y1281" s="23"/>
      <c r="Z1281" s="56"/>
      <c r="AA1281" s="24"/>
      <c r="AB1281" s="19"/>
      <c r="AC1281" s="19"/>
      <c r="AD1281" s="15" t="e">
        <f ca="1">IF(AND($D1281&lt;&gt;"",COUNTIF(OFFSET(UFS!$E$2,MATCH($D1281&amp;"",UFS!$A$2:$A$175,0)-1,0,COUNTIF(UFS!$A$2:$A$175,$D1281&amp;""),1),M1281)&gt;0),"Valide","Invalide")</f>
        <v>#N/A</v>
      </c>
      <c r="AH1281" s="15" t="str">
        <f t="shared" si="19"/>
        <v/>
      </c>
    </row>
    <row r="1282" spans="1:34" s="15" customFormat="1" ht="45" hidden="1" customHeight="1" x14ac:dyDescent="0.3">
      <c r="A1282" s="42">
        <v>1283</v>
      </c>
      <c r="B1282" s="19"/>
      <c r="C1282" s="19"/>
      <c r="D1282" s="20"/>
      <c r="E1282" s="20"/>
      <c r="F1282" s="21"/>
      <c r="G1282" s="38"/>
      <c r="H1282" s="39"/>
      <c r="I1282" s="39"/>
      <c r="J1282" s="21"/>
      <c r="K1282" s="21"/>
      <c r="L1282" s="21"/>
      <c r="M1282" s="21"/>
      <c r="N1282" s="21"/>
      <c r="O1282" s="20"/>
      <c r="P1282" s="19"/>
      <c r="Q1282" s="39"/>
      <c r="R1282" s="19"/>
      <c r="S1282" s="21"/>
      <c r="T1282" s="21"/>
      <c r="U1282" s="39"/>
      <c r="V1282" s="21"/>
      <c r="W1282" s="54"/>
      <c r="X1282" s="23"/>
      <c r="Y1282" s="23"/>
      <c r="Z1282" s="56"/>
      <c r="AA1282" s="24"/>
      <c r="AB1282" s="19"/>
      <c r="AC1282" s="19"/>
      <c r="AD1282" s="15" t="e">
        <f ca="1">IF(AND($D1282&lt;&gt;"",COUNTIF(OFFSET(UFS!$E$2,MATCH($D1282&amp;"",UFS!$A$2:$A$175,0)-1,0,COUNTIF(UFS!$A$2:$A$175,$D1282&amp;""),1),M1282)&gt;0),"Valide","Invalide")</f>
        <v>#N/A</v>
      </c>
      <c r="AH1282" s="15" t="str">
        <f t="shared" si="19"/>
        <v/>
      </c>
    </row>
    <row r="1283" spans="1:34" s="15" customFormat="1" ht="45" hidden="1" customHeight="1" x14ac:dyDescent="0.3">
      <c r="A1283" s="42">
        <v>1284</v>
      </c>
      <c r="B1283" s="19"/>
      <c r="C1283" s="19"/>
      <c r="D1283" s="20"/>
      <c r="E1283" s="20"/>
      <c r="F1283" s="21"/>
      <c r="G1283" s="38"/>
      <c r="H1283" s="39"/>
      <c r="I1283" s="39"/>
      <c r="J1283" s="21"/>
      <c r="K1283" s="21"/>
      <c r="L1283" s="21"/>
      <c r="M1283" s="21"/>
      <c r="N1283" s="21"/>
      <c r="O1283" s="20"/>
      <c r="P1283" s="19"/>
      <c r="Q1283" s="39"/>
      <c r="R1283" s="19"/>
      <c r="S1283" s="21"/>
      <c r="T1283" s="21"/>
      <c r="U1283" s="39"/>
      <c r="V1283" s="21"/>
      <c r="W1283" s="54"/>
      <c r="X1283" s="23"/>
      <c r="Y1283" s="23"/>
      <c r="Z1283" s="56"/>
      <c r="AA1283" s="24"/>
      <c r="AB1283" s="19"/>
      <c r="AC1283" s="19"/>
      <c r="AD1283" s="15" t="e">
        <f ca="1">IF(AND($D1283&lt;&gt;"",COUNTIF(OFFSET(UFS!$E$2,MATCH($D1283&amp;"",UFS!$A$2:$A$175,0)-1,0,COUNTIF(UFS!$A$2:$A$175,$D1283&amp;""),1),M1283)&gt;0),"Valide","Invalide")</f>
        <v>#N/A</v>
      </c>
      <c r="AH1283" s="15" t="str">
        <f t="shared" ref="AH1283:AH1346" si="20">IF(T1283&lt;&gt;"","En attente","")</f>
        <v/>
      </c>
    </row>
    <row r="1284" spans="1:34" s="15" customFormat="1" ht="45" hidden="1" customHeight="1" x14ac:dyDescent="0.3">
      <c r="A1284" s="42">
        <v>1285</v>
      </c>
      <c r="B1284" s="19"/>
      <c r="C1284" s="19"/>
      <c r="D1284" s="20"/>
      <c r="E1284" s="20"/>
      <c r="F1284" s="21"/>
      <c r="G1284" s="38"/>
      <c r="H1284" s="39"/>
      <c r="I1284" s="39"/>
      <c r="J1284" s="21"/>
      <c r="K1284" s="21"/>
      <c r="L1284" s="21"/>
      <c r="M1284" s="21"/>
      <c r="N1284" s="21"/>
      <c r="O1284" s="20"/>
      <c r="P1284" s="19"/>
      <c r="Q1284" s="39"/>
      <c r="R1284" s="19"/>
      <c r="S1284" s="21"/>
      <c r="T1284" s="21"/>
      <c r="U1284" s="39"/>
      <c r="V1284" s="21"/>
      <c r="W1284" s="54"/>
      <c r="X1284" s="23"/>
      <c r="Y1284" s="23"/>
      <c r="Z1284" s="56"/>
      <c r="AA1284" s="24"/>
      <c r="AB1284" s="19"/>
      <c r="AC1284" s="19"/>
      <c r="AD1284" s="15" t="e">
        <f ca="1">IF(AND($D1284&lt;&gt;"",COUNTIF(OFFSET(UFS!$E$2,MATCH($D1284&amp;"",UFS!$A$2:$A$175,0)-1,0,COUNTIF(UFS!$A$2:$A$175,$D1284&amp;""),1),M1284)&gt;0),"Valide","Invalide")</f>
        <v>#N/A</v>
      </c>
      <c r="AH1284" s="15" t="str">
        <f t="shared" si="20"/>
        <v/>
      </c>
    </row>
    <row r="1285" spans="1:34" s="15" customFormat="1" ht="45" hidden="1" customHeight="1" x14ac:dyDescent="0.3">
      <c r="A1285" s="42">
        <v>1286</v>
      </c>
      <c r="B1285" s="19"/>
      <c r="C1285" s="19"/>
      <c r="D1285" s="20"/>
      <c r="E1285" s="20"/>
      <c r="F1285" s="21"/>
      <c r="G1285" s="38"/>
      <c r="H1285" s="39"/>
      <c r="I1285" s="39"/>
      <c r="J1285" s="21"/>
      <c r="K1285" s="21"/>
      <c r="L1285" s="21"/>
      <c r="M1285" s="21"/>
      <c r="N1285" s="21"/>
      <c r="O1285" s="20"/>
      <c r="P1285" s="19"/>
      <c r="Q1285" s="39"/>
      <c r="R1285" s="19"/>
      <c r="S1285" s="21"/>
      <c r="T1285" s="21"/>
      <c r="U1285" s="39"/>
      <c r="V1285" s="21"/>
      <c r="W1285" s="54"/>
      <c r="X1285" s="23"/>
      <c r="Y1285" s="23"/>
      <c r="Z1285" s="56"/>
      <c r="AA1285" s="24"/>
      <c r="AB1285" s="19"/>
      <c r="AC1285" s="19"/>
      <c r="AD1285" s="15" t="e">
        <f ca="1">IF(AND($D1285&lt;&gt;"",COUNTIF(OFFSET(UFS!$E$2,MATCH($D1285&amp;"",UFS!$A$2:$A$175,0)-1,0,COUNTIF(UFS!$A$2:$A$175,$D1285&amp;""),1),M1285)&gt;0),"Valide","Invalide")</f>
        <v>#N/A</v>
      </c>
      <c r="AH1285" s="15" t="str">
        <f t="shared" si="20"/>
        <v/>
      </c>
    </row>
    <row r="1286" spans="1:34" s="15" customFormat="1" ht="45" hidden="1" customHeight="1" x14ac:dyDescent="0.3">
      <c r="A1286" s="42">
        <v>1287</v>
      </c>
      <c r="B1286" s="19"/>
      <c r="C1286" s="19"/>
      <c r="D1286" s="20"/>
      <c r="E1286" s="20"/>
      <c r="F1286" s="21"/>
      <c r="G1286" s="38"/>
      <c r="H1286" s="39"/>
      <c r="I1286" s="39"/>
      <c r="J1286" s="21"/>
      <c r="K1286" s="21"/>
      <c r="L1286" s="21"/>
      <c r="M1286" s="21"/>
      <c r="N1286" s="21"/>
      <c r="O1286" s="20"/>
      <c r="P1286" s="19"/>
      <c r="Q1286" s="39"/>
      <c r="R1286" s="19"/>
      <c r="S1286" s="21"/>
      <c r="T1286" s="21"/>
      <c r="U1286" s="39"/>
      <c r="V1286" s="21"/>
      <c r="W1286" s="54"/>
      <c r="X1286" s="23"/>
      <c r="Y1286" s="23"/>
      <c r="Z1286" s="56"/>
      <c r="AA1286" s="24"/>
      <c r="AB1286" s="19"/>
      <c r="AC1286" s="19"/>
      <c r="AD1286" s="15" t="e">
        <f ca="1">IF(AND($D1286&lt;&gt;"",COUNTIF(OFFSET(UFS!$E$2,MATCH($D1286&amp;"",UFS!$A$2:$A$175,0)-1,0,COUNTIF(UFS!$A$2:$A$175,$D1286&amp;""),1),M1286)&gt;0),"Valide","Invalide")</f>
        <v>#N/A</v>
      </c>
      <c r="AH1286" s="15" t="str">
        <f t="shared" si="20"/>
        <v/>
      </c>
    </row>
    <row r="1287" spans="1:34" s="15" customFormat="1" ht="45" hidden="1" customHeight="1" x14ac:dyDescent="0.3">
      <c r="A1287" s="42">
        <v>1288</v>
      </c>
      <c r="B1287" s="19"/>
      <c r="C1287" s="19"/>
      <c r="D1287" s="20"/>
      <c r="E1287" s="20"/>
      <c r="F1287" s="21"/>
      <c r="G1287" s="38"/>
      <c r="H1287" s="39"/>
      <c r="I1287" s="39"/>
      <c r="J1287" s="21"/>
      <c r="K1287" s="21"/>
      <c r="L1287" s="21"/>
      <c r="M1287" s="21"/>
      <c r="N1287" s="21"/>
      <c r="O1287" s="20"/>
      <c r="P1287" s="19"/>
      <c r="Q1287" s="39"/>
      <c r="R1287" s="19"/>
      <c r="S1287" s="21"/>
      <c r="T1287" s="21"/>
      <c r="U1287" s="39"/>
      <c r="V1287" s="21"/>
      <c r="W1287" s="54"/>
      <c r="X1287" s="23"/>
      <c r="Y1287" s="23"/>
      <c r="Z1287" s="56"/>
      <c r="AA1287" s="24"/>
      <c r="AB1287" s="19"/>
      <c r="AC1287" s="19"/>
      <c r="AD1287" s="15" t="e">
        <f ca="1">IF(AND($D1287&lt;&gt;"",COUNTIF(OFFSET(UFS!$E$2,MATCH($D1287&amp;"",UFS!$A$2:$A$175,0)-1,0,COUNTIF(UFS!$A$2:$A$175,$D1287&amp;""),1),M1287)&gt;0),"Valide","Invalide")</f>
        <v>#N/A</v>
      </c>
      <c r="AH1287" s="15" t="str">
        <f t="shared" si="20"/>
        <v/>
      </c>
    </row>
    <row r="1288" spans="1:34" s="15" customFormat="1" ht="45" hidden="1" customHeight="1" x14ac:dyDescent="0.3">
      <c r="A1288" s="42">
        <v>1289</v>
      </c>
      <c r="B1288" s="19"/>
      <c r="C1288" s="19"/>
      <c r="D1288" s="20"/>
      <c r="E1288" s="20"/>
      <c r="F1288" s="21"/>
      <c r="G1288" s="38"/>
      <c r="H1288" s="39"/>
      <c r="I1288" s="39"/>
      <c r="J1288" s="21"/>
      <c r="K1288" s="21"/>
      <c r="L1288" s="21"/>
      <c r="M1288" s="21"/>
      <c r="N1288" s="21"/>
      <c r="O1288" s="20"/>
      <c r="P1288" s="19"/>
      <c r="Q1288" s="39"/>
      <c r="R1288" s="19"/>
      <c r="S1288" s="21"/>
      <c r="T1288" s="21"/>
      <c r="U1288" s="39"/>
      <c r="V1288" s="21"/>
      <c r="W1288" s="54"/>
      <c r="X1288" s="23"/>
      <c r="Y1288" s="23"/>
      <c r="Z1288" s="56"/>
      <c r="AA1288" s="24"/>
      <c r="AB1288" s="19"/>
      <c r="AC1288" s="19"/>
      <c r="AD1288" s="15" t="e">
        <f ca="1">IF(AND($D1288&lt;&gt;"",COUNTIF(OFFSET(UFS!$E$2,MATCH($D1288&amp;"",UFS!$A$2:$A$175,0)-1,0,COUNTIF(UFS!$A$2:$A$175,$D1288&amp;""),1),M1288)&gt;0),"Valide","Invalide")</f>
        <v>#N/A</v>
      </c>
      <c r="AH1288" s="15" t="str">
        <f t="shared" si="20"/>
        <v/>
      </c>
    </row>
    <row r="1289" spans="1:34" s="15" customFormat="1" ht="45" hidden="1" customHeight="1" x14ac:dyDescent="0.3">
      <c r="A1289" s="42">
        <v>1290</v>
      </c>
      <c r="B1289" s="19"/>
      <c r="C1289" s="19"/>
      <c r="D1289" s="20"/>
      <c r="E1289" s="20"/>
      <c r="F1289" s="21"/>
      <c r="G1289" s="38"/>
      <c r="H1289" s="39"/>
      <c r="I1289" s="39"/>
      <c r="J1289" s="21"/>
      <c r="K1289" s="21"/>
      <c r="L1289" s="21"/>
      <c r="M1289" s="21"/>
      <c r="N1289" s="21"/>
      <c r="O1289" s="20"/>
      <c r="P1289" s="19"/>
      <c r="Q1289" s="39"/>
      <c r="R1289" s="19"/>
      <c r="S1289" s="21"/>
      <c r="T1289" s="21"/>
      <c r="U1289" s="39"/>
      <c r="V1289" s="21"/>
      <c r="W1289" s="54"/>
      <c r="X1289" s="23"/>
      <c r="Y1289" s="23"/>
      <c r="Z1289" s="56"/>
      <c r="AA1289" s="24"/>
      <c r="AB1289" s="19"/>
      <c r="AC1289" s="19"/>
      <c r="AD1289" s="15" t="e">
        <f ca="1">IF(AND($D1289&lt;&gt;"",COUNTIF(OFFSET(UFS!$E$2,MATCH($D1289&amp;"",UFS!$A$2:$A$175,0)-1,0,COUNTIF(UFS!$A$2:$A$175,$D1289&amp;""),1),M1289)&gt;0),"Valide","Invalide")</f>
        <v>#N/A</v>
      </c>
      <c r="AH1289" s="15" t="str">
        <f t="shared" si="20"/>
        <v/>
      </c>
    </row>
    <row r="1290" spans="1:34" s="15" customFormat="1" ht="45" hidden="1" customHeight="1" x14ac:dyDescent="0.3">
      <c r="A1290" s="42">
        <v>1291</v>
      </c>
      <c r="B1290" s="19"/>
      <c r="C1290" s="19"/>
      <c r="D1290" s="20"/>
      <c r="E1290" s="20"/>
      <c r="F1290" s="21"/>
      <c r="G1290" s="38"/>
      <c r="H1290" s="39"/>
      <c r="I1290" s="39"/>
      <c r="J1290" s="21"/>
      <c r="K1290" s="21"/>
      <c r="L1290" s="21"/>
      <c r="M1290" s="21"/>
      <c r="N1290" s="21"/>
      <c r="O1290" s="20"/>
      <c r="P1290" s="19"/>
      <c r="Q1290" s="39"/>
      <c r="R1290" s="19"/>
      <c r="S1290" s="21"/>
      <c r="T1290" s="21"/>
      <c r="U1290" s="39"/>
      <c r="V1290" s="21"/>
      <c r="W1290" s="54"/>
      <c r="X1290" s="23"/>
      <c r="Y1290" s="23"/>
      <c r="Z1290" s="56"/>
      <c r="AA1290" s="24"/>
      <c r="AB1290" s="19"/>
      <c r="AC1290" s="19"/>
      <c r="AD1290" s="15" t="e">
        <f ca="1">IF(AND($D1290&lt;&gt;"",COUNTIF(OFFSET(UFS!$E$2,MATCH($D1290&amp;"",UFS!$A$2:$A$175,0)-1,0,COUNTIF(UFS!$A$2:$A$175,$D1290&amp;""),1),M1290)&gt;0),"Valide","Invalide")</f>
        <v>#N/A</v>
      </c>
      <c r="AH1290" s="15" t="str">
        <f t="shared" si="20"/>
        <v/>
      </c>
    </row>
    <row r="1291" spans="1:34" s="15" customFormat="1" ht="45" hidden="1" customHeight="1" x14ac:dyDescent="0.3">
      <c r="A1291" s="42">
        <v>1292</v>
      </c>
      <c r="B1291" s="19"/>
      <c r="C1291" s="19"/>
      <c r="D1291" s="20"/>
      <c r="E1291" s="20"/>
      <c r="F1291" s="21"/>
      <c r="G1291" s="38"/>
      <c r="H1291" s="39"/>
      <c r="I1291" s="39"/>
      <c r="J1291" s="21"/>
      <c r="K1291" s="21"/>
      <c r="L1291" s="21"/>
      <c r="M1291" s="21"/>
      <c r="N1291" s="21"/>
      <c r="O1291" s="20"/>
      <c r="P1291" s="19"/>
      <c r="Q1291" s="39"/>
      <c r="R1291" s="19"/>
      <c r="S1291" s="21"/>
      <c r="T1291" s="21"/>
      <c r="U1291" s="39"/>
      <c r="V1291" s="21"/>
      <c r="W1291" s="54"/>
      <c r="X1291" s="23"/>
      <c r="Y1291" s="23"/>
      <c r="Z1291" s="56"/>
      <c r="AA1291" s="24"/>
      <c r="AB1291" s="19"/>
      <c r="AC1291" s="19"/>
      <c r="AD1291" s="15" t="e">
        <f ca="1">IF(AND($D1291&lt;&gt;"",COUNTIF(OFFSET(UFS!$E$2,MATCH($D1291&amp;"",UFS!$A$2:$A$175,0)-1,0,COUNTIF(UFS!$A$2:$A$175,$D1291&amp;""),1),M1291)&gt;0),"Valide","Invalide")</f>
        <v>#N/A</v>
      </c>
      <c r="AH1291" s="15" t="str">
        <f t="shared" si="20"/>
        <v/>
      </c>
    </row>
    <row r="1292" spans="1:34" s="15" customFormat="1" ht="45" hidden="1" customHeight="1" x14ac:dyDescent="0.3">
      <c r="A1292" s="42">
        <v>1293</v>
      </c>
      <c r="B1292" s="19"/>
      <c r="C1292" s="19"/>
      <c r="D1292" s="20"/>
      <c r="E1292" s="20"/>
      <c r="F1292" s="21"/>
      <c r="G1292" s="38"/>
      <c r="H1292" s="39"/>
      <c r="I1292" s="39"/>
      <c r="J1292" s="21"/>
      <c r="K1292" s="21"/>
      <c r="L1292" s="21"/>
      <c r="M1292" s="21"/>
      <c r="N1292" s="21"/>
      <c r="O1292" s="20"/>
      <c r="P1292" s="19"/>
      <c r="Q1292" s="39"/>
      <c r="R1292" s="19"/>
      <c r="S1292" s="21"/>
      <c r="T1292" s="21"/>
      <c r="U1292" s="39"/>
      <c r="V1292" s="21"/>
      <c r="W1292" s="54"/>
      <c r="X1292" s="23"/>
      <c r="Y1292" s="23"/>
      <c r="Z1292" s="56"/>
      <c r="AA1292" s="24"/>
      <c r="AB1292" s="19"/>
      <c r="AC1292" s="19"/>
      <c r="AD1292" s="15" t="e">
        <f ca="1">IF(AND($D1292&lt;&gt;"",COUNTIF(OFFSET(UFS!$E$2,MATCH($D1292&amp;"",UFS!$A$2:$A$175,0)-1,0,COUNTIF(UFS!$A$2:$A$175,$D1292&amp;""),1),M1292)&gt;0),"Valide","Invalide")</f>
        <v>#N/A</v>
      </c>
      <c r="AH1292" s="15" t="str">
        <f t="shared" si="20"/>
        <v/>
      </c>
    </row>
    <row r="1293" spans="1:34" s="15" customFormat="1" ht="45" hidden="1" customHeight="1" x14ac:dyDescent="0.3">
      <c r="A1293" s="42">
        <v>1294</v>
      </c>
      <c r="B1293" s="19"/>
      <c r="C1293" s="19"/>
      <c r="D1293" s="20"/>
      <c r="E1293" s="20"/>
      <c r="F1293" s="21"/>
      <c r="G1293" s="38"/>
      <c r="H1293" s="39"/>
      <c r="I1293" s="39"/>
      <c r="J1293" s="21"/>
      <c r="K1293" s="21"/>
      <c r="L1293" s="21"/>
      <c r="M1293" s="21"/>
      <c r="N1293" s="21"/>
      <c r="O1293" s="20"/>
      <c r="P1293" s="19"/>
      <c r="Q1293" s="39"/>
      <c r="R1293" s="19"/>
      <c r="S1293" s="21"/>
      <c r="T1293" s="21"/>
      <c r="U1293" s="39"/>
      <c r="V1293" s="21"/>
      <c r="W1293" s="54"/>
      <c r="X1293" s="23"/>
      <c r="Y1293" s="23"/>
      <c r="Z1293" s="56"/>
      <c r="AA1293" s="24"/>
      <c r="AB1293" s="19"/>
      <c r="AC1293" s="19"/>
      <c r="AD1293" s="15" t="e">
        <f ca="1">IF(AND($D1293&lt;&gt;"",COUNTIF(OFFSET(UFS!$E$2,MATCH($D1293&amp;"",UFS!$A$2:$A$175,0)-1,0,COUNTIF(UFS!$A$2:$A$175,$D1293&amp;""),1),M1293)&gt;0),"Valide","Invalide")</f>
        <v>#N/A</v>
      </c>
      <c r="AH1293" s="15" t="str">
        <f t="shared" si="20"/>
        <v/>
      </c>
    </row>
    <row r="1294" spans="1:34" s="15" customFormat="1" ht="45" hidden="1" customHeight="1" x14ac:dyDescent="0.3">
      <c r="A1294" s="42">
        <v>1295</v>
      </c>
      <c r="B1294" s="19"/>
      <c r="C1294" s="19"/>
      <c r="D1294" s="20"/>
      <c r="E1294" s="20"/>
      <c r="F1294" s="21"/>
      <c r="G1294" s="38"/>
      <c r="H1294" s="39"/>
      <c r="I1294" s="39"/>
      <c r="J1294" s="21"/>
      <c r="K1294" s="21"/>
      <c r="L1294" s="21"/>
      <c r="M1294" s="21"/>
      <c r="N1294" s="21"/>
      <c r="O1294" s="20"/>
      <c r="P1294" s="19"/>
      <c r="Q1294" s="39"/>
      <c r="R1294" s="19"/>
      <c r="S1294" s="21"/>
      <c r="T1294" s="21"/>
      <c r="U1294" s="39"/>
      <c r="V1294" s="21"/>
      <c r="W1294" s="54"/>
      <c r="X1294" s="23"/>
      <c r="Y1294" s="23"/>
      <c r="Z1294" s="56"/>
      <c r="AA1294" s="24"/>
      <c r="AB1294" s="19"/>
      <c r="AC1294" s="19"/>
      <c r="AD1294" s="15" t="e">
        <f ca="1">IF(AND($D1294&lt;&gt;"",COUNTIF(OFFSET(UFS!$E$2,MATCH($D1294&amp;"",UFS!$A$2:$A$175,0)-1,0,COUNTIF(UFS!$A$2:$A$175,$D1294&amp;""),1),M1294)&gt;0),"Valide","Invalide")</f>
        <v>#N/A</v>
      </c>
      <c r="AH1294" s="15" t="str">
        <f t="shared" si="20"/>
        <v/>
      </c>
    </row>
    <row r="1295" spans="1:34" s="15" customFormat="1" ht="45" hidden="1" customHeight="1" x14ac:dyDescent="0.3">
      <c r="A1295" s="42">
        <v>1296</v>
      </c>
      <c r="B1295" s="19"/>
      <c r="C1295" s="19"/>
      <c r="D1295" s="20"/>
      <c r="E1295" s="20"/>
      <c r="F1295" s="21"/>
      <c r="G1295" s="38"/>
      <c r="H1295" s="39"/>
      <c r="I1295" s="39"/>
      <c r="J1295" s="21"/>
      <c r="K1295" s="21"/>
      <c r="L1295" s="21"/>
      <c r="M1295" s="21"/>
      <c r="N1295" s="21"/>
      <c r="O1295" s="20"/>
      <c r="P1295" s="19"/>
      <c r="Q1295" s="39"/>
      <c r="R1295" s="19"/>
      <c r="S1295" s="21"/>
      <c r="T1295" s="21"/>
      <c r="U1295" s="39"/>
      <c r="V1295" s="21"/>
      <c r="W1295" s="54"/>
      <c r="X1295" s="23"/>
      <c r="Y1295" s="23"/>
      <c r="Z1295" s="56"/>
      <c r="AA1295" s="24"/>
      <c r="AB1295" s="19"/>
      <c r="AC1295" s="19"/>
      <c r="AD1295" s="15" t="e">
        <f ca="1">IF(AND($D1295&lt;&gt;"",COUNTIF(OFFSET(UFS!$E$2,MATCH($D1295&amp;"",UFS!$A$2:$A$175,0)-1,0,COUNTIF(UFS!$A$2:$A$175,$D1295&amp;""),1),M1295)&gt;0),"Valide","Invalide")</f>
        <v>#N/A</v>
      </c>
      <c r="AH1295" s="15" t="str">
        <f t="shared" si="20"/>
        <v/>
      </c>
    </row>
    <row r="1296" spans="1:34" s="15" customFormat="1" ht="45" hidden="1" customHeight="1" x14ac:dyDescent="0.3">
      <c r="A1296" s="42">
        <v>1297</v>
      </c>
      <c r="B1296" s="19"/>
      <c r="C1296" s="19"/>
      <c r="D1296" s="20"/>
      <c r="E1296" s="20"/>
      <c r="F1296" s="21"/>
      <c r="G1296" s="38"/>
      <c r="H1296" s="39"/>
      <c r="I1296" s="39"/>
      <c r="J1296" s="21"/>
      <c r="K1296" s="21"/>
      <c r="L1296" s="21"/>
      <c r="M1296" s="21"/>
      <c r="N1296" s="21"/>
      <c r="O1296" s="20"/>
      <c r="P1296" s="19"/>
      <c r="Q1296" s="39"/>
      <c r="R1296" s="19"/>
      <c r="S1296" s="21"/>
      <c r="T1296" s="21"/>
      <c r="U1296" s="39"/>
      <c r="V1296" s="21"/>
      <c r="W1296" s="54"/>
      <c r="X1296" s="23"/>
      <c r="Y1296" s="23"/>
      <c r="Z1296" s="56"/>
      <c r="AA1296" s="24"/>
      <c r="AB1296" s="19"/>
      <c r="AC1296" s="19"/>
      <c r="AD1296" s="15" t="e">
        <f ca="1">IF(AND($D1296&lt;&gt;"",COUNTIF(OFFSET(UFS!$E$2,MATCH($D1296&amp;"",UFS!$A$2:$A$175,0)-1,0,COUNTIF(UFS!$A$2:$A$175,$D1296&amp;""),1),M1296)&gt;0),"Valide","Invalide")</f>
        <v>#N/A</v>
      </c>
      <c r="AH1296" s="15" t="str">
        <f t="shared" si="20"/>
        <v/>
      </c>
    </row>
    <row r="1297" spans="1:34" s="15" customFormat="1" ht="45" hidden="1" customHeight="1" x14ac:dyDescent="0.3">
      <c r="A1297" s="42">
        <v>1298</v>
      </c>
      <c r="B1297" s="19"/>
      <c r="C1297" s="19"/>
      <c r="D1297" s="20"/>
      <c r="E1297" s="20"/>
      <c r="F1297" s="21"/>
      <c r="G1297" s="38"/>
      <c r="H1297" s="39"/>
      <c r="I1297" s="39"/>
      <c r="J1297" s="21"/>
      <c r="K1297" s="21"/>
      <c r="L1297" s="21"/>
      <c r="M1297" s="21"/>
      <c r="N1297" s="21"/>
      <c r="O1297" s="20"/>
      <c r="P1297" s="19"/>
      <c r="Q1297" s="39"/>
      <c r="R1297" s="19"/>
      <c r="S1297" s="21"/>
      <c r="T1297" s="21"/>
      <c r="U1297" s="39"/>
      <c r="V1297" s="21"/>
      <c r="W1297" s="54"/>
      <c r="X1297" s="23"/>
      <c r="Y1297" s="23"/>
      <c r="Z1297" s="56"/>
      <c r="AA1297" s="24"/>
      <c r="AB1297" s="19"/>
      <c r="AC1297" s="19"/>
      <c r="AD1297" s="15" t="e">
        <f ca="1">IF(AND($D1297&lt;&gt;"",COUNTIF(OFFSET(UFS!$E$2,MATCH($D1297&amp;"",UFS!$A$2:$A$175,0)-1,0,COUNTIF(UFS!$A$2:$A$175,$D1297&amp;""),1),M1297)&gt;0),"Valide","Invalide")</f>
        <v>#N/A</v>
      </c>
      <c r="AH1297" s="15" t="str">
        <f t="shared" si="20"/>
        <v/>
      </c>
    </row>
    <row r="1298" spans="1:34" s="15" customFormat="1" ht="45" hidden="1" customHeight="1" x14ac:dyDescent="0.3">
      <c r="A1298" s="42">
        <v>1299</v>
      </c>
      <c r="B1298" s="19"/>
      <c r="C1298" s="19"/>
      <c r="D1298" s="20"/>
      <c r="E1298" s="20"/>
      <c r="F1298" s="21"/>
      <c r="G1298" s="38"/>
      <c r="H1298" s="39"/>
      <c r="I1298" s="39"/>
      <c r="J1298" s="21"/>
      <c r="K1298" s="21"/>
      <c r="L1298" s="21"/>
      <c r="M1298" s="21"/>
      <c r="N1298" s="21"/>
      <c r="O1298" s="20"/>
      <c r="P1298" s="19"/>
      <c r="Q1298" s="39"/>
      <c r="R1298" s="19"/>
      <c r="S1298" s="21"/>
      <c r="T1298" s="21"/>
      <c r="U1298" s="39"/>
      <c r="V1298" s="21"/>
      <c r="W1298" s="54"/>
      <c r="X1298" s="23"/>
      <c r="Y1298" s="23"/>
      <c r="Z1298" s="56"/>
      <c r="AA1298" s="24"/>
      <c r="AB1298" s="19"/>
      <c r="AC1298" s="19"/>
      <c r="AD1298" s="15" t="e">
        <f ca="1">IF(AND($D1298&lt;&gt;"",COUNTIF(OFFSET(UFS!$E$2,MATCH($D1298&amp;"",UFS!$A$2:$A$175,0)-1,0,COUNTIF(UFS!$A$2:$A$175,$D1298&amp;""),1),M1298)&gt;0),"Valide","Invalide")</f>
        <v>#N/A</v>
      </c>
      <c r="AH1298" s="15" t="str">
        <f t="shared" si="20"/>
        <v/>
      </c>
    </row>
    <row r="1299" spans="1:34" s="15" customFormat="1" ht="45" hidden="1" customHeight="1" x14ac:dyDescent="0.3">
      <c r="A1299" s="42">
        <v>1300</v>
      </c>
      <c r="B1299" s="19"/>
      <c r="C1299" s="19"/>
      <c r="D1299" s="20"/>
      <c r="E1299" s="20"/>
      <c r="F1299" s="21"/>
      <c r="G1299" s="38"/>
      <c r="H1299" s="39"/>
      <c r="I1299" s="39"/>
      <c r="J1299" s="21"/>
      <c r="K1299" s="21"/>
      <c r="L1299" s="21"/>
      <c r="M1299" s="21"/>
      <c r="N1299" s="21"/>
      <c r="O1299" s="20"/>
      <c r="P1299" s="19"/>
      <c r="Q1299" s="39"/>
      <c r="R1299" s="19"/>
      <c r="S1299" s="21"/>
      <c r="T1299" s="21"/>
      <c r="U1299" s="39"/>
      <c r="V1299" s="21"/>
      <c r="W1299" s="54"/>
      <c r="X1299" s="23"/>
      <c r="Y1299" s="23"/>
      <c r="Z1299" s="56"/>
      <c r="AA1299" s="24"/>
      <c r="AB1299" s="19"/>
      <c r="AC1299" s="19"/>
      <c r="AD1299" s="15" t="e">
        <f ca="1">IF(AND($D1299&lt;&gt;"",COUNTIF(OFFSET(UFS!$E$2,MATCH($D1299&amp;"",UFS!$A$2:$A$175,0)-1,0,COUNTIF(UFS!$A$2:$A$175,$D1299&amp;""),1),M1299)&gt;0),"Valide","Invalide")</f>
        <v>#N/A</v>
      </c>
      <c r="AH1299" s="15" t="str">
        <f t="shared" si="20"/>
        <v/>
      </c>
    </row>
    <row r="1300" spans="1:34" s="15" customFormat="1" ht="45" hidden="1" customHeight="1" x14ac:dyDescent="0.3">
      <c r="A1300" s="42">
        <v>1301</v>
      </c>
      <c r="B1300" s="19"/>
      <c r="C1300" s="19"/>
      <c r="D1300" s="20"/>
      <c r="E1300" s="20"/>
      <c r="F1300" s="21"/>
      <c r="G1300" s="38"/>
      <c r="H1300" s="39"/>
      <c r="I1300" s="39"/>
      <c r="J1300" s="21"/>
      <c r="K1300" s="21"/>
      <c r="L1300" s="21"/>
      <c r="M1300" s="21"/>
      <c r="N1300" s="21"/>
      <c r="O1300" s="20"/>
      <c r="P1300" s="19"/>
      <c r="Q1300" s="39"/>
      <c r="R1300" s="19"/>
      <c r="S1300" s="21"/>
      <c r="T1300" s="21"/>
      <c r="U1300" s="39"/>
      <c r="V1300" s="21"/>
      <c r="W1300" s="54"/>
      <c r="X1300" s="23"/>
      <c r="Y1300" s="23"/>
      <c r="Z1300" s="56"/>
      <c r="AA1300" s="24"/>
      <c r="AB1300" s="19"/>
      <c r="AC1300" s="19"/>
      <c r="AD1300" s="15" t="e">
        <f ca="1">IF(AND($D1300&lt;&gt;"",COUNTIF(OFFSET(UFS!$E$2,MATCH($D1300&amp;"",UFS!$A$2:$A$175,0)-1,0,COUNTIF(UFS!$A$2:$A$175,$D1300&amp;""),1),M1300)&gt;0),"Valide","Invalide")</f>
        <v>#N/A</v>
      </c>
      <c r="AH1300" s="15" t="str">
        <f t="shared" si="20"/>
        <v/>
      </c>
    </row>
    <row r="1301" spans="1:34" s="15" customFormat="1" ht="45" hidden="1" customHeight="1" x14ac:dyDescent="0.3">
      <c r="A1301" s="42">
        <v>1302</v>
      </c>
      <c r="B1301" s="19"/>
      <c r="C1301" s="19"/>
      <c r="D1301" s="20"/>
      <c r="E1301" s="20"/>
      <c r="F1301" s="21"/>
      <c r="G1301" s="38"/>
      <c r="H1301" s="39"/>
      <c r="I1301" s="39"/>
      <c r="J1301" s="21"/>
      <c r="K1301" s="21"/>
      <c r="L1301" s="21"/>
      <c r="M1301" s="21"/>
      <c r="N1301" s="21"/>
      <c r="O1301" s="20"/>
      <c r="P1301" s="19"/>
      <c r="Q1301" s="39"/>
      <c r="R1301" s="19"/>
      <c r="S1301" s="21"/>
      <c r="T1301" s="21"/>
      <c r="U1301" s="39"/>
      <c r="V1301" s="21"/>
      <c r="W1301" s="54"/>
      <c r="X1301" s="23"/>
      <c r="Y1301" s="23"/>
      <c r="Z1301" s="56"/>
      <c r="AA1301" s="24"/>
      <c r="AB1301" s="19"/>
      <c r="AC1301" s="19"/>
      <c r="AD1301" s="15" t="e">
        <f ca="1">IF(AND($D1301&lt;&gt;"",COUNTIF(OFFSET(UFS!$E$2,MATCH($D1301&amp;"",UFS!$A$2:$A$175,0)-1,0,COUNTIF(UFS!$A$2:$A$175,$D1301&amp;""),1),M1301)&gt;0),"Valide","Invalide")</f>
        <v>#N/A</v>
      </c>
      <c r="AH1301" s="15" t="str">
        <f t="shared" si="20"/>
        <v/>
      </c>
    </row>
    <row r="1302" spans="1:34" s="15" customFormat="1" ht="45" hidden="1" customHeight="1" x14ac:dyDescent="0.3">
      <c r="A1302" s="42">
        <v>1303</v>
      </c>
      <c r="B1302" s="19"/>
      <c r="C1302" s="19"/>
      <c r="D1302" s="20"/>
      <c r="E1302" s="20"/>
      <c r="F1302" s="21"/>
      <c r="G1302" s="38"/>
      <c r="H1302" s="39"/>
      <c r="I1302" s="39"/>
      <c r="J1302" s="21"/>
      <c r="K1302" s="21"/>
      <c r="L1302" s="21"/>
      <c r="M1302" s="21"/>
      <c r="N1302" s="21"/>
      <c r="O1302" s="20"/>
      <c r="P1302" s="19"/>
      <c r="Q1302" s="39"/>
      <c r="R1302" s="19"/>
      <c r="S1302" s="21"/>
      <c r="T1302" s="21"/>
      <c r="U1302" s="39"/>
      <c r="V1302" s="21"/>
      <c r="W1302" s="54"/>
      <c r="X1302" s="23"/>
      <c r="Y1302" s="23"/>
      <c r="Z1302" s="56"/>
      <c r="AA1302" s="24"/>
      <c r="AB1302" s="19"/>
      <c r="AC1302" s="19"/>
      <c r="AD1302" s="15" t="e">
        <f ca="1">IF(AND($D1302&lt;&gt;"",COUNTIF(OFFSET(UFS!$E$2,MATCH($D1302&amp;"",UFS!$A$2:$A$175,0)-1,0,COUNTIF(UFS!$A$2:$A$175,$D1302&amp;""),1),M1302)&gt;0),"Valide","Invalide")</f>
        <v>#N/A</v>
      </c>
      <c r="AH1302" s="15" t="str">
        <f t="shared" si="20"/>
        <v/>
      </c>
    </row>
    <row r="1303" spans="1:34" s="15" customFormat="1" ht="45" hidden="1" customHeight="1" x14ac:dyDescent="0.3">
      <c r="A1303" s="42">
        <v>1304</v>
      </c>
      <c r="B1303" s="19"/>
      <c r="C1303" s="19"/>
      <c r="D1303" s="20"/>
      <c r="E1303" s="20"/>
      <c r="F1303" s="21"/>
      <c r="G1303" s="38"/>
      <c r="H1303" s="39"/>
      <c r="I1303" s="39"/>
      <c r="J1303" s="21"/>
      <c r="K1303" s="21"/>
      <c r="L1303" s="21"/>
      <c r="M1303" s="21"/>
      <c r="N1303" s="21"/>
      <c r="O1303" s="20"/>
      <c r="P1303" s="19"/>
      <c r="Q1303" s="39"/>
      <c r="R1303" s="19"/>
      <c r="S1303" s="21"/>
      <c r="T1303" s="21"/>
      <c r="U1303" s="39"/>
      <c r="V1303" s="21"/>
      <c r="W1303" s="54"/>
      <c r="X1303" s="23"/>
      <c r="Y1303" s="23"/>
      <c r="Z1303" s="56"/>
      <c r="AA1303" s="24"/>
      <c r="AB1303" s="19"/>
      <c r="AC1303" s="19"/>
      <c r="AD1303" s="15" t="e">
        <f ca="1">IF(AND($D1303&lt;&gt;"",COUNTIF(OFFSET(UFS!$E$2,MATCH($D1303&amp;"",UFS!$A$2:$A$175,0)-1,0,COUNTIF(UFS!$A$2:$A$175,$D1303&amp;""),1),M1303)&gt;0),"Valide","Invalide")</f>
        <v>#N/A</v>
      </c>
      <c r="AH1303" s="15" t="str">
        <f t="shared" si="20"/>
        <v/>
      </c>
    </row>
    <row r="1304" spans="1:34" s="15" customFormat="1" ht="45" hidden="1" customHeight="1" x14ac:dyDescent="0.3">
      <c r="A1304" s="42">
        <v>1305</v>
      </c>
      <c r="B1304" s="19"/>
      <c r="C1304" s="19"/>
      <c r="D1304" s="20"/>
      <c r="E1304" s="20"/>
      <c r="F1304" s="21"/>
      <c r="G1304" s="38"/>
      <c r="H1304" s="39"/>
      <c r="I1304" s="39"/>
      <c r="J1304" s="21"/>
      <c r="K1304" s="21"/>
      <c r="L1304" s="21"/>
      <c r="M1304" s="21"/>
      <c r="N1304" s="21"/>
      <c r="O1304" s="20"/>
      <c r="P1304" s="19"/>
      <c r="Q1304" s="39"/>
      <c r="R1304" s="19"/>
      <c r="S1304" s="21"/>
      <c r="T1304" s="21"/>
      <c r="U1304" s="39"/>
      <c r="V1304" s="21"/>
      <c r="W1304" s="54"/>
      <c r="X1304" s="23"/>
      <c r="Y1304" s="23"/>
      <c r="Z1304" s="56"/>
      <c r="AA1304" s="24"/>
      <c r="AB1304" s="19"/>
      <c r="AC1304" s="19"/>
      <c r="AD1304" s="15" t="e">
        <f ca="1">IF(AND($D1304&lt;&gt;"",COUNTIF(OFFSET(UFS!$E$2,MATCH($D1304&amp;"",UFS!$A$2:$A$175,0)-1,0,COUNTIF(UFS!$A$2:$A$175,$D1304&amp;""),1),M1304)&gt;0),"Valide","Invalide")</f>
        <v>#N/A</v>
      </c>
      <c r="AH1304" s="15" t="str">
        <f t="shared" si="20"/>
        <v/>
      </c>
    </row>
    <row r="1305" spans="1:34" s="15" customFormat="1" ht="45" hidden="1" customHeight="1" x14ac:dyDescent="0.3">
      <c r="A1305" s="42">
        <v>1306</v>
      </c>
      <c r="B1305" s="19"/>
      <c r="C1305" s="19"/>
      <c r="D1305" s="20"/>
      <c r="E1305" s="20"/>
      <c r="F1305" s="21"/>
      <c r="G1305" s="38"/>
      <c r="H1305" s="39"/>
      <c r="I1305" s="39"/>
      <c r="J1305" s="21"/>
      <c r="K1305" s="21"/>
      <c r="L1305" s="21"/>
      <c r="M1305" s="21"/>
      <c r="N1305" s="21"/>
      <c r="O1305" s="20"/>
      <c r="P1305" s="19"/>
      <c r="Q1305" s="39"/>
      <c r="R1305" s="19"/>
      <c r="S1305" s="21"/>
      <c r="T1305" s="21"/>
      <c r="U1305" s="39"/>
      <c r="V1305" s="21"/>
      <c r="W1305" s="54"/>
      <c r="X1305" s="23"/>
      <c r="Y1305" s="23"/>
      <c r="Z1305" s="56"/>
      <c r="AA1305" s="24"/>
      <c r="AB1305" s="19"/>
      <c r="AC1305" s="19"/>
      <c r="AD1305" s="15" t="e">
        <f ca="1">IF(AND($D1305&lt;&gt;"",COUNTIF(OFFSET(UFS!$E$2,MATCH($D1305&amp;"",UFS!$A$2:$A$175,0)-1,0,COUNTIF(UFS!$A$2:$A$175,$D1305&amp;""),1),M1305)&gt;0),"Valide","Invalide")</f>
        <v>#N/A</v>
      </c>
      <c r="AH1305" s="15" t="str">
        <f t="shared" si="20"/>
        <v/>
      </c>
    </row>
    <row r="1306" spans="1:34" s="15" customFormat="1" ht="45" hidden="1" customHeight="1" x14ac:dyDescent="0.3">
      <c r="A1306" s="42">
        <v>1307</v>
      </c>
      <c r="B1306" s="19"/>
      <c r="C1306" s="19"/>
      <c r="D1306" s="20"/>
      <c r="E1306" s="20"/>
      <c r="F1306" s="21"/>
      <c r="G1306" s="38"/>
      <c r="H1306" s="39"/>
      <c r="I1306" s="39"/>
      <c r="J1306" s="21"/>
      <c r="K1306" s="21"/>
      <c r="L1306" s="21"/>
      <c r="M1306" s="21"/>
      <c r="N1306" s="21"/>
      <c r="O1306" s="20"/>
      <c r="P1306" s="19"/>
      <c r="Q1306" s="39"/>
      <c r="R1306" s="19"/>
      <c r="S1306" s="21"/>
      <c r="T1306" s="21"/>
      <c r="U1306" s="39"/>
      <c r="V1306" s="21"/>
      <c r="W1306" s="54"/>
      <c r="X1306" s="23"/>
      <c r="Y1306" s="23"/>
      <c r="Z1306" s="56"/>
      <c r="AA1306" s="24"/>
      <c r="AB1306" s="19"/>
      <c r="AC1306" s="19"/>
      <c r="AD1306" s="15" t="e">
        <f ca="1">IF(AND($D1306&lt;&gt;"",COUNTIF(OFFSET(UFS!$E$2,MATCH($D1306&amp;"",UFS!$A$2:$A$175,0)-1,0,COUNTIF(UFS!$A$2:$A$175,$D1306&amp;""),1),M1306)&gt;0),"Valide","Invalide")</f>
        <v>#N/A</v>
      </c>
      <c r="AH1306" s="15" t="str">
        <f t="shared" si="20"/>
        <v/>
      </c>
    </row>
    <row r="1307" spans="1:34" s="15" customFormat="1" ht="45" hidden="1" customHeight="1" x14ac:dyDescent="0.3">
      <c r="A1307" s="42">
        <v>1308</v>
      </c>
      <c r="B1307" s="19"/>
      <c r="C1307" s="19"/>
      <c r="D1307" s="20"/>
      <c r="E1307" s="20"/>
      <c r="F1307" s="21"/>
      <c r="G1307" s="38"/>
      <c r="H1307" s="39"/>
      <c r="I1307" s="39"/>
      <c r="J1307" s="21"/>
      <c r="K1307" s="21"/>
      <c r="L1307" s="21"/>
      <c r="M1307" s="21"/>
      <c r="N1307" s="21"/>
      <c r="O1307" s="20"/>
      <c r="P1307" s="19"/>
      <c r="Q1307" s="39"/>
      <c r="R1307" s="19"/>
      <c r="S1307" s="21"/>
      <c r="T1307" s="21"/>
      <c r="U1307" s="39"/>
      <c r="V1307" s="21"/>
      <c r="W1307" s="54"/>
      <c r="X1307" s="23"/>
      <c r="Y1307" s="23"/>
      <c r="Z1307" s="56"/>
      <c r="AA1307" s="24"/>
      <c r="AB1307" s="19"/>
      <c r="AC1307" s="19"/>
      <c r="AD1307" s="15" t="e">
        <f ca="1">IF(AND($D1307&lt;&gt;"",COUNTIF(OFFSET(UFS!$E$2,MATCH($D1307&amp;"",UFS!$A$2:$A$175,0)-1,0,COUNTIF(UFS!$A$2:$A$175,$D1307&amp;""),1),M1307)&gt;0),"Valide","Invalide")</f>
        <v>#N/A</v>
      </c>
      <c r="AH1307" s="15" t="str">
        <f t="shared" si="20"/>
        <v/>
      </c>
    </row>
    <row r="1308" spans="1:34" s="15" customFormat="1" ht="45" hidden="1" customHeight="1" x14ac:dyDescent="0.3">
      <c r="A1308" s="42">
        <v>1309</v>
      </c>
      <c r="B1308" s="19"/>
      <c r="C1308" s="19"/>
      <c r="D1308" s="20"/>
      <c r="E1308" s="20"/>
      <c r="F1308" s="21"/>
      <c r="G1308" s="38"/>
      <c r="H1308" s="39"/>
      <c r="I1308" s="39"/>
      <c r="J1308" s="21"/>
      <c r="K1308" s="21"/>
      <c r="L1308" s="21"/>
      <c r="M1308" s="21"/>
      <c r="N1308" s="21"/>
      <c r="O1308" s="20"/>
      <c r="P1308" s="19"/>
      <c r="Q1308" s="39"/>
      <c r="R1308" s="19"/>
      <c r="S1308" s="21"/>
      <c r="T1308" s="21"/>
      <c r="U1308" s="39"/>
      <c r="V1308" s="21"/>
      <c r="W1308" s="54"/>
      <c r="X1308" s="23"/>
      <c r="Y1308" s="23"/>
      <c r="Z1308" s="56"/>
      <c r="AA1308" s="24"/>
      <c r="AB1308" s="19"/>
      <c r="AC1308" s="19"/>
      <c r="AD1308" s="15" t="e">
        <f ca="1">IF(AND($D1308&lt;&gt;"",COUNTIF(OFFSET(UFS!$E$2,MATCH($D1308&amp;"",UFS!$A$2:$A$175,0)-1,0,COUNTIF(UFS!$A$2:$A$175,$D1308&amp;""),1),M1308)&gt;0),"Valide","Invalide")</f>
        <v>#N/A</v>
      </c>
      <c r="AH1308" s="15" t="str">
        <f t="shared" si="20"/>
        <v/>
      </c>
    </row>
    <row r="1309" spans="1:34" s="15" customFormat="1" ht="45" hidden="1" customHeight="1" x14ac:dyDescent="0.3">
      <c r="A1309" s="42">
        <v>1310</v>
      </c>
      <c r="B1309" s="19"/>
      <c r="C1309" s="19"/>
      <c r="D1309" s="20"/>
      <c r="E1309" s="20"/>
      <c r="F1309" s="21"/>
      <c r="G1309" s="38"/>
      <c r="H1309" s="39"/>
      <c r="I1309" s="39"/>
      <c r="J1309" s="21"/>
      <c r="K1309" s="21"/>
      <c r="L1309" s="21"/>
      <c r="M1309" s="21"/>
      <c r="N1309" s="21"/>
      <c r="O1309" s="20"/>
      <c r="P1309" s="19"/>
      <c r="Q1309" s="39"/>
      <c r="R1309" s="19"/>
      <c r="S1309" s="21"/>
      <c r="T1309" s="21"/>
      <c r="U1309" s="39"/>
      <c r="V1309" s="21"/>
      <c r="W1309" s="54"/>
      <c r="X1309" s="23"/>
      <c r="Y1309" s="23"/>
      <c r="Z1309" s="56"/>
      <c r="AA1309" s="24"/>
      <c r="AB1309" s="19"/>
      <c r="AC1309" s="19"/>
      <c r="AD1309" s="15" t="e">
        <f ca="1">IF(AND($D1309&lt;&gt;"",COUNTIF(OFFSET(UFS!$E$2,MATCH($D1309&amp;"",UFS!$A$2:$A$175,0)-1,0,COUNTIF(UFS!$A$2:$A$175,$D1309&amp;""),1),M1309)&gt;0),"Valide","Invalide")</f>
        <v>#N/A</v>
      </c>
      <c r="AH1309" s="15" t="str">
        <f t="shared" si="20"/>
        <v/>
      </c>
    </row>
    <row r="1310" spans="1:34" s="15" customFormat="1" ht="45" hidden="1" customHeight="1" x14ac:dyDescent="0.3">
      <c r="A1310" s="42">
        <v>1311</v>
      </c>
      <c r="B1310" s="19"/>
      <c r="C1310" s="19"/>
      <c r="D1310" s="20"/>
      <c r="E1310" s="20"/>
      <c r="F1310" s="21"/>
      <c r="G1310" s="38"/>
      <c r="H1310" s="39"/>
      <c r="I1310" s="39"/>
      <c r="J1310" s="21"/>
      <c r="K1310" s="21"/>
      <c r="L1310" s="21"/>
      <c r="M1310" s="21"/>
      <c r="N1310" s="21"/>
      <c r="O1310" s="20"/>
      <c r="P1310" s="19"/>
      <c r="Q1310" s="39"/>
      <c r="R1310" s="19"/>
      <c r="S1310" s="21"/>
      <c r="T1310" s="21"/>
      <c r="U1310" s="39"/>
      <c r="V1310" s="21"/>
      <c r="W1310" s="54"/>
      <c r="X1310" s="23"/>
      <c r="Y1310" s="23"/>
      <c r="Z1310" s="56"/>
      <c r="AA1310" s="24"/>
      <c r="AB1310" s="19"/>
      <c r="AC1310" s="19"/>
      <c r="AD1310" s="15" t="e">
        <f ca="1">IF(AND($D1310&lt;&gt;"",COUNTIF(OFFSET(UFS!$E$2,MATCH($D1310&amp;"",UFS!$A$2:$A$175,0)-1,0,COUNTIF(UFS!$A$2:$A$175,$D1310&amp;""),1),M1310)&gt;0),"Valide","Invalide")</f>
        <v>#N/A</v>
      </c>
      <c r="AH1310" s="15" t="str">
        <f t="shared" si="20"/>
        <v/>
      </c>
    </row>
    <row r="1311" spans="1:34" s="15" customFormat="1" ht="45" hidden="1" customHeight="1" x14ac:dyDescent="0.3">
      <c r="A1311" s="42">
        <v>1312</v>
      </c>
      <c r="B1311" s="19"/>
      <c r="C1311" s="19"/>
      <c r="D1311" s="20"/>
      <c r="E1311" s="20"/>
      <c r="F1311" s="21"/>
      <c r="G1311" s="38"/>
      <c r="H1311" s="39"/>
      <c r="I1311" s="39"/>
      <c r="J1311" s="21"/>
      <c r="K1311" s="21"/>
      <c r="L1311" s="21"/>
      <c r="M1311" s="21"/>
      <c r="N1311" s="21"/>
      <c r="O1311" s="20"/>
      <c r="P1311" s="19"/>
      <c r="Q1311" s="39"/>
      <c r="R1311" s="19"/>
      <c r="S1311" s="21"/>
      <c r="T1311" s="21"/>
      <c r="U1311" s="39"/>
      <c r="V1311" s="21"/>
      <c r="W1311" s="54"/>
      <c r="X1311" s="23"/>
      <c r="Y1311" s="23"/>
      <c r="Z1311" s="56"/>
      <c r="AA1311" s="24"/>
      <c r="AB1311" s="19"/>
      <c r="AC1311" s="19"/>
      <c r="AD1311" s="15" t="e">
        <f ca="1">IF(AND($D1311&lt;&gt;"",COUNTIF(OFFSET(UFS!$E$2,MATCH($D1311&amp;"",UFS!$A$2:$A$175,0)-1,0,COUNTIF(UFS!$A$2:$A$175,$D1311&amp;""),1),M1311)&gt;0),"Valide","Invalide")</f>
        <v>#N/A</v>
      </c>
      <c r="AH1311" s="15" t="str">
        <f t="shared" si="20"/>
        <v/>
      </c>
    </row>
    <row r="1312" spans="1:34" s="15" customFormat="1" ht="45" hidden="1" customHeight="1" x14ac:dyDescent="0.3">
      <c r="A1312" s="42">
        <v>1313</v>
      </c>
      <c r="B1312" s="19"/>
      <c r="C1312" s="19"/>
      <c r="D1312" s="20"/>
      <c r="E1312" s="20"/>
      <c r="F1312" s="21"/>
      <c r="G1312" s="38"/>
      <c r="H1312" s="39"/>
      <c r="I1312" s="39"/>
      <c r="J1312" s="21"/>
      <c r="K1312" s="21"/>
      <c r="L1312" s="21"/>
      <c r="M1312" s="21"/>
      <c r="N1312" s="21"/>
      <c r="O1312" s="20"/>
      <c r="P1312" s="19"/>
      <c r="Q1312" s="39"/>
      <c r="R1312" s="19"/>
      <c r="S1312" s="21"/>
      <c r="T1312" s="21"/>
      <c r="U1312" s="39"/>
      <c r="V1312" s="21"/>
      <c r="W1312" s="54"/>
      <c r="X1312" s="23"/>
      <c r="Y1312" s="23"/>
      <c r="Z1312" s="56"/>
      <c r="AA1312" s="24"/>
      <c r="AB1312" s="19"/>
      <c r="AC1312" s="19"/>
      <c r="AD1312" s="15" t="e">
        <f ca="1">IF(AND($D1312&lt;&gt;"",COUNTIF(OFFSET(UFS!$E$2,MATCH($D1312&amp;"",UFS!$A$2:$A$175,0)-1,0,COUNTIF(UFS!$A$2:$A$175,$D1312&amp;""),1),M1312)&gt;0),"Valide","Invalide")</f>
        <v>#N/A</v>
      </c>
      <c r="AH1312" s="15" t="str">
        <f t="shared" si="20"/>
        <v/>
      </c>
    </row>
    <row r="1313" spans="1:34" s="15" customFormat="1" ht="45" hidden="1" customHeight="1" x14ac:dyDescent="0.3">
      <c r="A1313" s="42">
        <v>1314</v>
      </c>
      <c r="B1313" s="19"/>
      <c r="C1313" s="19"/>
      <c r="D1313" s="20"/>
      <c r="E1313" s="20"/>
      <c r="F1313" s="21"/>
      <c r="G1313" s="38"/>
      <c r="H1313" s="39"/>
      <c r="I1313" s="39"/>
      <c r="J1313" s="21"/>
      <c r="K1313" s="21"/>
      <c r="L1313" s="21"/>
      <c r="M1313" s="21"/>
      <c r="N1313" s="21"/>
      <c r="O1313" s="20"/>
      <c r="P1313" s="19"/>
      <c r="Q1313" s="39"/>
      <c r="R1313" s="19"/>
      <c r="S1313" s="21"/>
      <c r="T1313" s="21"/>
      <c r="U1313" s="39"/>
      <c r="V1313" s="21"/>
      <c r="W1313" s="54"/>
      <c r="X1313" s="23"/>
      <c r="Y1313" s="23"/>
      <c r="Z1313" s="56"/>
      <c r="AA1313" s="24"/>
      <c r="AB1313" s="19"/>
      <c r="AC1313" s="19"/>
      <c r="AD1313" s="15" t="e">
        <f ca="1">IF(AND($D1313&lt;&gt;"",COUNTIF(OFFSET(UFS!$E$2,MATCH($D1313&amp;"",UFS!$A$2:$A$175,0)-1,0,COUNTIF(UFS!$A$2:$A$175,$D1313&amp;""),1),M1313)&gt;0),"Valide","Invalide")</f>
        <v>#N/A</v>
      </c>
      <c r="AH1313" s="15" t="str">
        <f t="shared" si="20"/>
        <v/>
      </c>
    </row>
    <row r="1314" spans="1:34" s="15" customFormat="1" ht="45" hidden="1" customHeight="1" x14ac:dyDescent="0.3">
      <c r="A1314" s="42">
        <v>1315</v>
      </c>
      <c r="B1314" s="19"/>
      <c r="C1314" s="19"/>
      <c r="D1314" s="20"/>
      <c r="E1314" s="20"/>
      <c r="F1314" s="21"/>
      <c r="G1314" s="38"/>
      <c r="H1314" s="39"/>
      <c r="I1314" s="39"/>
      <c r="J1314" s="21"/>
      <c r="K1314" s="21"/>
      <c r="L1314" s="21"/>
      <c r="M1314" s="21"/>
      <c r="N1314" s="21"/>
      <c r="O1314" s="20"/>
      <c r="P1314" s="19"/>
      <c r="Q1314" s="39"/>
      <c r="R1314" s="19"/>
      <c r="S1314" s="21"/>
      <c r="T1314" s="21"/>
      <c r="U1314" s="39"/>
      <c r="V1314" s="21"/>
      <c r="W1314" s="54"/>
      <c r="X1314" s="23"/>
      <c r="Y1314" s="23"/>
      <c r="Z1314" s="56"/>
      <c r="AA1314" s="24"/>
      <c r="AB1314" s="19"/>
      <c r="AC1314" s="19"/>
      <c r="AD1314" s="15" t="e">
        <f ca="1">IF(AND($D1314&lt;&gt;"",COUNTIF(OFFSET(UFS!$E$2,MATCH($D1314&amp;"",UFS!$A$2:$A$175,0)-1,0,COUNTIF(UFS!$A$2:$A$175,$D1314&amp;""),1),M1314)&gt;0),"Valide","Invalide")</f>
        <v>#N/A</v>
      </c>
      <c r="AH1314" s="15" t="str">
        <f t="shared" si="20"/>
        <v/>
      </c>
    </row>
    <row r="1315" spans="1:34" s="15" customFormat="1" ht="45" hidden="1" customHeight="1" x14ac:dyDescent="0.3">
      <c r="A1315" s="42">
        <v>1316</v>
      </c>
      <c r="B1315" s="19"/>
      <c r="C1315" s="19"/>
      <c r="D1315" s="20"/>
      <c r="E1315" s="20"/>
      <c r="F1315" s="21"/>
      <c r="G1315" s="38"/>
      <c r="H1315" s="39"/>
      <c r="I1315" s="39"/>
      <c r="J1315" s="21"/>
      <c r="K1315" s="21"/>
      <c r="L1315" s="21"/>
      <c r="M1315" s="21"/>
      <c r="N1315" s="21"/>
      <c r="O1315" s="20"/>
      <c r="P1315" s="19"/>
      <c r="Q1315" s="39"/>
      <c r="R1315" s="19"/>
      <c r="S1315" s="21"/>
      <c r="T1315" s="21"/>
      <c r="U1315" s="39"/>
      <c r="V1315" s="21"/>
      <c r="W1315" s="54"/>
      <c r="X1315" s="23"/>
      <c r="Y1315" s="23"/>
      <c r="Z1315" s="56"/>
      <c r="AA1315" s="24"/>
      <c r="AB1315" s="19"/>
      <c r="AC1315" s="19"/>
      <c r="AD1315" s="15" t="e">
        <f ca="1">IF(AND($D1315&lt;&gt;"",COUNTIF(OFFSET(UFS!$E$2,MATCH($D1315&amp;"",UFS!$A$2:$A$175,0)-1,0,COUNTIF(UFS!$A$2:$A$175,$D1315&amp;""),1),M1315)&gt;0),"Valide","Invalide")</f>
        <v>#N/A</v>
      </c>
      <c r="AH1315" s="15" t="str">
        <f t="shared" si="20"/>
        <v/>
      </c>
    </row>
    <row r="1316" spans="1:34" s="15" customFormat="1" ht="45" hidden="1" customHeight="1" x14ac:dyDescent="0.3">
      <c r="A1316" s="42">
        <v>1317</v>
      </c>
      <c r="B1316" s="19"/>
      <c r="C1316" s="19"/>
      <c r="D1316" s="20"/>
      <c r="E1316" s="20"/>
      <c r="F1316" s="21"/>
      <c r="G1316" s="38"/>
      <c r="H1316" s="39"/>
      <c r="I1316" s="39"/>
      <c r="J1316" s="21"/>
      <c r="K1316" s="21"/>
      <c r="L1316" s="21"/>
      <c r="M1316" s="21"/>
      <c r="N1316" s="21"/>
      <c r="O1316" s="20"/>
      <c r="P1316" s="19"/>
      <c r="Q1316" s="39"/>
      <c r="R1316" s="19"/>
      <c r="S1316" s="21"/>
      <c r="T1316" s="21"/>
      <c r="U1316" s="39"/>
      <c r="V1316" s="21"/>
      <c r="W1316" s="54"/>
      <c r="X1316" s="23"/>
      <c r="Y1316" s="23"/>
      <c r="Z1316" s="56"/>
      <c r="AA1316" s="24"/>
      <c r="AB1316" s="19"/>
      <c r="AC1316" s="19"/>
      <c r="AD1316" s="15" t="e">
        <f ca="1">IF(AND($D1316&lt;&gt;"",COUNTIF(OFFSET(UFS!$E$2,MATCH($D1316&amp;"",UFS!$A$2:$A$175,0)-1,0,COUNTIF(UFS!$A$2:$A$175,$D1316&amp;""),1),M1316)&gt;0),"Valide","Invalide")</f>
        <v>#N/A</v>
      </c>
      <c r="AH1316" s="15" t="str">
        <f t="shared" si="20"/>
        <v/>
      </c>
    </row>
    <row r="1317" spans="1:34" s="15" customFormat="1" ht="45" hidden="1" customHeight="1" x14ac:dyDescent="0.3">
      <c r="A1317" s="42">
        <v>1318</v>
      </c>
      <c r="B1317" s="19"/>
      <c r="C1317" s="19"/>
      <c r="D1317" s="20"/>
      <c r="E1317" s="20"/>
      <c r="F1317" s="21"/>
      <c r="G1317" s="38"/>
      <c r="H1317" s="39"/>
      <c r="I1317" s="39"/>
      <c r="J1317" s="21"/>
      <c r="K1317" s="21"/>
      <c r="L1317" s="21"/>
      <c r="M1317" s="21"/>
      <c r="N1317" s="21"/>
      <c r="O1317" s="20"/>
      <c r="P1317" s="19"/>
      <c r="Q1317" s="39"/>
      <c r="R1317" s="19"/>
      <c r="S1317" s="21"/>
      <c r="T1317" s="21"/>
      <c r="U1317" s="39"/>
      <c r="V1317" s="21"/>
      <c r="W1317" s="54"/>
      <c r="X1317" s="23"/>
      <c r="Y1317" s="23"/>
      <c r="Z1317" s="56"/>
      <c r="AA1317" s="24"/>
      <c r="AB1317" s="19"/>
      <c r="AC1317" s="19"/>
      <c r="AD1317" s="15" t="e">
        <f ca="1">IF(AND($D1317&lt;&gt;"",COUNTIF(OFFSET(UFS!$E$2,MATCH($D1317&amp;"",UFS!$A$2:$A$175,0)-1,0,COUNTIF(UFS!$A$2:$A$175,$D1317&amp;""),1),M1317)&gt;0),"Valide","Invalide")</f>
        <v>#N/A</v>
      </c>
      <c r="AH1317" s="15" t="str">
        <f t="shared" si="20"/>
        <v/>
      </c>
    </row>
    <row r="1318" spans="1:34" s="15" customFormat="1" ht="45" hidden="1" customHeight="1" x14ac:dyDescent="0.3">
      <c r="A1318" s="42">
        <v>1319</v>
      </c>
      <c r="B1318" s="19"/>
      <c r="C1318" s="19"/>
      <c r="D1318" s="20"/>
      <c r="E1318" s="20"/>
      <c r="F1318" s="21"/>
      <c r="G1318" s="38"/>
      <c r="H1318" s="39"/>
      <c r="I1318" s="39"/>
      <c r="J1318" s="21"/>
      <c r="K1318" s="21"/>
      <c r="L1318" s="21"/>
      <c r="M1318" s="21"/>
      <c r="N1318" s="21"/>
      <c r="O1318" s="20"/>
      <c r="P1318" s="19"/>
      <c r="Q1318" s="39"/>
      <c r="R1318" s="19"/>
      <c r="S1318" s="21"/>
      <c r="T1318" s="21"/>
      <c r="U1318" s="39"/>
      <c r="V1318" s="21"/>
      <c r="W1318" s="54"/>
      <c r="X1318" s="23"/>
      <c r="Y1318" s="23"/>
      <c r="Z1318" s="56"/>
      <c r="AA1318" s="24"/>
      <c r="AB1318" s="19"/>
      <c r="AC1318" s="19"/>
      <c r="AD1318" s="15" t="e">
        <f ca="1">IF(AND($D1318&lt;&gt;"",COUNTIF(OFFSET(UFS!$E$2,MATCH($D1318&amp;"",UFS!$A$2:$A$175,0)-1,0,COUNTIF(UFS!$A$2:$A$175,$D1318&amp;""),1),M1318)&gt;0),"Valide","Invalide")</f>
        <v>#N/A</v>
      </c>
      <c r="AH1318" s="15" t="str">
        <f t="shared" si="20"/>
        <v/>
      </c>
    </row>
    <row r="1319" spans="1:34" s="15" customFormat="1" ht="45" hidden="1" customHeight="1" x14ac:dyDescent="0.3">
      <c r="A1319" s="42">
        <v>1320</v>
      </c>
      <c r="B1319" s="19"/>
      <c r="C1319" s="19"/>
      <c r="D1319" s="20"/>
      <c r="E1319" s="20"/>
      <c r="F1319" s="21"/>
      <c r="G1319" s="38"/>
      <c r="H1319" s="39"/>
      <c r="I1319" s="39"/>
      <c r="J1319" s="21"/>
      <c r="K1319" s="21"/>
      <c r="L1319" s="21"/>
      <c r="M1319" s="21"/>
      <c r="N1319" s="21"/>
      <c r="O1319" s="20"/>
      <c r="P1319" s="19"/>
      <c r="Q1319" s="39"/>
      <c r="R1319" s="19"/>
      <c r="S1319" s="21"/>
      <c r="T1319" s="21"/>
      <c r="U1319" s="39"/>
      <c r="V1319" s="21"/>
      <c r="W1319" s="54"/>
      <c r="X1319" s="23"/>
      <c r="Y1319" s="23"/>
      <c r="Z1319" s="56"/>
      <c r="AA1319" s="24"/>
      <c r="AB1319" s="19"/>
      <c r="AC1319" s="19"/>
      <c r="AD1319" s="15" t="e">
        <f ca="1">IF(AND($D1319&lt;&gt;"",COUNTIF(OFFSET(UFS!$E$2,MATCH($D1319&amp;"",UFS!$A$2:$A$175,0)-1,0,COUNTIF(UFS!$A$2:$A$175,$D1319&amp;""),1),M1319)&gt;0),"Valide","Invalide")</f>
        <v>#N/A</v>
      </c>
      <c r="AH1319" s="15" t="str">
        <f t="shared" si="20"/>
        <v/>
      </c>
    </row>
    <row r="1320" spans="1:34" s="15" customFormat="1" ht="45" hidden="1" customHeight="1" x14ac:dyDescent="0.3">
      <c r="A1320" s="42">
        <v>1321</v>
      </c>
      <c r="B1320" s="19"/>
      <c r="C1320" s="19"/>
      <c r="D1320" s="20"/>
      <c r="E1320" s="20"/>
      <c r="F1320" s="21"/>
      <c r="G1320" s="38"/>
      <c r="H1320" s="39"/>
      <c r="I1320" s="39"/>
      <c r="J1320" s="21"/>
      <c r="K1320" s="21"/>
      <c r="L1320" s="21"/>
      <c r="M1320" s="21"/>
      <c r="N1320" s="21"/>
      <c r="O1320" s="20"/>
      <c r="P1320" s="19"/>
      <c r="Q1320" s="39"/>
      <c r="R1320" s="19"/>
      <c r="S1320" s="21"/>
      <c r="T1320" s="21"/>
      <c r="U1320" s="39"/>
      <c r="V1320" s="21"/>
      <c r="W1320" s="54"/>
      <c r="X1320" s="23"/>
      <c r="Y1320" s="23"/>
      <c r="Z1320" s="56"/>
      <c r="AA1320" s="24"/>
      <c r="AB1320" s="19"/>
      <c r="AC1320" s="19"/>
      <c r="AD1320" s="15" t="e">
        <f ca="1">IF(AND($D1320&lt;&gt;"",COUNTIF(OFFSET(UFS!$E$2,MATCH($D1320&amp;"",UFS!$A$2:$A$175,0)-1,0,COUNTIF(UFS!$A$2:$A$175,$D1320&amp;""),1),M1320)&gt;0),"Valide","Invalide")</f>
        <v>#N/A</v>
      </c>
      <c r="AH1320" s="15" t="str">
        <f t="shared" si="20"/>
        <v/>
      </c>
    </row>
    <row r="1321" spans="1:34" s="15" customFormat="1" ht="45" hidden="1" customHeight="1" x14ac:dyDescent="0.3">
      <c r="A1321" s="42">
        <v>1322</v>
      </c>
      <c r="B1321" s="19"/>
      <c r="C1321" s="19"/>
      <c r="D1321" s="20"/>
      <c r="E1321" s="20"/>
      <c r="F1321" s="21"/>
      <c r="G1321" s="38"/>
      <c r="H1321" s="39"/>
      <c r="I1321" s="39"/>
      <c r="J1321" s="21"/>
      <c r="K1321" s="21"/>
      <c r="L1321" s="21"/>
      <c r="M1321" s="21"/>
      <c r="N1321" s="21"/>
      <c r="O1321" s="20"/>
      <c r="P1321" s="19"/>
      <c r="Q1321" s="39"/>
      <c r="R1321" s="19"/>
      <c r="S1321" s="21"/>
      <c r="T1321" s="21"/>
      <c r="U1321" s="39"/>
      <c r="V1321" s="21"/>
      <c r="W1321" s="54"/>
      <c r="X1321" s="23"/>
      <c r="Y1321" s="23"/>
      <c r="Z1321" s="56"/>
      <c r="AA1321" s="24"/>
      <c r="AB1321" s="19"/>
      <c r="AC1321" s="19"/>
      <c r="AD1321" s="15" t="e">
        <f ca="1">IF(AND($D1321&lt;&gt;"",COUNTIF(OFFSET(UFS!$E$2,MATCH($D1321&amp;"",UFS!$A$2:$A$175,0)-1,0,COUNTIF(UFS!$A$2:$A$175,$D1321&amp;""),1),M1321)&gt;0),"Valide","Invalide")</f>
        <v>#N/A</v>
      </c>
      <c r="AH1321" s="15" t="str">
        <f t="shared" si="20"/>
        <v/>
      </c>
    </row>
    <row r="1322" spans="1:34" s="15" customFormat="1" ht="45" hidden="1" customHeight="1" x14ac:dyDescent="0.3">
      <c r="A1322" s="42">
        <v>1323</v>
      </c>
      <c r="B1322" s="19"/>
      <c r="C1322" s="19"/>
      <c r="D1322" s="20"/>
      <c r="E1322" s="20"/>
      <c r="F1322" s="21"/>
      <c r="G1322" s="38"/>
      <c r="H1322" s="39"/>
      <c r="I1322" s="39"/>
      <c r="J1322" s="21"/>
      <c r="K1322" s="21"/>
      <c r="L1322" s="21"/>
      <c r="M1322" s="21"/>
      <c r="N1322" s="21"/>
      <c r="O1322" s="20"/>
      <c r="P1322" s="19"/>
      <c r="Q1322" s="39"/>
      <c r="R1322" s="19"/>
      <c r="S1322" s="21"/>
      <c r="T1322" s="21"/>
      <c r="U1322" s="39"/>
      <c r="V1322" s="21"/>
      <c r="W1322" s="54"/>
      <c r="X1322" s="23"/>
      <c r="Y1322" s="23"/>
      <c r="Z1322" s="56"/>
      <c r="AA1322" s="24"/>
      <c r="AB1322" s="19"/>
      <c r="AC1322" s="19"/>
      <c r="AD1322" s="15" t="e">
        <f ca="1">IF(AND($D1322&lt;&gt;"",COUNTIF(OFFSET(UFS!$E$2,MATCH($D1322&amp;"",UFS!$A$2:$A$175,0)-1,0,COUNTIF(UFS!$A$2:$A$175,$D1322&amp;""),1),M1322)&gt;0),"Valide","Invalide")</f>
        <v>#N/A</v>
      </c>
      <c r="AH1322" s="15" t="str">
        <f t="shared" si="20"/>
        <v/>
      </c>
    </row>
    <row r="1323" spans="1:34" s="15" customFormat="1" ht="45" hidden="1" customHeight="1" x14ac:dyDescent="0.3">
      <c r="A1323" s="42">
        <v>1324</v>
      </c>
      <c r="B1323" s="19"/>
      <c r="C1323" s="19"/>
      <c r="D1323" s="20"/>
      <c r="E1323" s="20"/>
      <c r="F1323" s="21"/>
      <c r="G1323" s="38"/>
      <c r="H1323" s="39"/>
      <c r="I1323" s="39"/>
      <c r="J1323" s="21"/>
      <c r="K1323" s="21"/>
      <c r="L1323" s="21"/>
      <c r="M1323" s="21"/>
      <c r="N1323" s="21"/>
      <c r="O1323" s="20"/>
      <c r="P1323" s="19"/>
      <c r="Q1323" s="39"/>
      <c r="R1323" s="19"/>
      <c r="S1323" s="21"/>
      <c r="T1323" s="21"/>
      <c r="U1323" s="39"/>
      <c r="V1323" s="21"/>
      <c r="W1323" s="54"/>
      <c r="X1323" s="23"/>
      <c r="Y1323" s="23"/>
      <c r="Z1323" s="56"/>
      <c r="AA1323" s="24"/>
      <c r="AB1323" s="19"/>
      <c r="AC1323" s="19"/>
      <c r="AD1323" s="15" t="e">
        <f ca="1">IF(AND($D1323&lt;&gt;"",COUNTIF(OFFSET(UFS!$E$2,MATCH($D1323&amp;"",UFS!$A$2:$A$175,0)-1,0,COUNTIF(UFS!$A$2:$A$175,$D1323&amp;""),1),M1323)&gt;0),"Valide","Invalide")</f>
        <v>#N/A</v>
      </c>
      <c r="AH1323" s="15" t="str">
        <f t="shared" si="20"/>
        <v/>
      </c>
    </row>
    <row r="1324" spans="1:34" s="15" customFormat="1" ht="45" hidden="1" customHeight="1" x14ac:dyDescent="0.3">
      <c r="A1324" s="42">
        <v>1325</v>
      </c>
      <c r="B1324" s="19"/>
      <c r="C1324" s="19"/>
      <c r="D1324" s="20"/>
      <c r="E1324" s="20"/>
      <c r="F1324" s="21"/>
      <c r="G1324" s="38"/>
      <c r="H1324" s="39"/>
      <c r="I1324" s="39"/>
      <c r="J1324" s="21"/>
      <c r="K1324" s="21"/>
      <c r="L1324" s="21"/>
      <c r="M1324" s="21"/>
      <c r="N1324" s="21"/>
      <c r="O1324" s="20"/>
      <c r="P1324" s="19"/>
      <c r="Q1324" s="39"/>
      <c r="R1324" s="19"/>
      <c r="S1324" s="21"/>
      <c r="T1324" s="21"/>
      <c r="U1324" s="39"/>
      <c r="V1324" s="21"/>
      <c r="W1324" s="54"/>
      <c r="X1324" s="23"/>
      <c r="Y1324" s="23"/>
      <c r="Z1324" s="56"/>
      <c r="AA1324" s="24"/>
      <c r="AB1324" s="19"/>
      <c r="AC1324" s="19"/>
      <c r="AD1324" s="15" t="e">
        <f ca="1">IF(AND($D1324&lt;&gt;"",COUNTIF(OFFSET(UFS!$E$2,MATCH($D1324&amp;"",UFS!$A$2:$A$175,0)-1,0,COUNTIF(UFS!$A$2:$A$175,$D1324&amp;""),1),M1324)&gt;0),"Valide","Invalide")</f>
        <v>#N/A</v>
      </c>
      <c r="AH1324" s="15" t="str">
        <f t="shared" si="20"/>
        <v/>
      </c>
    </row>
    <row r="1325" spans="1:34" s="15" customFormat="1" ht="45" hidden="1" customHeight="1" x14ac:dyDescent="0.3">
      <c r="A1325" s="42">
        <v>1326</v>
      </c>
      <c r="B1325" s="19"/>
      <c r="C1325" s="19"/>
      <c r="D1325" s="20"/>
      <c r="E1325" s="20"/>
      <c r="F1325" s="21"/>
      <c r="G1325" s="38"/>
      <c r="H1325" s="39"/>
      <c r="I1325" s="39"/>
      <c r="J1325" s="21"/>
      <c r="K1325" s="21"/>
      <c r="L1325" s="21"/>
      <c r="M1325" s="21"/>
      <c r="N1325" s="21"/>
      <c r="O1325" s="20"/>
      <c r="P1325" s="19"/>
      <c r="Q1325" s="39"/>
      <c r="R1325" s="19"/>
      <c r="S1325" s="21"/>
      <c r="T1325" s="21"/>
      <c r="U1325" s="39"/>
      <c r="V1325" s="21"/>
      <c r="W1325" s="54"/>
      <c r="X1325" s="23"/>
      <c r="Y1325" s="23"/>
      <c r="Z1325" s="56"/>
      <c r="AA1325" s="24"/>
      <c r="AB1325" s="19"/>
      <c r="AC1325" s="19"/>
      <c r="AD1325" s="15" t="e">
        <f ca="1">IF(AND($D1325&lt;&gt;"",COUNTIF(OFFSET(UFS!$E$2,MATCH($D1325&amp;"",UFS!$A$2:$A$175,0)-1,0,COUNTIF(UFS!$A$2:$A$175,$D1325&amp;""),1),M1325)&gt;0),"Valide","Invalide")</f>
        <v>#N/A</v>
      </c>
      <c r="AH1325" s="15" t="str">
        <f t="shared" si="20"/>
        <v/>
      </c>
    </row>
    <row r="1326" spans="1:34" s="15" customFormat="1" ht="45" hidden="1" customHeight="1" x14ac:dyDescent="0.3">
      <c r="A1326" s="42">
        <v>1327</v>
      </c>
      <c r="B1326" s="19"/>
      <c r="C1326" s="19"/>
      <c r="D1326" s="20"/>
      <c r="E1326" s="20"/>
      <c r="F1326" s="21"/>
      <c r="G1326" s="38"/>
      <c r="H1326" s="39"/>
      <c r="I1326" s="39"/>
      <c r="J1326" s="21"/>
      <c r="K1326" s="21"/>
      <c r="L1326" s="21"/>
      <c r="M1326" s="21"/>
      <c r="N1326" s="21"/>
      <c r="O1326" s="20"/>
      <c r="P1326" s="19"/>
      <c r="Q1326" s="39"/>
      <c r="R1326" s="19"/>
      <c r="S1326" s="21"/>
      <c r="T1326" s="21"/>
      <c r="U1326" s="39"/>
      <c r="V1326" s="21"/>
      <c r="W1326" s="54"/>
      <c r="X1326" s="23"/>
      <c r="Y1326" s="23"/>
      <c r="Z1326" s="56"/>
      <c r="AA1326" s="24"/>
      <c r="AB1326" s="19"/>
      <c r="AC1326" s="19"/>
      <c r="AD1326" s="15" t="e">
        <f ca="1">IF(AND($D1326&lt;&gt;"",COUNTIF(OFFSET(UFS!$E$2,MATCH($D1326&amp;"",UFS!$A$2:$A$175,0)-1,0,COUNTIF(UFS!$A$2:$A$175,$D1326&amp;""),1),M1326)&gt;0),"Valide","Invalide")</f>
        <v>#N/A</v>
      </c>
      <c r="AH1326" s="15" t="str">
        <f t="shared" si="20"/>
        <v/>
      </c>
    </row>
    <row r="1327" spans="1:34" s="15" customFormat="1" ht="45" hidden="1" customHeight="1" x14ac:dyDescent="0.3">
      <c r="A1327" s="42">
        <v>1328</v>
      </c>
      <c r="B1327" s="19"/>
      <c r="C1327" s="19"/>
      <c r="D1327" s="20"/>
      <c r="E1327" s="20"/>
      <c r="F1327" s="21"/>
      <c r="G1327" s="38"/>
      <c r="H1327" s="39"/>
      <c r="I1327" s="39"/>
      <c r="J1327" s="21"/>
      <c r="K1327" s="21"/>
      <c r="L1327" s="21"/>
      <c r="M1327" s="21"/>
      <c r="N1327" s="21"/>
      <c r="O1327" s="20"/>
      <c r="P1327" s="19"/>
      <c r="Q1327" s="39"/>
      <c r="R1327" s="19"/>
      <c r="S1327" s="21"/>
      <c r="T1327" s="21"/>
      <c r="U1327" s="39"/>
      <c r="V1327" s="21"/>
      <c r="W1327" s="54"/>
      <c r="X1327" s="23"/>
      <c r="Y1327" s="23"/>
      <c r="Z1327" s="56"/>
      <c r="AA1327" s="24"/>
      <c r="AB1327" s="19"/>
      <c r="AC1327" s="19"/>
      <c r="AD1327" s="15" t="e">
        <f ca="1">IF(AND($D1327&lt;&gt;"",COUNTIF(OFFSET(UFS!$E$2,MATCH($D1327&amp;"",UFS!$A$2:$A$175,0)-1,0,COUNTIF(UFS!$A$2:$A$175,$D1327&amp;""),1),M1327)&gt;0),"Valide","Invalide")</f>
        <v>#N/A</v>
      </c>
      <c r="AH1327" s="15" t="str">
        <f t="shared" si="20"/>
        <v/>
      </c>
    </row>
    <row r="1328" spans="1:34" s="15" customFormat="1" ht="45" hidden="1" customHeight="1" x14ac:dyDescent="0.3">
      <c r="A1328" s="42">
        <v>1329</v>
      </c>
      <c r="B1328" s="19"/>
      <c r="C1328" s="19"/>
      <c r="D1328" s="20"/>
      <c r="E1328" s="20"/>
      <c r="F1328" s="21"/>
      <c r="G1328" s="38"/>
      <c r="H1328" s="39"/>
      <c r="I1328" s="39"/>
      <c r="J1328" s="21"/>
      <c r="K1328" s="21"/>
      <c r="L1328" s="21"/>
      <c r="M1328" s="21"/>
      <c r="N1328" s="21"/>
      <c r="O1328" s="20"/>
      <c r="P1328" s="19"/>
      <c r="Q1328" s="39"/>
      <c r="R1328" s="19"/>
      <c r="S1328" s="21"/>
      <c r="T1328" s="21"/>
      <c r="U1328" s="39"/>
      <c r="V1328" s="21"/>
      <c r="W1328" s="54"/>
      <c r="X1328" s="23"/>
      <c r="Y1328" s="23"/>
      <c r="Z1328" s="56"/>
      <c r="AA1328" s="24"/>
      <c r="AB1328" s="19"/>
      <c r="AC1328" s="19"/>
      <c r="AD1328" s="15" t="e">
        <f ca="1">IF(AND($D1328&lt;&gt;"",COUNTIF(OFFSET(UFS!$E$2,MATCH($D1328&amp;"",UFS!$A$2:$A$175,0)-1,0,COUNTIF(UFS!$A$2:$A$175,$D1328&amp;""),1),M1328)&gt;0),"Valide","Invalide")</f>
        <v>#N/A</v>
      </c>
      <c r="AH1328" s="15" t="str">
        <f t="shared" si="20"/>
        <v/>
      </c>
    </row>
    <row r="1329" spans="1:34" s="15" customFormat="1" ht="45" hidden="1" customHeight="1" x14ac:dyDescent="0.3">
      <c r="A1329" s="42">
        <v>1330</v>
      </c>
      <c r="B1329" s="19"/>
      <c r="C1329" s="19"/>
      <c r="D1329" s="20"/>
      <c r="E1329" s="20"/>
      <c r="F1329" s="21"/>
      <c r="G1329" s="38"/>
      <c r="H1329" s="39"/>
      <c r="I1329" s="39"/>
      <c r="J1329" s="21"/>
      <c r="K1329" s="21"/>
      <c r="L1329" s="21"/>
      <c r="M1329" s="21"/>
      <c r="N1329" s="21"/>
      <c r="O1329" s="20"/>
      <c r="P1329" s="19"/>
      <c r="Q1329" s="39"/>
      <c r="R1329" s="19"/>
      <c r="S1329" s="21"/>
      <c r="T1329" s="21"/>
      <c r="U1329" s="39"/>
      <c r="V1329" s="21"/>
      <c r="W1329" s="54"/>
      <c r="X1329" s="23"/>
      <c r="Y1329" s="23"/>
      <c r="Z1329" s="56"/>
      <c r="AA1329" s="24"/>
      <c r="AB1329" s="19"/>
      <c r="AC1329" s="19"/>
      <c r="AD1329" s="15" t="e">
        <f ca="1">IF(AND($D1329&lt;&gt;"",COUNTIF(OFFSET(UFS!$E$2,MATCH($D1329&amp;"",UFS!$A$2:$A$175,0)-1,0,COUNTIF(UFS!$A$2:$A$175,$D1329&amp;""),1),M1329)&gt;0),"Valide","Invalide")</f>
        <v>#N/A</v>
      </c>
      <c r="AH1329" s="15" t="str">
        <f t="shared" si="20"/>
        <v/>
      </c>
    </row>
    <row r="1330" spans="1:34" s="15" customFormat="1" ht="45" hidden="1" customHeight="1" x14ac:dyDescent="0.3">
      <c r="A1330" s="42">
        <v>1331</v>
      </c>
      <c r="B1330" s="19"/>
      <c r="C1330" s="19"/>
      <c r="D1330" s="20"/>
      <c r="E1330" s="20"/>
      <c r="F1330" s="21"/>
      <c r="G1330" s="38"/>
      <c r="H1330" s="39"/>
      <c r="I1330" s="39"/>
      <c r="J1330" s="21"/>
      <c r="K1330" s="21"/>
      <c r="L1330" s="21"/>
      <c r="M1330" s="21"/>
      <c r="N1330" s="21"/>
      <c r="O1330" s="20"/>
      <c r="P1330" s="19"/>
      <c r="Q1330" s="39"/>
      <c r="R1330" s="19"/>
      <c r="S1330" s="21"/>
      <c r="T1330" s="21"/>
      <c r="U1330" s="39"/>
      <c r="V1330" s="21"/>
      <c r="W1330" s="54"/>
      <c r="X1330" s="23"/>
      <c r="Y1330" s="23"/>
      <c r="Z1330" s="56"/>
      <c r="AA1330" s="24"/>
      <c r="AB1330" s="19"/>
      <c r="AC1330" s="19"/>
      <c r="AD1330" s="15" t="e">
        <f ca="1">IF(AND($D1330&lt;&gt;"",COUNTIF(OFFSET(UFS!$E$2,MATCH($D1330&amp;"",UFS!$A$2:$A$175,0)-1,0,COUNTIF(UFS!$A$2:$A$175,$D1330&amp;""),1),M1330)&gt;0),"Valide","Invalide")</f>
        <v>#N/A</v>
      </c>
      <c r="AH1330" s="15" t="str">
        <f t="shared" si="20"/>
        <v/>
      </c>
    </row>
    <row r="1331" spans="1:34" s="15" customFormat="1" ht="45" hidden="1" customHeight="1" x14ac:dyDescent="0.3">
      <c r="A1331" s="42">
        <v>1332</v>
      </c>
      <c r="B1331" s="19"/>
      <c r="C1331" s="19"/>
      <c r="D1331" s="20"/>
      <c r="E1331" s="20"/>
      <c r="F1331" s="21"/>
      <c r="G1331" s="38"/>
      <c r="H1331" s="39"/>
      <c r="I1331" s="39"/>
      <c r="J1331" s="21"/>
      <c r="K1331" s="21"/>
      <c r="L1331" s="21"/>
      <c r="M1331" s="21"/>
      <c r="N1331" s="21"/>
      <c r="O1331" s="20"/>
      <c r="P1331" s="19"/>
      <c r="Q1331" s="39"/>
      <c r="R1331" s="19"/>
      <c r="S1331" s="21"/>
      <c r="T1331" s="21"/>
      <c r="U1331" s="39"/>
      <c r="V1331" s="21"/>
      <c r="W1331" s="54"/>
      <c r="X1331" s="23"/>
      <c r="Y1331" s="23"/>
      <c r="Z1331" s="56"/>
      <c r="AA1331" s="24"/>
      <c r="AB1331" s="19"/>
      <c r="AC1331" s="19"/>
      <c r="AD1331" s="15" t="e">
        <f ca="1">IF(AND($D1331&lt;&gt;"",COUNTIF(OFFSET(UFS!$E$2,MATCH($D1331&amp;"",UFS!$A$2:$A$175,0)-1,0,COUNTIF(UFS!$A$2:$A$175,$D1331&amp;""),1),M1331)&gt;0),"Valide","Invalide")</f>
        <v>#N/A</v>
      </c>
      <c r="AH1331" s="15" t="str">
        <f t="shared" si="20"/>
        <v/>
      </c>
    </row>
    <row r="1332" spans="1:34" s="15" customFormat="1" ht="45" hidden="1" customHeight="1" x14ac:dyDescent="0.3">
      <c r="A1332" s="42">
        <v>1333</v>
      </c>
      <c r="B1332" s="19"/>
      <c r="C1332" s="19"/>
      <c r="D1332" s="20"/>
      <c r="E1332" s="20"/>
      <c r="F1332" s="21"/>
      <c r="G1332" s="38"/>
      <c r="H1332" s="39"/>
      <c r="I1332" s="39"/>
      <c r="J1332" s="21"/>
      <c r="K1332" s="21"/>
      <c r="L1332" s="21"/>
      <c r="M1332" s="21"/>
      <c r="N1332" s="21"/>
      <c r="O1332" s="20"/>
      <c r="P1332" s="19"/>
      <c r="Q1332" s="39"/>
      <c r="R1332" s="19"/>
      <c r="S1332" s="21"/>
      <c r="T1332" s="21"/>
      <c r="U1332" s="39"/>
      <c r="V1332" s="21"/>
      <c r="W1332" s="54"/>
      <c r="X1332" s="23"/>
      <c r="Y1332" s="23"/>
      <c r="Z1332" s="56"/>
      <c r="AA1332" s="24"/>
      <c r="AB1332" s="19"/>
      <c r="AC1332" s="19"/>
      <c r="AD1332" s="15" t="e">
        <f ca="1">IF(AND($D1332&lt;&gt;"",COUNTIF(OFFSET(UFS!$E$2,MATCH($D1332&amp;"",UFS!$A$2:$A$175,0)-1,0,COUNTIF(UFS!$A$2:$A$175,$D1332&amp;""),1),M1332)&gt;0),"Valide","Invalide")</f>
        <v>#N/A</v>
      </c>
      <c r="AH1332" s="15" t="str">
        <f t="shared" si="20"/>
        <v/>
      </c>
    </row>
    <row r="1333" spans="1:34" s="15" customFormat="1" ht="45" hidden="1" customHeight="1" x14ac:dyDescent="0.3">
      <c r="A1333" s="42">
        <v>1334</v>
      </c>
      <c r="B1333" s="19"/>
      <c r="C1333" s="19"/>
      <c r="D1333" s="20"/>
      <c r="E1333" s="20"/>
      <c r="F1333" s="21"/>
      <c r="G1333" s="38"/>
      <c r="H1333" s="39"/>
      <c r="I1333" s="39"/>
      <c r="J1333" s="21"/>
      <c r="K1333" s="21"/>
      <c r="L1333" s="21"/>
      <c r="M1333" s="21"/>
      <c r="N1333" s="21"/>
      <c r="O1333" s="20"/>
      <c r="P1333" s="19"/>
      <c r="Q1333" s="39"/>
      <c r="R1333" s="19"/>
      <c r="S1333" s="21"/>
      <c r="T1333" s="21"/>
      <c r="U1333" s="39"/>
      <c r="V1333" s="21"/>
      <c r="W1333" s="54"/>
      <c r="X1333" s="23"/>
      <c r="Y1333" s="23"/>
      <c r="Z1333" s="56"/>
      <c r="AA1333" s="24"/>
      <c r="AB1333" s="19"/>
      <c r="AC1333" s="19"/>
      <c r="AD1333" s="15" t="e">
        <f ca="1">IF(AND($D1333&lt;&gt;"",COUNTIF(OFFSET(UFS!$E$2,MATCH($D1333&amp;"",UFS!$A$2:$A$175,0)-1,0,COUNTIF(UFS!$A$2:$A$175,$D1333&amp;""),1),M1333)&gt;0),"Valide","Invalide")</f>
        <v>#N/A</v>
      </c>
      <c r="AH1333" s="15" t="str">
        <f t="shared" si="20"/>
        <v/>
      </c>
    </row>
    <row r="1334" spans="1:34" s="15" customFormat="1" ht="45" hidden="1" customHeight="1" x14ac:dyDescent="0.3">
      <c r="A1334" s="42">
        <v>1335</v>
      </c>
      <c r="B1334" s="19"/>
      <c r="C1334" s="19"/>
      <c r="D1334" s="20"/>
      <c r="E1334" s="20"/>
      <c r="F1334" s="21"/>
      <c r="G1334" s="38"/>
      <c r="H1334" s="39"/>
      <c r="I1334" s="39"/>
      <c r="J1334" s="21"/>
      <c r="K1334" s="21"/>
      <c r="L1334" s="21"/>
      <c r="M1334" s="21"/>
      <c r="N1334" s="21"/>
      <c r="O1334" s="20"/>
      <c r="P1334" s="19"/>
      <c r="Q1334" s="39"/>
      <c r="R1334" s="19"/>
      <c r="S1334" s="21"/>
      <c r="T1334" s="21"/>
      <c r="U1334" s="39"/>
      <c r="V1334" s="21"/>
      <c r="W1334" s="54"/>
      <c r="X1334" s="23"/>
      <c r="Y1334" s="23"/>
      <c r="Z1334" s="56"/>
      <c r="AA1334" s="24"/>
      <c r="AB1334" s="19"/>
      <c r="AC1334" s="19"/>
      <c r="AD1334" s="15" t="e">
        <f ca="1">IF(AND($D1334&lt;&gt;"",COUNTIF(OFFSET(UFS!$E$2,MATCH($D1334&amp;"",UFS!$A$2:$A$175,0)-1,0,COUNTIF(UFS!$A$2:$A$175,$D1334&amp;""),1),M1334)&gt;0),"Valide","Invalide")</f>
        <v>#N/A</v>
      </c>
      <c r="AH1334" s="15" t="str">
        <f t="shared" si="20"/>
        <v/>
      </c>
    </row>
    <row r="1335" spans="1:34" s="15" customFormat="1" ht="45" hidden="1" customHeight="1" x14ac:dyDescent="0.3">
      <c r="A1335" s="42">
        <v>1336</v>
      </c>
      <c r="B1335" s="19"/>
      <c r="C1335" s="19"/>
      <c r="D1335" s="20"/>
      <c r="E1335" s="20"/>
      <c r="F1335" s="21"/>
      <c r="G1335" s="38"/>
      <c r="H1335" s="39"/>
      <c r="I1335" s="39"/>
      <c r="J1335" s="21"/>
      <c r="K1335" s="21"/>
      <c r="L1335" s="21"/>
      <c r="M1335" s="21"/>
      <c r="N1335" s="21"/>
      <c r="O1335" s="20"/>
      <c r="P1335" s="19"/>
      <c r="Q1335" s="39"/>
      <c r="R1335" s="19"/>
      <c r="S1335" s="21"/>
      <c r="T1335" s="21"/>
      <c r="U1335" s="39"/>
      <c r="V1335" s="21"/>
      <c r="W1335" s="54"/>
      <c r="X1335" s="23"/>
      <c r="Y1335" s="23"/>
      <c r="Z1335" s="56"/>
      <c r="AA1335" s="24"/>
      <c r="AB1335" s="19"/>
      <c r="AC1335" s="19"/>
      <c r="AD1335" s="15" t="e">
        <f ca="1">IF(AND($D1335&lt;&gt;"",COUNTIF(OFFSET(UFS!$E$2,MATCH($D1335&amp;"",UFS!$A$2:$A$175,0)-1,0,COUNTIF(UFS!$A$2:$A$175,$D1335&amp;""),1),M1335)&gt;0),"Valide","Invalide")</f>
        <v>#N/A</v>
      </c>
      <c r="AH1335" s="15" t="str">
        <f t="shared" si="20"/>
        <v/>
      </c>
    </row>
    <row r="1336" spans="1:34" s="15" customFormat="1" ht="45" hidden="1" customHeight="1" x14ac:dyDescent="0.3">
      <c r="A1336" s="42">
        <v>1337</v>
      </c>
      <c r="B1336" s="19"/>
      <c r="C1336" s="19"/>
      <c r="D1336" s="20"/>
      <c r="E1336" s="20"/>
      <c r="F1336" s="21"/>
      <c r="G1336" s="38"/>
      <c r="H1336" s="39"/>
      <c r="I1336" s="39"/>
      <c r="J1336" s="21"/>
      <c r="K1336" s="21"/>
      <c r="L1336" s="21"/>
      <c r="M1336" s="21"/>
      <c r="N1336" s="21"/>
      <c r="O1336" s="20"/>
      <c r="P1336" s="19"/>
      <c r="Q1336" s="39"/>
      <c r="R1336" s="19"/>
      <c r="S1336" s="21"/>
      <c r="T1336" s="21"/>
      <c r="U1336" s="39"/>
      <c r="V1336" s="21"/>
      <c r="W1336" s="54"/>
      <c r="X1336" s="23"/>
      <c r="Y1336" s="23"/>
      <c r="Z1336" s="56"/>
      <c r="AA1336" s="24"/>
      <c r="AB1336" s="19"/>
      <c r="AC1336" s="19"/>
      <c r="AD1336" s="15" t="e">
        <f ca="1">IF(AND($D1336&lt;&gt;"",COUNTIF(OFFSET(UFS!$E$2,MATCH($D1336&amp;"",UFS!$A$2:$A$175,0)-1,0,COUNTIF(UFS!$A$2:$A$175,$D1336&amp;""),1),M1336)&gt;0),"Valide","Invalide")</f>
        <v>#N/A</v>
      </c>
      <c r="AH1336" s="15" t="str">
        <f t="shared" si="20"/>
        <v/>
      </c>
    </row>
    <row r="1337" spans="1:34" s="15" customFormat="1" ht="45" hidden="1" customHeight="1" x14ac:dyDescent="0.3">
      <c r="A1337" s="42">
        <v>1338</v>
      </c>
      <c r="B1337" s="19"/>
      <c r="C1337" s="19"/>
      <c r="D1337" s="20"/>
      <c r="E1337" s="20"/>
      <c r="F1337" s="21"/>
      <c r="G1337" s="38"/>
      <c r="H1337" s="39"/>
      <c r="I1337" s="39"/>
      <c r="J1337" s="21"/>
      <c r="K1337" s="21"/>
      <c r="L1337" s="21"/>
      <c r="M1337" s="21"/>
      <c r="N1337" s="21"/>
      <c r="O1337" s="20"/>
      <c r="P1337" s="19"/>
      <c r="Q1337" s="39"/>
      <c r="R1337" s="19"/>
      <c r="S1337" s="21"/>
      <c r="T1337" s="21"/>
      <c r="U1337" s="39"/>
      <c r="V1337" s="21"/>
      <c r="W1337" s="54"/>
      <c r="X1337" s="23"/>
      <c r="Y1337" s="23"/>
      <c r="Z1337" s="56"/>
      <c r="AA1337" s="24"/>
      <c r="AB1337" s="19"/>
      <c r="AC1337" s="19"/>
      <c r="AD1337" s="15" t="e">
        <f ca="1">IF(AND($D1337&lt;&gt;"",COUNTIF(OFFSET(UFS!$E$2,MATCH($D1337&amp;"",UFS!$A$2:$A$175,0)-1,0,COUNTIF(UFS!$A$2:$A$175,$D1337&amp;""),1),M1337)&gt;0),"Valide","Invalide")</f>
        <v>#N/A</v>
      </c>
      <c r="AH1337" s="15" t="str">
        <f t="shared" si="20"/>
        <v/>
      </c>
    </row>
    <row r="1338" spans="1:34" s="15" customFormat="1" ht="45" hidden="1" customHeight="1" x14ac:dyDescent="0.3">
      <c r="A1338" s="42">
        <v>1339</v>
      </c>
      <c r="B1338" s="19"/>
      <c r="C1338" s="19"/>
      <c r="D1338" s="20"/>
      <c r="E1338" s="20"/>
      <c r="F1338" s="21"/>
      <c r="G1338" s="38"/>
      <c r="H1338" s="39"/>
      <c r="I1338" s="39"/>
      <c r="J1338" s="21"/>
      <c r="K1338" s="21"/>
      <c r="L1338" s="21"/>
      <c r="M1338" s="21"/>
      <c r="N1338" s="21"/>
      <c r="O1338" s="20"/>
      <c r="P1338" s="19"/>
      <c r="Q1338" s="39"/>
      <c r="R1338" s="19"/>
      <c r="S1338" s="21"/>
      <c r="T1338" s="21"/>
      <c r="U1338" s="39"/>
      <c r="V1338" s="21"/>
      <c r="W1338" s="54"/>
      <c r="X1338" s="23"/>
      <c r="Y1338" s="23"/>
      <c r="Z1338" s="56"/>
      <c r="AA1338" s="24"/>
      <c r="AB1338" s="19"/>
      <c r="AC1338" s="19"/>
      <c r="AD1338" s="15" t="e">
        <f ca="1">IF(AND($D1338&lt;&gt;"",COUNTIF(OFFSET(UFS!$E$2,MATCH($D1338&amp;"",UFS!$A$2:$A$175,0)-1,0,COUNTIF(UFS!$A$2:$A$175,$D1338&amp;""),1),M1338)&gt;0),"Valide","Invalide")</f>
        <v>#N/A</v>
      </c>
      <c r="AH1338" s="15" t="str">
        <f t="shared" si="20"/>
        <v/>
      </c>
    </row>
    <row r="1339" spans="1:34" s="15" customFormat="1" ht="45" hidden="1" customHeight="1" x14ac:dyDescent="0.3">
      <c r="A1339" s="42">
        <v>1340</v>
      </c>
      <c r="B1339" s="19"/>
      <c r="C1339" s="19"/>
      <c r="D1339" s="20"/>
      <c r="E1339" s="20"/>
      <c r="F1339" s="21"/>
      <c r="G1339" s="38"/>
      <c r="H1339" s="39"/>
      <c r="I1339" s="39"/>
      <c r="J1339" s="21"/>
      <c r="K1339" s="21"/>
      <c r="L1339" s="21"/>
      <c r="M1339" s="21"/>
      <c r="N1339" s="21"/>
      <c r="O1339" s="20"/>
      <c r="P1339" s="19"/>
      <c r="Q1339" s="39"/>
      <c r="R1339" s="19"/>
      <c r="S1339" s="21"/>
      <c r="T1339" s="21"/>
      <c r="U1339" s="39"/>
      <c r="V1339" s="21"/>
      <c r="W1339" s="54"/>
      <c r="X1339" s="23"/>
      <c r="Y1339" s="23"/>
      <c r="Z1339" s="56"/>
      <c r="AA1339" s="24"/>
      <c r="AB1339" s="19"/>
      <c r="AC1339" s="19"/>
      <c r="AD1339" s="15" t="e">
        <f ca="1">IF(AND($D1339&lt;&gt;"",COUNTIF(OFFSET(UFS!$E$2,MATCH($D1339&amp;"",UFS!$A$2:$A$175,0)-1,0,COUNTIF(UFS!$A$2:$A$175,$D1339&amp;""),1),M1339)&gt;0),"Valide","Invalide")</f>
        <v>#N/A</v>
      </c>
      <c r="AH1339" s="15" t="str">
        <f t="shared" si="20"/>
        <v/>
      </c>
    </row>
    <row r="1340" spans="1:34" s="15" customFormat="1" ht="45" hidden="1" customHeight="1" x14ac:dyDescent="0.3">
      <c r="A1340" s="42">
        <v>1341</v>
      </c>
      <c r="B1340" s="19"/>
      <c r="C1340" s="19"/>
      <c r="D1340" s="20"/>
      <c r="E1340" s="20"/>
      <c r="F1340" s="21"/>
      <c r="G1340" s="38"/>
      <c r="H1340" s="39"/>
      <c r="I1340" s="39"/>
      <c r="J1340" s="21"/>
      <c r="K1340" s="21"/>
      <c r="L1340" s="21"/>
      <c r="M1340" s="21"/>
      <c r="N1340" s="21"/>
      <c r="O1340" s="20"/>
      <c r="P1340" s="19"/>
      <c r="Q1340" s="39"/>
      <c r="R1340" s="19"/>
      <c r="S1340" s="21"/>
      <c r="T1340" s="21"/>
      <c r="U1340" s="39"/>
      <c r="V1340" s="21"/>
      <c r="W1340" s="54"/>
      <c r="X1340" s="23"/>
      <c r="Y1340" s="23"/>
      <c r="Z1340" s="56"/>
      <c r="AA1340" s="24"/>
      <c r="AB1340" s="19"/>
      <c r="AC1340" s="19"/>
      <c r="AD1340" s="15" t="e">
        <f ca="1">IF(AND($D1340&lt;&gt;"",COUNTIF(OFFSET(UFS!$E$2,MATCH($D1340&amp;"",UFS!$A$2:$A$175,0)-1,0,COUNTIF(UFS!$A$2:$A$175,$D1340&amp;""),1),M1340)&gt;0),"Valide","Invalide")</f>
        <v>#N/A</v>
      </c>
      <c r="AH1340" s="15" t="str">
        <f t="shared" si="20"/>
        <v/>
      </c>
    </row>
    <row r="1341" spans="1:34" s="15" customFormat="1" ht="45" hidden="1" customHeight="1" x14ac:dyDescent="0.3">
      <c r="A1341" s="42">
        <v>1342</v>
      </c>
      <c r="B1341" s="19"/>
      <c r="C1341" s="19"/>
      <c r="D1341" s="20"/>
      <c r="E1341" s="20"/>
      <c r="F1341" s="21"/>
      <c r="G1341" s="38"/>
      <c r="H1341" s="39"/>
      <c r="I1341" s="39"/>
      <c r="J1341" s="21"/>
      <c r="K1341" s="21"/>
      <c r="L1341" s="21"/>
      <c r="M1341" s="21"/>
      <c r="N1341" s="21"/>
      <c r="O1341" s="20"/>
      <c r="P1341" s="19"/>
      <c r="Q1341" s="39"/>
      <c r="R1341" s="19"/>
      <c r="S1341" s="21"/>
      <c r="T1341" s="21"/>
      <c r="U1341" s="39"/>
      <c r="V1341" s="21"/>
      <c r="W1341" s="54"/>
      <c r="X1341" s="23"/>
      <c r="Y1341" s="23"/>
      <c r="Z1341" s="56"/>
      <c r="AA1341" s="24"/>
      <c r="AB1341" s="19"/>
      <c r="AC1341" s="19"/>
      <c r="AD1341" s="15" t="e">
        <f ca="1">IF(AND($D1341&lt;&gt;"",COUNTIF(OFFSET(UFS!$E$2,MATCH($D1341&amp;"",UFS!$A$2:$A$175,0)-1,0,COUNTIF(UFS!$A$2:$A$175,$D1341&amp;""),1),M1341)&gt;0),"Valide","Invalide")</f>
        <v>#N/A</v>
      </c>
      <c r="AH1341" s="15" t="str">
        <f t="shared" si="20"/>
        <v/>
      </c>
    </row>
    <row r="1342" spans="1:34" s="15" customFormat="1" ht="45" hidden="1" customHeight="1" x14ac:dyDescent="0.3">
      <c r="A1342" s="42">
        <v>1343</v>
      </c>
      <c r="B1342" s="19"/>
      <c r="C1342" s="19"/>
      <c r="D1342" s="20"/>
      <c r="E1342" s="20"/>
      <c r="F1342" s="21"/>
      <c r="G1342" s="38"/>
      <c r="H1342" s="39"/>
      <c r="I1342" s="39"/>
      <c r="J1342" s="21"/>
      <c r="K1342" s="21"/>
      <c r="L1342" s="21"/>
      <c r="M1342" s="21"/>
      <c r="N1342" s="21"/>
      <c r="O1342" s="20"/>
      <c r="P1342" s="19"/>
      <c r="Q1342" s="39"/>
      <c r="R1342" s="19"/>
      <c r="S1342" s="21"/>
      <c r="T1342" s="21"/>
      <c r="U1342" s="39"/>
      <c r="V1342" s="21"/>
      <c r="W1342" s="54"/>
      <c r="X1342" s="23"/>
      <c r="Y1342" s="23"/>
      <c r="Z1342" s="56"/>
      <c r="AA1342" s="24"/>
      <c r="AB1342" s="19"/>
      <c r="AC1342" s="19"/>
      <c r="AD1342" s="15" t="e">
        <f ca="1">IF(AND($D1342&lt;&gt;"",COUNTIF(OFFSET(UFS!$E$2,MATCH($D1342&amp;"",UFS!$A$2:$A$175,0)-1,0,COUNTIF(UFS!$A$2:$A$175,$D1342&amp;""),1),M1342)&gt;0),"Valide","Invalide")</f>
        <v>#N/A</v>
      </c>
      <c r="AH1342" s="15" t="str">
        <f t="shared" si="20"/>
        <v/>
      </c>
    </row>
    <row r="1343" spans="1:34" s="15" customFormat="1" ht="45" hidden="1" customHeight="1" x14ac:dyDescent="0.3">
      <c r="A1343" s="42">
        <v>1344</v>
      </c>
      <c r="B1343" s="19"/>
      <c r="C1343" s="19"/>
      <c r="D1343" s="20"/>
      <c r="E1343" s="20"/>
      <c r="F1343" s="21"/>
      <c r="G1343" s="38"/>
      <c r="H1343" s="39"/>
      <c r="I1343" s="39"/>
      <c r="J1343" s="21"/>
      <c r="K1343" s="21"/>
      <c r="L1343" s="21"/>
      <c r="M1343" s="21"/>
      <c r="N1343" s="21"/>
      <c r="O1343" s="20"/>
      <c r="P1343" s="19"/>
      <c r="Q1343" s="39"/>
      <c r="R1343" s="19"/>
      <c r="S1343" s="21"/>
      <c r="T1343" s="21"/>
      <c r="U1343" s="39"/>
      <c r="V1343" s="21"/>
      <c r="W1343" s="54"/>
      <c r="X1343" s="23"/>
      <c r="Y1343" s="23"/>
      <c r="Z1343" s="56"/>
      <c r="AA1343" s="24"/>
      <c r="AB1343" s="19"/>
      <c r="AC1343" s="19"/>
      <c r="AD1343" s="15" t="e">
        <f ca="1">IF(AND($D1343&lt;&gt;"",COUNTIF(OFFSET(UFS!$E$2,MATCH($D1343&amp;"",UFS!$A$2:$A$175,0)-1,0,COUNTIF(UFS!$A$2:$A$175,$D1343&amp;""),1),M1343)&gt;0),"Valide","Invalide")</f>
        <v>#N/A</v>
      </c>
      <c r="AH1343" s="15" t="str">
        <f t="shared" si="20"/>
        <v/>
      </c>
    </row>
    <row r="1344" spans="1:34" s="15" customFormat="1" ht="45" hidden="1" customHeight="1" x14ac:dyDescent="0.3">
      <c r="A1344" s="42">
        <v>1345</v>
      </c>
      <c r="B1344" s="19"/>
      <c r="C1344" s="19"/>
      <c r="D1344" s="20"/>
      <c r="E1344" s="20"/>
      <c r="F1344" s="21"/>
      <c r="G1344" s="38"/>
      <c r="H1344" s="39"/>
      <c r="I1344" s="39"/>
      <c r="J1344" s="21"/>
      <c r="K1344" s="21"/>
      <c r="L1344" s="21"/>
      <c r="M1344" s="21"/>
      <c r="N1344" s="21"/>
      <c r="O1344" s="20"/>
      <c r="P1344" s="19"/>
      <c r="Q1344" s="39"/>
      <c r="R1344" s="19"/>
      <c r="S1344" s="21"/>
      <c r="T1344" s="21"/>
      <c r="U1344" s="39"/>
      <c r="V1344" s="21"/>
      <c r="W1344" s="54"/>
      <c r="X1344" s="23"/>
      <c r="Y1344" s="23"/>
      <c r="Z1344" s="56"/>
      <c r="AA1344" s="24"/>
      <c r="AB1344" s="19"/>
      <c r="AC1344" s="19"/>
      <c r="AD1344" s="15" t="e">
        <f ca="1">IF(AND($D1344&lt;&gt;"",COUNTIF(OFFSET(UFS!$E$2,MATCH($D1344&amp;"",UFS!$A$2:$A$175,0)-1,0,COUNTIF(UFS!$A$2:$A$175,$D1344&amp;""),1),M1344)&gt;0),"Valide","Invalide")</f>
        <v>#N/A</v>
      </c>
      <c r="AH1344" s="15" t="str">
        <f t="shared" si="20"/>
        <v/>
      </c>
    </row>
    <row r="1345" spans="1:34" s="15" customFormat="1" ht="45" hidden="1" customHeight="1" x14ac:dyDescent="0.3">
      <c r="A1345" s="42">
        <v>1346</v>
      </c>
      <c r="B1345" s="19"/>
      <c r="C1345" s="19"/>
      <c r="D1345" s="20"/>
      <c r="E1345" s="20"/>
      <c r="F1345" s="21"/>
      <c r="G1345" s="38"/>
      <c r="H1345" s="39"/>
      <c r="I1345" s="39"/>
      <c r="J1345" s="21"/>
      <c r="K1345" s="21"/>
      <c r="L1345" s="21"/>
      <c r="M1345" s="21"/>
      <c r="N1345" s="21"/>
      <c r="O1345" s="20"/>
      <c r="P1345" s="19"/>
      <c r="Q1345" s="39"/>
      <c r="R1345" s="19"/>
      <c r="S1345" s="21"/>
      <c r="T1345" s="21"/>
      <c r="U1345" s="39"/>
      <c r="V1345" s="21"/>
      <c r="W1345" s="54"/>
      <c r="X1345" s="23"/>
      <c r="Y1345" s="23"/>
      <c r="Z1345" s="56"/>
      <c r="AA1345" s="24"/>
      <c r="AB1345" s="19"/>
      <c r="AC1345" s="19"/>
      <c r="AD1345" s="15" t="e">
        <f ca="1">IF(AND($D1345&lt;&gt;"",COUNTIF(OFFSET(UFS!$E$2,MATCH($D1345&amp;"",UFS!$A$2:$A$175,0)-1,0,COUNTIF(UFS!$A$2:$A$175,$D1345&amp;""),1),M1345)&gt;0),"Valide","Invalide")</f>
        <v>#N/A</v>
      </c>
      <c r="AH1345" s="15" t="str">
        <f t="shared" si="20"/>
        <v/>
      </c>
    </row>
    <row r="1346" spans="1:34" s="15" customFormat="1" ht="45" hidden="1" customHeight="1" x14ac:dyDescent="0.3">
      <c r="A1346" s="42">
        <v>1347</v>
      </c>
      <c r="B1346" s="19"/>
      <c r="C1346" s="19"/>
      <c r="D1346" s="20"/>
      <c r="E1346" s="20"/>
      <c r="F1346" s="21"/>
      <c r="G1346" s="38"/>
      <c r="H1346" s="39"/>
      <c r="I1346" s="39"/>
      <c r="J1346" s="21"/>
      <c r="K1346" s="21"/>
      <c r="L1346" s="21"/>
      <c r="M1346" s="21"/>
      <c r="N1346" s="21"/>
      <c r="O1346" s="20"/>
      <c r="P1346" s="19"/>
      <c r="Q1346" s="39"/>
      <c r="R1346" s="19"/>
      <c r="S1346" s="21"/>
      <c r="T1346" s="21"/>
      <c r="U1346" s="39"/>
      <c r="V1346" s="21"/>
      <c r="W1346" s="54"/>
      <c r="X1346" s="23"/>
      <c r="Y1346" s="23"/>
      <c r="Z1346" s="56"/>
      <c r="AA1346" s="24"/>
      <c r="AB1346" s="19"/>
      <c r="AC1346" s="19"/>
      <c r="AD1346" s="15" t="e">
        <f ca="1">IF(AND($D1346&lt;&gt;"",COUNTIF(OFFSET(UFS!$E$2,MATCH($D1346&amp;"",UFS!$A$2:$A$175,0)-1,0,COUNTIF(UFS!$A$2:$A$175,$D1346&amp;""),1),M1346)&gt;0),"Valide","Invalide")</f>
        <v>#N/A</v>
      </c>
      <c r="AH1346" s="15" t="str">
        <f t="shared" si="20"/>
        <v/>
      </c>
    </row>
    <row r="1347" spans="1:34" s="15" customFormat="1" ht="45" hidden="1" customHeight="1" x14ac:dyDescent="0.3">
      <c r="A1347" s="42">
        <v>1348</v>
      </c>
      <c r="B1347" s="19"/>
      <c r="C1347" s="19"/>
      <c r="D1347" s="20"/>
      <c r="E1347" s="20"/>
      <c r="F1347" s="21"/>
      <c r="G1347" s="38"/>
      <c r="H1347" s="39"/>
      <c r="I1347" s="39"/>
      <c r="J1347" s="21"/>
      <c r="K1347" s="21"/>
      <c r="L1347" s="21"/>
      <c r="M1347" s="21"/>
      <c r="N1347" s="21"/>
      <c r="O1347" s="20"/>
      <c r="P1347" s="19"/>
      <c r="Q1347" s="39"/>
      <c r="R1347" s="19"/>
      <c r="S1347" s="21"/>
      <c r="T1347" s="21"/>
      <c r="U1347" s="39"/>
      <c r="V1347" s="21"/>
      <c r="W1347" s="54"/>
      <c r="X1347" s="23"/>
      <c r="Y1347" s="23"/>
      <c r="Z1347" s="56"/>
      <c r="AA1347" s="24"/>
      <c r="AB1347" s="19"/>
      <c r="AC1347" s="19"/>
      <c r="AD1347" s="15" t="e">
        <f ca="1">IF(AND($D1347&lt;&gt;"",COUNTIF(OFFSET(UFS!$E$2,MATCH($D1347&amp;"",UFS!$A$2:$A$175,0)-1,0,COUNTIF(UFS!$A$2:$A$175,$D1347&amp;""),1),M1347)&gt;0),"Valide","Invalide")</f>
        <v>#N/A</v>
      </c>
      <c r="AH1347" s="15" t="str">
        <f t="shared" ref="AH1347:AH1410" si="21">IF(T1347&lt;&gt;"","En attente","")</f>
        <v/>
      </c>
    </row>
    <row r="1348" spans="1:34" s="15" customFormat="1" ht="45" hidden="1" customHeight="1" x14ac:dyDescent="0.3">
      <c r="A1348" s="42">
        <v>1349</v>
      </c>
      <c r="B1348" s="19"/>
      <c r="C1348" s="19"/>
      <c r="D1348" s="20"/>
      <c r="E1348" s="20"/>
      <c r="F1348" s="21"/>
      <c r="G1348" s="38"/>
      <c r="H1348" s="39"/>
      <c r="I1348" s="39"/>
      <c r="J1348" s="21"/>
      <c r="K1348" s="21"/>
      <c r="L1348" s="21"/>
      <c r="M1348" s="21"/>
      <c r="N1348" s="21"/>
      <c r="O1348" s="20"/>
      <c r="P1348" s="19"/>
      <c r="Q1348" s="39"/>
      <c r="R1348" s="19"/>
      <c r="S1348" s="21"/>
      <c r="T1348" s="21"/>
      <c r="U1348" s="39"/>
      <c r="V1348" s="21"/>
      <c r="W1348" s="54"/>
      <c r="X1348" s="23"/>
      <c r="Y1348" s="23"/>
      <c r="Z1348" s="56"/>
      <c r="AA1348" s="24"/>
      <c r="AB1348" s="19"/>
      <c r="AC1348" s="19"/>
      <c r="AD1348" s="15" t="e">
        <f ca="1">IF(AND($D1348&lt;&gt;"",COUNTIF(OFFSET(UFS!$E$2,MATCH($D1348&amp;"",UFS!$A$2:$A$175,0)-1,0,COUNTIF(UFS!$A$2:$A$175,$D1348&amp;""),1),M1348)&gt;0),"Valide","Invalide")</f>
        <v>#N/A</v>
      </c>
      <c r="AH1348" s="15" t="str">
        <f t="shared" si="21"/>
        <v/>
      </c>
    </row>
    <row r="1349" spans="1:34" s="15" customFormat="1" ht="45" hidden="1" customHeight="1" x14ac:dyDescent="0.3">
      <c r="A1349" s="42">
        <v>1350</v>
      </c>
      <c r="B1349" s="19"/>
      <c r="C1349" s="19"/>
      <c r="D1349" s="20"/>
      <c r="E1349" s="20"/>
      <c r="F1349" s="21"/>
      <c r="G1349" s="38"/>
      <c r="H1349" s="39"/>
      <c r="I1349" s="39"/>
      <c r="J1349" s="21"/>
      <c r="K1349" s="21"/>
      <c r="L1349" s="21"/>
      <c r="M1349" s="21"/>
      <c r="N1349" s="21"/>
      <c r="O1349" s="20"/>
      <c r="P1349" s="19"/>
      <c r="Q1349" s="39"/>
      <c r="R1349" s="19"/>
      <c r="S1349" s="21"/>
      <c r="T1349" s="21"/>
      <c r="U1349" s="39"/>
      <c r="V1349" s="21"/>
      <c r="W1349" s="54"/>
      <c r="X1349" s="23"/>
      <c r="Y1349" s="23"/>
      <c r="Z1349" s="56"/>
      <c r="AA1349" s="24"/>
      <c r="AB1349" s="19"/>
      <c r="AC1349" s="19"/>
      <c r="AD1349" s="15" t="e">
        <f ca="1">IF(AND($D1349&lt;&gt;"",COUNTIF(OFFSET(UFS!$E$2,MATCH($D1349&amp;"",UFS!$A$2:$A$175,0)-1,0,COUNTIF(UFS!$A$2:$A$175,$D1349&amp;""),1),M1349)&gt;0),"Valide","Invalide")</f>
        <v>#N/A</v>
      </c>
      <c r="AH1349" s="15" t="str">
        <f t="shared" si="21"/>
        <v/>
      </c>
    </row>
    <row r="1350" spans="1:34" s="15" customFormat="1" ht="45" hidden="1" customHeight="1" x14ac:dyDescent="0.3">
      <c r="A1350" s="42">
        <v>1351</v>
      </c>
      <c r="B1350" s="19"/>
      <c r="C1350" s="19"/>
      <c r="D1350" s="20"/>
      <c r="E1350" s="20"/>
      <c r="F1350" s="21"/>
      <c r="G1350" s="38"/>
      <c r="H1350" s="39"/>
      <c r="I1350" s="39"/>
      <c r="J1350" s="21"/>
      <c r="K1350" s="21"/>
      <c r="L1350" s="21"/>
      <c r="M1350" s="21"/>
      <c r="N1350" s="21"/>
      <c r="O1350" s="20"/>
      <c r="P1350" s="19"/>
      <c r="Q1350" s="39"/>
      <c r="R1350" s="19"/>
      <c r="S1350" s="21"/>
      <c r="T1350" s="21"/>
      <c r="U1350" s="39"/>
      <c r="V1350" s="21"/>
      <c r="W1350" s="54"/>
      <c r="X1350" s="23"/>
      <c r="Y1350" s="23"/>
      <c r="Z1350" s="56"/>
      <c r="AA1350" s="24"/>
      <c r="AB1350" s="19"/>
      <c r="AC1350" s="19"/>
      <c r="AD1350" s="15" t="e">
        <f ca="1">IF(AND($D1350&lt;&gt;"",COUNTIF(OFFSET(UFS!$E$2,MATCH($D1350&amp;"",UFS!$A$2:$A$175,0)-1,0,COUNTIF(UFS!$A$2:$A$175,$D1350&amp;""),1),M1350)&gt;0),"Valide","Invalide")</f>
        <v>#N/A</v>
      </c>
      <c r="AH1350" s="15" t="str">
        <f t="shared" si="21"/>
        <v/>
      </c>
    </row>
    <row r="1351" spans="1:34" s="15" customFormat="1" ht="45" hidden="1" customHeight="1" x14ac:dyDescent="0.3">
      <c r="A1351" s="42">
        <v>1352</v>
      </c>
      <c r="B1351" s="19"/>
      <c r="C1351" s="19"/>
      <c r="D1351" s="20"/>
      <c r="E1351" s="20"/>
      <c r="F1351" s="21"/>
      <c r="G1351" s="38"/>
      <c r="H1351" s="39"/>
      <c r="I1351" s="39"/>
      <c r="J1351" s="21"/>
      <c r="K1351" s="21"/>
      <c r="L1351" s="21"/>
      <c r="M1351" s="21"/>
      <c r="N1351" s="21"/>
      <c r="O1351" s="20"/>
      <c r="P1351" s="19"/>
      <c r="Q1351" s="39"/>
      <c r="R1351" s="19"/>
      <c r="S1351" s="21"/>
      <c r="T1351" s="21"/>
      <c r="U1351" s="39"/>
      <c r="V1351" s="21"/>
      <c r="W1351" s="54"/>
      <c r="X1351" s="23"/>
      <c r="Y1351" s="23"/>
      <c r="Z1351" s="56"/>
      <c r="AA1351" s="24"/>
      <c r="AB1351" s="19"/>
      <c r="AC1351" s="19"/>
      <c r="AD1351" s="15" t="e">
        <f ca="1">IF(AND($D1351&lt;&gt;"",COUNTIF(OFFSET(UFS!$E$2,MATCH($D1351&amp;"",UFS!$A$2:$A$175,0)-1,0,COUNTIF(UFS!$A$2:$A$175,$D1351&amp;""),1),M1351)&gt;0),"Valide","Invalide")</f>
        <v>#N/A</v>
      </c>
      <c r="AH1351" s="15" t="str">
        <f t="shared" si="21"/>
        <v/>
      </c>
    </row>
    <row r="1352" spans="1:34" s="15" customFormat="1" ht="45" hidden="1" customHeight="1" x14ac:dyDescent="0.3">
      <c r="A1352" s="42">
        <v>1353</v>
      </c>
      <c r="B1352" s="19"/>
      <c r="C1352" s="19"/>
      <c r="D1352" s="20"/>
      <c r="E1352" s="20"/>
      <c r="F1352" s="21"/>
      <c r="G1352" s="38"/>
      <c r="H1352" s="39"/>
      <c r="I1352" s="39"/>
      <c r="J1352" s="21"/>
      <c r="K1352" s="21"/>
      <c r="L1352" s="21"/>
      <c r="M1352" s="21"/>
      <c r="N1352" s="21"/>
      <c r="O1352" s="20"/>
      <c r="P1352" s="19"/>
      <c r="Q1352" s="39"/>
      <c r="R1352" s="19"/>
      <c r="S1352" s="21"/>
      <c r="T1352" s="21"/>
      <c r="U1352" s="39"/>
      <c r="V1352" s="21"/>
      <c r="W1352" s="54"/>
      <c r="X1352" s="23"/>
      <c r="Y1352" s="23"/>
      <c r="Z1352" s="56"/>
      <c r="AA1352" s="24"/>
      <c r="AB1352" s="19"/>
      <c r="AC1352" s="19"/>
      <c r="AD1352" s="15" t="e">
        <f ca="1">IF(AND($D1352&lt;&gt;"",COUNTIF(OFFSET(UFS!$E$2,MATCH($D1352&amp;"",UFS!$A$2:$A$175,0)-1,0,COUNTIF(UFS!$A$2:$A$175,$D1352&amp;""),1),M1352)&gt;0),"Valide","Invalide")</f>
        <v>#N/A</v>
      </c>
      <c r="AH1352" s="15" t="str">
        <f t="shared" si="21"/>
        <v/>
      </c>
    </row>
    <row r="1353" spans="1:34" s="15" customFormat="1" ht="45" hidden="1" customHeight="1" x14ac:dyDescent="0.3">
      <c r="A1353" s="42">
        <v>1354</v>
      </c>
      <c r="B1353" s="19"/>
      <c r="C1353" s="19"/>
      <c r="D1353" s="20"/>
      <c r="E1353" s="20"/>
      <c r="F1353" s="21"/>
      <c r="G1353" s="38"/>
      <c r="H1353" s="39"/>
      <c r="I1353" s="39"/>
      <c r="J1353" s="21"/>
      <c r="K1353" s="21"/>
      <c r="L1353" s="21"/>
      <c r="M1353" s="21"/>
      <c r="N1353" s="21"/>
      <c r="O1353" s="20"/>
      <c r="P1353" s="19"/>
      <c r="Q1353" s="39"/>
      <c r="R1353" s="19"/>
      <c r="S1353" s="21"/>
      <c r="T1353" s="21"/>
      <c r="U1353" s="39"/>
      <c r="V1353" s="21"/>
      <c r="W1353" s="54"/>
      <c r="X1353" s="23"/>
      <c r="Y1353" s="23"/>
      <c r="Z1353" s="56"/>
      <c r="AA1353" s="24"/>
      <c r="AB1353" s="19"/>
      <c r="AC1353" s="19"/>
      <c r="AD1353" s="15" t="e">
        <f ca="1">IF(AND($D1353&lt;&gt;"",COUNTIF(OFFSET(UFS!$E$2,MATCH($D1353&amp;"",UFS!$A$2:$A$175,0)-1,0,COUNTIF(UFS!$A$2:$A$175,$D1353&amp;""),1),M1353)&gt;0),"Valide","Invalide")</f>
        <v>#N/A</v>
      </c>
      <c r="AH1353" s="15" t="str">
        <f t="shared" si="21"/>
        <v/>
      </c>
    </row>
    <row r="1354" spans="1:34" s="15" customFormat="1" ht="45" hidden="1" customHeight="1" x14ac:dyDescent="0.3">
      <c r="A1354" s="42">
        <v>1355</v>
      </c>
      <c r="B1354" s="19"/>
      <c r="C1354" s="19"/>
      <c r="D1354" s="20"/>
      <c r="E1354" s="20"/>
      <c r="F1354" s="21"/>
      <c r="G1354" s="38"/>
      <c r="H1354" s="39"/>
      <c r="I1354" s="39"/>
      <c r="J1354" s="21"/>
      <c r="K1354" s="21"/>
      <c r="L1354" s="21"/>
      <c r="M1354" s="21"/>
      <c r="N1354" s="21"/>
      <c r="O1354" s="20"/>
      <c r="P1354" s="19"/>
      <c r="Q1354" s="39"/>
      <c r="R1354" s="19"/>
      <c r="S1354" s="21"/>
      <c r="T1354" s="21"/>
      <c r="U1354" s="39"/>
      <c r="V1354" s="21"/>
      <c r="W1354" s="54"/>
      <c r="X1354" s="23"/>
      <c r="Y1354" s="23"/>
      <c r="Z1354" s="56"/>
      <c r="AA1354" s="24"/>
      <c r="AB1354" s="19"/>
      <c r="AC1354" s="19"/>
      <c r="AD1354" s="15" t="e">
        <f ca="1">IF(AND($D1354&lt;&gt;"",COUNTIF(OFFSET(UFS!$E$2,MATCH($D1354&amp;"",UFS!$A$2:$A$175,0)-1,0,COUNTIF(UFS!$A$2:$A$175,$D1354&amp;""),1),M1354)&gt;0),"Valide","Invalide")</f>
        <v>#N/A</v>
      </c>
      <c r="AH1354" s="15" t="str">
        <f t="shared" si="21"/>
        <v/>
      </c>
    </row>
    <row r="1355" spans="1:34" s="15" customFormat="1" ht="45" hidden="1" customHeight="1" x14ac:dyDescent="0.3">
      <c r="A1355" s="42">
        <v>1356</v>
      </c>
      <c r="B1355" s="19"/>
      <c r="C1355" s="19"/>
      <c r="D1355" s="20"/>
      <c r="E1355" s="20"/>
      <c r="F1355" s="21"/>
      <c r="G1355" s="38"/>
      <c r="H1355" s="39"/>
      <c r="I1355" s="39"/>
      <c r="J1355" s="21"/>
      <c r="K1355" s="21"/>
      <c r="L1355" s="21"/>
      <c r="M1355" s="21"/>
      <c r="N1355" s="21"/>
      <c r="O1355" s="20"/>
      <c r="P1355" s="19"/>
      <c r="Q1355" s="39"/>
      <c r="R1355" s="19"/>
      <c r="S1355" s="21"/>
      <c r="T1355" s="21"/>
      <c r="U1355" s="39"/>
      <c r="V1355" s="21"/>
      <c r="W1355" s="54"/>
      <c r="X1355" s="23"/>
      <c r="Y1355" s="23"/>
      <c r="Z1355" s="56"/>
      <c r="AA1355" s="24"/>
      <c r="AB1355" s="19"/>
      <c r="AC1355" s="19"/>
      <c r="AD1355" s="15" t="e">
        <f ca="1">IF(AND($D1355&lt;&gt;"",COUNTIF(OFFSET(UFS!$E$2,MATCH($D1355&amp;"",UFS!$A$2:$A$175,0)-1,0,COUNTIF(UFS!$A$2:$A$175,$D1355&amp;""),1),M1355)&gt;0),"Valide","Invalide")</f>
        <v>#N/A</v>
      </c>
      <c r="AH1355" s="15" t="str">
        <f t="shared" si="21"/>
        <v/>
      </c>
    </row>
    <row r="1356" spans="1:34" s="15" customFormat="1" ht="45" hidden="1" customHeight="1" x14ac:dyDescent="0.3">
      <c r="A1356" s="42">
        <v>1357</v>
      </c>
      <c r="B1356" s="19"/>
      <c r="C1356" s="19"/>
      <c r="D1356" s="20"/>
      <c r="E1356" s="20"/>
      <c r="F1356" s="21"/>
      <c r="G1356" s="38"/>
      <c r="H1356" s="39"/>
      <c r="I1356" s="39"/>
      <c r="J1356" s="21"/>
      <c r="K1356" s="21"/>
      <c r="L1356" s="21"/>
      <c r="M1356" s="21"/>
      <c r="N1356" s="21"/>
      <c r="O1356" s="20"/>
      <c r="P1356" s="19"/>
      <c r="Q1356" s="39"/>
      <c r="R1356" s="19"/>
      <c r="S1356" s="21"/>
      <c r="T1356" s="21"/>
      <c r="U1356" s="39"/>
      <c r="V1356" s="21"/>
      <c r="W1356" s="54"/>
      <c r="X1356" s="23"/>
      <c r="Y1356" s="23"/>
      <c r="Z1356" s="56"/>
      <c r="AA1356" s="24"/>
      <c r="AB1356" s="19"/>
      <c r="AC1356" s="19"/>
      <c r="AD1356" s="15" t="e">
        <f ca="1">IF(AND($D1356&lt;&gt;"",COUNTIF(OFFSET(UFS!$E$2,MATCH($D1356&amp;"",UFS!$A$2:$A$175,0)-1,0,COUNTIF(UFS!$A$2:$A$175,$D1356&amp;""),1),M1356)&gt;0),"Valide","Invalide")</f>
        <v>#N/A</v>
      </c>
      <c r="AH1356" s="15" t="str">
        <f t="shared" si="21"/>
        <v/>
      </c>
    </row>
    <row r="1357" spans="1:34" s="15" customFormat="1" ht="45" hidden="1" customHeight="1" x14ac:dyDescent="0.3">
      <c r="A1357" s="42">
        <v>1358</v>
      </c>
      <c r="B1357" s="19"/>
      <c r="C1357" s="19"/>
      <c r="D1357" s="20"/>
      <c r="E1357" s="20"/>
      <c r="F1357" s="21"/>
      <c r="G1357" s="38"/>
      <c r="H1357" s="39"/>
      <c r="I1357" s="39"/>
      <c r="J1357" s="21"/>
      <c r="K1357" s="21"/>
      <c r="L1357" s="21"/>
      <c r="M1357" s="21"/>
      <c r="N1357" s="21"/>
      <c r="O1357" s="20"/>
      <c r="P1357" s="19"/>
      <c r="Q1357" s="39"/>
      <c r="R1357" s="19"/>
      <c r="S1357" s="21"/>
      <c r="T1357" s="21"/>
      <c r="U1357" s="39"/>
      <c r="V1357" s="21"/>
      <c r="W1357" s="54"/>
      <c r="X1357" s="23"/>
      <c r="Y1357" s="23"/>
      <c r="Z1357" s="56"/>
      <c r="AA1357" s="24"/>
      <c r="AB1357" s="19"/>
      <c r="AC1357" s="19"/>
      <c r="AD1357" s="15" t="e">
        <f ca="1">IF(AND($D1357&lt;&gt;"",COUNTIF(OFFSET(UFS!$E$2,MATCH($D1357&amp;"",UFS!$A$2:$A$175,0)-1,0,COUNTIF(UFS!$A$2:$A$175,$D1357&amp;""),1),M1357)&gt;0),"Valide","Invalide")</f>
        <v>#N/A</v>
      </c>
      <c r="AH1357" s="15" t="str">
        <f t="shared" si="21"/>
        <v/>
      </c>
    </row>
    <row r="1358" spans="1:34" s="15" customFormat="1" ht="45" hidden="1" customHeight="1" x14ac:dyDescent="0.3">
      <c r="A1358" s="42">
        <v>1359</v>
      </c>
      <c r="B1358" s="19"/>
      <c r="C1358" s="19"/>
      <c r="D1358" s="20"/>
      <c r="E1358" s="20"/>
      <c r="F1358" s="21"/>
      <c r="G1358" s="38"/>
      <c r="H1358" s="39"/>
      <c r="I1358" s="39"/>
      <c r="J1358" s="21"/>
      <c r="K1358" s="21"/>
      <c r="L1358" s="21"/>
      <c r="M1358" s="21"/>
      <c r="N1358" s="21"/>
      <c r="O1358" s="20"/>
      <c r="P1358" s="19"/>
      <c r="Q1358" s="39"/>
      <c r="R1358" s="19"/>
      <c r="S1358" s="21"/>
      <c r="T1358" s="21"/>
      <c r="U1358" s="39"/>
      <c r="V1358" s="21"/>
      <c r="W1358" s="54"/>
      <c r="X1358" s="23"/>
      <c r="Y1358" s="23"/>
      <c r="Z1358" s="56"/>
      <c r="AA1358" s="24"/>
      <c r="AB1358" s="19"/>
      <c r="AC1358" s="19"/>
      <c r="AD1358" s="15" t="e">
        <f ca="1">IF(AND($D1358&lt;&gt;"",COUNTIF(OFFSET(UFS!$E$2,MATCH($D1358&amp;"",UFS!$A$2:$A$175,0)-1,0,COUNTIF(UFS!$A$2:$A$175,$D1358&amp;""),1),M1358)&gt;0),"Valide","Invalide")</f>
        <v>#N/A</v>
      </c>
      <c r="AH1358" s="15" t="str">
        <f t="shared" si="21"/>
        <v/>
      </c>
    </row>
    <row r="1359" spans="1:34" s="15" customFormat="1" ht="45" hidden="1" customHeight="1" x14ac:dyDescent="0.3">
      <c r="A1359" s="42">
        <v>1360</v>
      </c>
      <c r="B1359" s="19"/>
      <c r="C1359" s="19"/>
      <c r="D1359" s="20"/>
      <c r="E1359" s="20"/>
      <c r="F1359" s="21"/>
      <c r="G1359" s="38"/>
      <c r="H1359" s="39"/>
      <c r="I1359" s="39"/>
      <c r="J1359" s="21"/>
      <c r="K1359" s="21"/>
      <c r="L1359" s="21"/>
      <c r="M1359" s="21"/>
      <c r="N1359" s="21"/>
      <c r="O1359" s="20"/>
      <c r="P1359" s="19"/>
      <c r="Q1359" s="39"/>
      <c r="R1359" s="19"/>
      <c r="S1359" s="21"/>
      <c r="T1359" s="21"/>
      <c r="U1359" s="39"/>
      <c r="V1359" s="21"/>
      <c r="W1359" s="54"/>
      <c r="X1359" s="23"/>
      <c r="Y1359" s="23"/>
      <c r="Z1359" s="56"/>
      <c r="AA1359" s="24"/>
      <c r="AB1359" s="19"/>
      <c r="AC1359" s="19"/>
      <c r="AD1359" s="15" t="e">
        <f ca="1">IF(AND($D1359&lt;&gt;"",COUNTIF(OFFSET(UFS!$E$2,MATCH($D1359&amp;"",UFS!$A$2:$A$175,0)-1,0,COUNTIF(UFS!$A$2:$A$175,$D1359&amp;""),1),M1359)&gt;0),"Valide","Invalide")</f>
        <v>#N/A</v>
      </c>
      <c r="AH1359" s="15" t="str">
        <f t="shared" si="21"/>
        <v/>
      </c>
    </row>
    <row r="1360" spans="1:34" s="15" customFormat="1" ht="45" hidden="1" customHeight="1" x14ac:dyDescent="0.3">
      <c r="A1360" s="42">
        <v>1361</v>
      </c>
      <c r="B1360" s="19"/>
      <c r="C1360" s="19"/>
      <c r="D1360" s="20"/>
      <c r="E1360" s="20"/>
      <c r="F1360" s="21"/>
      <c r="G1360" s="38"/>
      <c r="H1360" s="39"/>
      <c r="I1360" s="39"/>
      <c r="J1360" s="21"/>
      <c r="K1360" s="21"/>
      <c r="L1360" s="21"/>
      <c r="M1360" s="21"/>
      <c r="N1360" s="21"/>
      <c r="O1360" s="20"/>
      <c r="P1360" s="19"/>
      <c r="Q1360" s="39"/>
      <c r="R1360" s="19"/>
      <c r="S1360" s="21"/>
      <c r="T1360" s="21"/>
      <c r="U1360" s="39"/>
      <c r="V1360" s="21"/>
      <c r="W1360" s="54"/>
      <c r="X1360" s="23"/>
      <c r="Y1360" s="23"/>
      <c r="Z1360" s="56"/>
      <c r="AA1360" s="24"/>
      <c r="AB1360" s="19"/>
      <c r="AC1360" s="19"/>
      <c r="AD1360" s="15" t="e">
        <f ca="1">IF(AND($D1360&lt;&gt;"",COUNTIF(OFFSET(UFS!$E$2,MATCH($D1360&amp;"",UFS!$A$2:$A$175,0)-1,0,COUNTIF(UFS!$A$2:$A$175,$D1360&amp;""),1),M1360)&gt;0),"Valide","Invalide")</f>
        <v>#N/A</v>
      </c>
      <c r="AH1360" s="15" t="str">
        <f t="shared" si="21"/>
        <v/>
      </c>
    </row>
    <row r="1361" spans="1:34" s="15" customFormat="1" ht="45" hidden="1" customHeight="1" x14ac:dyDescent="0.3">
      <c r="A1361" s="42">
        <v>1362</v>
      </c>
      <c r="B1361" s="19"/>
      <c r="C1361" s="19"/>
      <c r="D1361" s="20"/>
      <c r="E1361" s="20"/>
      <c r="F1361" s="21"/>
      <c r="G1361" s="38"/>
      <c r="H1361" s="39"/>
      <c r="I1361" s="39"/>
      <c r="J1361" s="21"/>
      <c r="K1361" s="21"/>
      <c r="L1361" s="21"/>
      <c r="M1361" s="21"/>
      <c r="N1361" s="21"/>
      <c r="O1361" s="20"/>
      <c r="P1361" s="19"/>
      <c r="Q1361" s="39"/>
      <c r="R1361" s="19"/>
      <c r="S1361" s="21"/>
      <c r="T1361" s="21"/>
      <c r="U1361" s="39"/>
      <c r="V1361" s="21"/>
      <c r="W1361" s="54"/>
      <c r="X1361" s="23"/>
      <c r="Y1361" s="23"/>
      <c r="Z1361" s="56"/>
      <c r="AA1361" s="24"/>
      <c r="AB1361" s="19"/>
      <c r="AC1361" s="19"/>
      <c r="AD1361" s="15" t="e">
        <f ca="1">IF(AND($D1361&lt;&gt;"",COUNTIF(OFFSET(UFS!$E$2,MATCH($D1361&amp;"",UFS!$A$2:$A$175,0)-1,0,COUNTIF(UFS!$A$2:$A$175,$D1361&amp;""),1),M1361)&gt;0),"Valide","Invalide")</f>
        <v>#N/A</v>
      </c>
      <c r="AH1361" s="15" t="str">
        <f t="shared" si="21"/>
        <v/>
      </c>
    </row>
    <row r="1362" spans="1:34" s="15" customFormat="1" ht="45" hidden="1" customHeight="1" x14ac:dyDescent="0.3">
      <c r="A1362" s="42">
        <v>1363</v>
      </c>
      <c r="B1362" s="19"/>
      <c r="C1362" s="19"/>
      <c r="D1362" s="20"/>
      <c r="E1362" s="20"/>
      <c r="F1362" s="21"/>
      <c r="G1362" s="38"/>
      <c r="H1362" s="39"/>
      <c r="I1362" s="39"/>
      <c r="J1362" s="21"/>
      <c r="K1362" s="21"/>
      <c r="L1362" s="21"/>
      <c r="M1362" s="21"/>
      <c r="N1362" s="21"/>
      <c r="O1362" s="20"/>
      <c r="P1362" s="19"/>
      <c r="Q1362" s="39"/>
      <c r="R1362" s="19"/>
      <c r="S1362" s="21"/>
      <c r="T1362" s="21"/>
      <c r="U1362" s="39"/>
      <c r="V1362" s="21"/>
      <c r="W1362" s="54"/>
      <c r="X1362" s="23"/>
      <c r="Y1362" s="23"/>
      <c r="Z1362" s="56"/>
      <c r="AA1362" s="24"/>
      <c r="AB1362" s="19"/>
      <c r="AC1362" s="19"/>
      <c r="AD1362" s="15" t="e">
        <f ca="1">IF(AND($D1362&lt;&gt;"",COUNTIF(OFFSET(UFS!$E$2,MATCH($D1362&amp;"",UFS!$A$2:$A$175,0)-1,0,COUNTIF(UFS!$A$2:$A$175,$D1362&amp;""),1),M1362)&gt;0),"Valide","Invalide")</f>
        <v>#N/A</v>
      </c>
      <c r="AH1362" s="15" t="str">
        <f t="shared" si="21"/>
        <v/>
      </c>
    </row>
    <row r="1363" spans="1:34" s="15" customFormat="1" ht="45" hidden="1" customHeight="1" x14ac:dyDescent="0.3">
      <c r="A1363" s="42">
        <v>1364</v>
      </c>
      <c r="B1363" s="19"/>
      <c r="C1363" s="19"/>
      <c r="D1363" s="20"/>
      <c r="E1363" s="20"/>
      <c r="F1363" s="21"/>
      <c r="G1363" s="38"/>
      <c r="H1363" s="39"/>
      <c r="I1363" s="39"/>
      <c r="J1363" s="21"/>
      <c r="K1363" s="21"/>
      <c r="L1363" s="21"/>
      <c r="M1363" s="21"/>
      <c r="N1363" s="21"/>
      <c r="O1363" s="20"/>
      <c r="P1363" s="19"/>
      <c r="Q1363" s="39"/>
      <c r="R1363" s="19"/>
      <c r="S1363" s="21"/>
      <c r="T1363" s="21"/>
      <c r="U1363" s="39"/>
      <c r="V1363" s="21"/>
      <c r="W1363" s="54"/>
      <c r="X1363" s="23"/>
      <c r="Y1363" s="23"/>
      <c r="Z1363" s="56"/>
      <c r="AA1363" s="24"/>
      <c r="AB1363" s="19"/>
      <c r="AC1363" s="19"/>
      <c r="AD1363" s="15" t="e">
        <f ca="1">IF(AND($D1363&lt;&gt;"",COUNTIF(OFFSET(UFS!$E$2,MATCH($D1363&amp;"",UFS!$A$2:$A$175,0)-1,0,COUNTIF(UFS!$A$2:$A$175,$D1363&amp;""),1),M1363)&gt;0),"Valide","Invalide")</f>
        <v>#N/A</v>
      </c>
      <c r="AH1363" s="15" t="str">
        <f t="shared" si="21"/>
        <v/>
      </c>
    </row>
    <row r="1364" spans="1:34" s="15" customFormat="1" ht="45" hidden="1" customHeight="1" x14ac:dyDescent="0.3">
      <c r="A1364" s="42">
        <v>1365</v>
      </c>
      <c r="B1364" s="19"/>
      <c r="C1364" s="19"/>
      <c r="D1364" s="20"/>
      <c r="E1364" s="20"/>
      <c r="F1364" s="21"/>
      <c r="G1364" s="38"/>
      <c r="H1364" s="39"/>
      <c r="I1364" s="39"/>
      <c r="J1364" s="21"/>
      <c r="K1364" s="21"/>
      <c r="L1364" s="21"/>
      <c r="M1364" s="21"/>
      <c r="N1364" s="21"/>
      <c r="O1364" s="20"/>
      <c r="P1364" s="19"/>
      <c r="Q1364" s="39"/>
      <c r="R1364" s="19"/>
      <c r="S1364" s="21"/>
      <c r="T1364" s="21"/>
      <c r="U1364" s="39"/>
      <c r="V1364" s="21"/>
      <c r="W1364" s="54"/>
      <c r="X1364" s="23"/>
      <c r="Y1364" s="23"/>
      <c r="Z1364" s="56"/>
      <c r="AA1364" s="24"/>
      <c r="AB1364" s="19"/>
      <c r="AC1364" s="19"/>
      <c r="AD1364" s="15" t="e">
        <f ca="1">IF(AND($D1364&lt;&gt;"",COUNTIF(OFFSET(UFS!$E$2,MATCH($D1364&amp;"",UFS!$A$2:$A$175,0)-1,0,COUNTIF(UFS!$A$2:$A$175,$D1364&amp;""),1),M1364)&gt;0),"Valide","Invalide")</f>
        <v>#N/A</v>
      </c>
      <c r="AH1364" s="15" t="str">
        <f t="shared" si="21"/>
        <v/>
      </c>
    </row>
    <row r="1365" spans="1:34" s="15" customFormat="1" ht="45" hidden="1" customHeight="1" x14ac:dyDescent="0.3">
      <c r="A1365" s="42">
        <v>1366</v>
      </c>
      <c r="B1365" s="19"/>
      <c r="C1365" s="19"/>
      <c r="D1365" s="20"/>
      <c r="E1365" s="20"/>
      <c r="F1365" s="21"/>
      <c r="G1365" s="38"/>
      <c r="H1365" s="39"/>
      <c r="I1365" s="39"/>
      <c r="J1365" s="21"/>
      <c r="K1365" s="21"/>
      <c r="L1365" s="21"/>
      <c r="M1365" s="21"/>
      <c r="N1365" s="21"/>
      <c r="O1365" s="20"/>
      <c r="P1365" s="19"/>
      <c r="Q1365" s="39"/>
      <c r="R1365" s="19"/>
      <c r="S1365" s="21"/>
      <c r="T1365" s="21"/>
      <c r="U1365" s="39"/>
      <c r="V1365" s="21"/>
      <c r="W1365" s="54"/>
      <c r="X1365" s="23"/>
      <c r="Y1365" s="23"/>
      <c r="Z1365" s="56"/>
      <c r="AA1365" s="24"/>
      <c r="AB1365" s="19"/>
      <c r="AC1365" s="19"/>
      <c r="AD1365" s="15" t="e">
        <f ca="1">IF(AND($D1365&lt;&gt;"",COUNTIF(OFFSET(UFS!$E$2,MATCH($D1365&amp;"",UFS!$A$2:$A$175,0)-1,0,COUNTIF(UFS!$A$2:$A$175,$D1365&amp;""),1),M1365)&gt;0),"Valide","Invalide")</f>
        <v>#N/A</v>
      </c>
      <c r="AH1365" s="15" t="str">
        <f t="shared" si="21"/>
        <v/>
      </c>
    </row>
    <row r="1366" spans="1:34" s="15" customFormat="1" ht="45" hidden="1" customHeight="1" x14ac:dyDescent="0.3">
      <c r="A1366" s="42">
        <v>1367</v>
      </c>
      <c r="B1366" s="19"/>
      <c r="C1366" s="19"/>
      <c r="D1366" s="20"/>
      <c r="E1366" s="20"/>
      <c r="F1366" s="21"/>
      <c r="G1366" s="38"/>
      <c r="H1366" s="39"/>
      <c r="I1366" s="39"/>
      <c r="J1366" s="21"/>
      <c r="K1366" s="21"/>
      <c r="L1366" s="21"/>
      <c r="M1366" s="21"/>
      <c r="N1366" s="21"/>
      <c r="O1366" s="20"/>
      <c r="P1366" s="19"/>
      <c r="Q1366" s="39"/>
      <c r="R1366" s="19"/>
      <c r="S1366" s="21"/>
      <c r="T1366" s="21"/>
      <c r="U1366" s="39"/>
      <c r="V1366" s="21"/>
      <c r="W1366" s="54"/>
      <c r="X1366" s="23"/>
      <c r="Y1366" s="23"/>
      <c r="Z1366" s="56"/>
      <c r="AA1366" s="24"/>
      <c r="AB1366" s="19"/>
      <c r="AC1366" s="19"/>
      <c r="AD1366" s="15" t="e">
        <f ca="1">IF(AND($D1366&lt;&gt;"",COUNTIF(OFFSET(UFS!$E$2,MATCH($D1366&amp;"",UFS!$A$2:$A$175,0)-1,0,COUNTIF(UFS!$A$2:$A$175,$D1366&amp;""),1),M1366)&gt;0),"Valide","Invalide")</f>
        <v>#N/A</v>
      </c>
      <c r="AH1366" s="15" t="str">
        <f t="shared" si="21"/>
        <v/>
      </c>
    </row>
    <row r="1367" spans="1:34" s="15" customFormat="1" ht="45" hidden="1" customHeight="1" x14ac:dyDescent="0.3">
      <c r="A1367" s="42">
        <v>1368</v>
      </c>
      <c r="B1367" s="19"/>
      <c r="C1367" s="19"/>
      <c r="D1367" s="20"/>
      <c r="E1367" s="20"/>
      <c r="F1367" s="21"/>
      <c r="G1367" s="38"/>
      <c r="H1367" s="39"/>
      <c r="I1367" s="39"/>
      <c r="J1367" s="21"/>
      <c r="K1367" s="21"/>
      <c r="L1367" s="21"/>
      <c r="M1367" s="21"/>
      <c r="N1367" s="21"/>
      <c r="O1367" s="20"/>
      <c r="P1367" s="19"/>
      <c r="Q1367" s="39"/>
      <c r="R1367" s="19"/>
      <c r="S1367" s="21"/>
      <c r="T1367" s="21"/>
      <c r="U1367" s="39"/>
      <c r="V1367" s="21"/>
      <c r="W1367" s="54"/>
      <c r="X1367" s="23"/>
      <c r="Y1367" s="23"/>
      <c r="Z1367" s="56"/>
      <c r="AA1367" s="24"/>
      <c r="AB1367" s="19"/>
      <c r="AC1367" s="19"/>
      <c r="AD1367" s="15" t="e">
        <f ca="1">IF(AND($D1367&lt;&gt;"",COUNTIF(OFFSET(UFS!$E$2,MATCH($D1367&amp;"",UFS!$A$2:$A$175,0)-1,0,COUNTIF(UFS!$A$2:$A$175,$D1367&amp;""),1),M1367)&gt;0),"Valide","Invalide")</f>
        <v>#N/A</v>
      </c>
      <c r="AH1367" s="15" t="str">
        <f t="shared" si="21"/>
        <v/>
      </c>
    </row>
    <row r="1368" spans="1:34" s="15" customFormat="1" ht="45" hidden="1" customHeight="1" x14ac:dyDescent="0.3">
      <c r="A1368" s="42">
        <v>1369</v>
      </c>
      <c r="B1368" s="19"/>
      <c r="C1368" s="19"/>
      <c r="D1368" s="20"/>
      <c r="E1368" s="20"/>
      <c r="F1368" s="21"/>
      <c r="G1368" s="38"/>
      <c r="H1368" s="39"/>
      <c r="I1368" s="39"/>
      <c r="J1368" s="21"/>
      <c r="K1368" s="21"/>
      <c r="L1368" s="21"/>
      <c r="M1368" s="21"/>
      <c r="N1368" s="21"/>
      <c r="O1368" s="20"/>
      <c r="P1368" s="19"/>
      <c r="Q1368" s="39"/>
      <c r="R1368" s="19"/>
      <c r="S1368" s="21"/>
      <c r="T1368" s="21"/>
      <c r="U1368" s="39"/>
      <c r="V1368" s="21"/>
      <c r="W1368" s="54"/>
      <c r="X1368" s="23"/>
      <c r="Y1368" s="23"/>
      <c r="Z1368" s="56"/>
      <c r="AA1368" s="24"/>
      <c r="AB1368" s="19"/>
      <c r="AC1368" s="19"/>
      <c r="AD1368" s="15" t="e">
        <f ca="1">IF(AND($D1368&lt;&gt;"",COUNTIF(OFFSET(UFS!$E$2,MATCH($D1368&amp;"",UFS!$A$2:$A$175,0)-1,0,COUNTIF(UFS!$A$2:$A$175,$D1368&amp;""),1),M1368)&gt;0),"Valide","Invalide")</f>
        <v>#N/A</v>
      </c>
      <c r="AH1368" s="15" t="str">
        <f t="shared" si="21"/>
        <v/>
      </c>
    </row>
    <row r="1369" spans="1:34" s="15" customFormat="1" ht="45" hidden="1" customHeight="1" x14ac:dyDescent="0.3">
      <c r="A1369" s="42">
        <v>1370</v>
      </c>
      <c r="B1369" s="19"/>
      <c r="C1369" s="19"/>
      <c r="D1369" s="20"/>
      <c r="E1369" s="20"/>
      <c r="F1369" s="21"/>
      <c r="G1369" s="38"/>
      <c r="H1369" s="39"/>
      <c r="I1369" s="39"/>
      <c r="J1369" s="21"/>
      <c r="K1369" s="21"/>
      <c r="L1369" s="21"/>
      <c r="M1369" s="21"/>
      <c r="N1369" s="21"/>
      <c r="O1369" s="20"/>
      <c r="P1369" s="19"/>
      <c r="Q1369" s="39"/>
      <c r="R1369" s="19"/>
      <c r="S1369" s="21"/>
      <c r="T1369" s="21"/>
      <c r="U1369" s="39"/>
      <c r="V1369" s="21"/>
      <c r="W1369" s="54"/>
      <c r="X1369" s="23"/>
      <c r="Y1369" s="23"/>
      <c r="Z1369" s="56"/>
      <c r="AA1369" s="24"/>
      <c r="AB1369" s="19"/>
      <c r="AC1369" s="19"/>
      <c r="AD1369" s="15" t="e">
        <f ca="1">IF(AND($D1369&lt;&gt;"",COUNTIF(OFFSET(UFS!$E$2,MATCH($D1369&amp;"",UFS!$A$2:$A$175,0)-1,0,COUNTIF(UFS!$A$2:$A$175,$D1369&amp;""),1),M1369)&gt;0),"Valide","Invalide")</f>
        <v>#N/A</v>
      </c>
      <c r="AH1369" s="15" t="str">
        <f t="shared" si="21"/>
        <v/>
      </c>
    </row>
    <row r="1370" spans="1:34" s="15" customFormat="1" ht="45" hidden="1" customHeight="1" x14ac:dyDescent="0.3">
      <c r="A1370" s="42">
        <v>1371</v>
      </c>
      <c r="B1370" s="19"/>
      <c r="C1370" s="19"/>
      <c r="D1370" s="20"/>
      <c r="E1370" s="20"/>
      <c r="F1370" s="21"/>
      <c r="G1370" s="38"/>
      <c r="H1370" s="39"/>
      <c r="I1370" s="39"/>
      <c r="J1370" s="21"/>
      <c r="K1370" s="21"/>
      <c r="L1370" s="21"/>
      <c r="M1370" s="21"/>
      <c r="N1370" s="21"/>
      <c r="O1370" s="20"/>
      <c r="P1370" s="19"/>
      <c r="Q1370" s="39"/>
      <c r="R1370" s="19"/>
      <c r="S1370" s="21"/>
      <c r="T1370" s="21"/>
      <c r="U1370" s="39"/>
      <c r="V1370" s="21"/>
      <c r="W1370" s="54"/>
      <c r="X1370" s="23"/>
      <c r="Y1370" s="23"/>
      <c r="Z1370" s="56"/>
      <c r="AA1370" s="24"/>
      <c r="AB1370" s="19"/>
      <c r="AC1370" s="19"/>
      <c r="AD1370" s="15" t="e">
        <f ca="1">IF(AND($D1370&lt;&gt;"",COUNTIF(OFFSET(UFS!$E$2,MATCH($D1370&amp;"",UFS!$A$2:$A$175,0)-1,0,COUNTIF(UFS!$A$2:$A$175,$D1370&amp;""),1),M1370)&gt;0),"Valide","Invalide")</f>
        <v>#N/A</v>
      </c>
      <c r="AH1370" s="15" t="str">
        <f t="shared" si="21"/>
        <v/>
      </c>
    </row>
    <row r="1371" spans="1:34" s="15" customFormat="1" ht="45" hidden="1" customHeight="1" x14ac:dyDescent="0.3">
      <c r="A1371" s="42">
        <v>1372</v>
      </c>
      <c r="B1371" s="19"/>
      <c r="C1371" s="19"/>
      <c r="D1371" s="20"/>
      <c r="E1371" s="20"/>
      <c r="F1371" s="21"/>
      <c r="G1371" s="38"/>
      <c r="H1371" s="39"/>
      <c r="I1371" s="39"/>
      <c r="J1371" s="21"/>
      <c r="K1371" s="21"/>
      <c r="L1371" s="21"/>
      <c r="M1371" s="21"/>
      <c r="N1371" s="21"/>
      <c r="O1371" s="20"/>
      <c r="P1371" s="19"/>
      <c r="Q1371" s="39"/>
      <c r="R1371" s="19"/>
      <c r="S1371" s="21"/>
      <c r="T1371" s="21"/>
      <c r="U1371" s="39"/>
      <c r="V1371" s="21"/>
      <c r="W1371" s="54"/>
      <c r="X1371" s="23"/>
      <c r="Y1371" s="23"/>
      <c r="Z1371" s="56"/>
      <c r="AA1371" s="24"/>
      <c r="AB1371" s="19"/>
      <c r="AC1371" s="19"/>
      <c r="AD1371" s="15" t="e">
        <f ca="1">IF(AND($D1371&lt;&gt;"",COUNTIF(OFFSET(UFS!$E$2,MATCH($D1371&amp;"",UFS!$A$2:$A$175,0)-1,0,COUNTIF(UFS!$A$2:$A$175,$D1371&amp;""),1),M1371)&gt;0),"Valide","Invalide")</f>
        <v>#N/A</v>
      </c>
      <c r="AH1371" s="15" t="str">
        <f t="shared" si="21"/>
        <v/>
      </c>
    </row>
    <row r="1372" spans="1:34" s="15" customFormat="1" ht="45" hidden="1" customHeight="1" x14ac:dyDescent="0.3">
      <c r="A1372" s="42">
        <v>1373</v>
      </c>
      <c r="B1372" s="19"/>
      <c r="C1372" s="19"/>
      <c r="D1372" s="20"/>
      <c r="E1372" s="20"/>
      <c r="F1372" s="21"/>
      <c r="G1372" s="38"/>
      <c r="H1372" s="39"/>
      <c r="I1372" s="39"/>
      <c r="J1372" s="21"/>
      <c r="K1372" s="21"/>
      <c r="L1372" s="21"/>
      <c r="M1372" s="21"/>
      <c r="N1372" s="21"/>
      <c r="O1372" s="20"/>
      <c r="P1372" s="19"/>
      <c r="Q1372" s="39"/>
      <c r="R1372" s="19"/>
      <c r="S1372" s="21"/>
      <c r="T1372" s="21"/>
      <c r="U1372" s="39"/>
      <c r="V1372" s="21"/>
      <c r="W1372" s="54"/>
      <c r="X1372" s="23"/>
      <c r="Y1372" s="23"/>
      <c r="Z1372" s="56"/>
      <c r="AA1372" s="24"/>
      <c r="AB1372" s="19"/>
      <c r="AC1372" s="19"/>
      <c r="AD1372" s="15" t="e">
        <f ca="1">IF(AND($D1372&lt;&gt;"",COUNTIF(OFFSET(UFS!$E$2,MATCH($D1372&amp;"",UFS!$A$2:$A$175,0)-1,0,COUNTIF(UFS!$A$2:$A$175,$D1372&amp;""),1),M1372)&gt;0),"Valide","Invalide")</f>
        <v>#N/A</v>
      </c>
      <c r="AH1372" s="15" t="str">
        <f t="shared" si="21"/>
        <v/>
      </c>
    </row>
    <row r="1373" spans="1:34" s="15" customFormat="1" ht="45" hidden="1" customHeight="1" x14ac:dyDescent="0.3">
      <c r="A1373" s="42">
        <v>1374</v>
      </c>
      <c r="B1373" s="19"/>
      <c r="C1373" s="19"/>
      <c r="D1373" s="20"/>
      <c r="E1373" s="20"/>
      <c r="F1373" s="21"/>
      <c r="G1373" s="38"/>
      <c r="H1373" s="39"/>
      <c r="I1373" s="39"/>
      <c r="J1373" s="21"/>
      <c r="K1373" s="21"/>
      <c r="L1373" s="21"/>
      <c r="M1373" s="21"/>
      <c r="N1373" s="21"/>
      <c r="O1373" s="20"/>
      <c r="P1373" s="19"/>
      <c r="Q1373" s="39"/>
      <c r="R1373" s="19"/>
      <c r="S1373" s="21"/>
      <c r="T1373" s="21"/>
      <c r="U1373" s="39"/>
      <c r="V1373" s="21"/>
      <c r="W1373" s="54"/>
      <c r="X1373" s="23"/>
      <c r="Y1373" s="23"/>
      <c r="Z1373" s="56"/>
      <c r="AA1373" s="24"/>
      <c r="AB1373" s="19"/>
      <c r="AC1373" s="19"/>
      <c r="AD1373" s="15" t="e">
        <f ca="1">IF(AND($D1373&lt;&gt;"",COUNTIF(OFFSET(UFS!$E$2,MATCH($D1373&amp;"",UFS!$A$2:$A$175,0)-1,0,COUNTIF(UFS!$A$2:$A$175,$D1373&amp;""),1),M1373)&gt;0),"Valide","Invalide")</f>
        <v>#N/A</v>
      </c>
      <c r="AH1373" s="15" t="str">
        <f t="shared" si="21"/>
        <v/>
      </c>
    </row>
    <row r="1374" spans="1:34" s="15" customFormat="1" ht="45" hidden="1" customHeight="1" x14ac:dyDescent="0.3">
      <c r="A1374" s="42">
        <v>1375</v>
      </c>
      <c r="B1374" s="19"/>
      <c r="C1374" s="19"/>
      <c r="D1374" s="20"/>
      <c r="E1374" s="20"/>
      <c r="F1374" s="21"/>
      <c r="G1374" s="38"/>
      <c r="H1374" s="39"/>
      <c r="I1374" s="39"/>
      <c r="J1374" s="21"/>
      <c r="K1374" s="21"/>
      <c r="L1374" s="21"/>
      <c r="M1374" s="21"/>
      <c r="N1374" s="21"/>
      <c r="O1374" s="20"/>
      <c r="P1374" s="19"/>
      <c r="Q1374" s="39"/>
      <c r="R1374" s="19"/>
      <c r="S1374" s="21"/>
      <c r="T1374" s="21"/>
      <c r="U1374" s="39"/>
      <c r="V1374" s="21"/>
      <c r="W1374" s="54"/>
      <c r="X1374" s="23"/>
      <c r="Y1374" s="23"/>
      <c r="Z1374" s="56"/>
      <c r="AA1374" s="24"/>
      <c r="AB1374" s="19"/>
      <c r="AC1374" s="19"/>
      <c r="AD1374" s="15" t="e">
        <f ca="1">IF(AND($D1374&lt;&gt;"",COUNTIF(OFFSET(UFS!$E$2,MATCH($D1374&amp;"",UFS!$A$2:$A$175,0)-1,0,COUNTIF(UFS!$A$2:$A$175,$D1374&amp;""),1),M1374)&gt;0),"Valide","Invalide")</f>
        <v>#N/A</v>
      </c>
      <c r="AH1374" s="15" t="str">
        <f t="shared" si="21"/>
        <v/>
      </c>
    </row>
    <row r="1375" spans="1:34" s="15" customFormat="1" ht="45" hidden="1" customHeight="1" x14ac:dyDescent="0.3">
      <c r="A1375" s="42">
        <v>1376</v>
      </c>
      <c r="B1375" s="19"/>
      <c r="C1375" s="19"/>
      <c r="D1375" s="20"/>
      <c r="E1375" s="20"/>
      <c r="F1375" s="21"/>
      <c r="G1375" s="38"/>
      <c r="H1375" s="39"/>
      <c r="I1375" s="39"/>
      <c r="J1375" s="21"/>
      <c r="K1375" s="21"/>
      <c r="L1375" s="21"/>
      <c r="M1375" s="21"/>
      <c r="N1375" s="21"/>
      <c r="O1375" s="20"/>
      <c r="P1375" s="19"/>
      <c r="Q1375" s="39"/>
      <c r="R1375" s="19"/>
      <c r="S1375" s="21"/>
      <c r="T1375" s="21"/>
      <c r="U1375" s="39"/>
      <c r="V1375" s="21"/>
      <c r="W1375" s="54"/>
      <c r="X1375" s="23"/>
      <c r="Y1375" s="23"/>
      <c r="Z1375" s="56"/>
      <c r="AA1375" s="24"/>
      <c r="AB1375" s="19"/>
      <c r="AC1375" s="19"/>
      <c r="AD1375" s="15" t="e">
        <f ca="1">IF(AND($D1375&lt;&gt;"",COUNTIF(OFFSET(UFS!$E$2,MATCH($D1375&amp;"",UFS!$A$2:$A$175,0)-1,0,COUNTIF(UFS!$A$2:$A$175,$D1375&amp;""),1),M1375)&gt;0),"Valide","Invalide")</f>
        <v>#N/A</v>
      </c>
      <c r="AH1375" s="15" t="str">
        <f t="shared" si="21"/>
        <v/>
      </c>
    </row>
    <row r="1376" spans="1:34" s="15" customFormat="1" ht="45" hidden="1" customHeight="1" x14ac:dyDescent="0.3">
      <c r="A1376" s="42">
        <v>1377</v>
      </c>
      <c r="B1376" s="19"/>
      <c r="C1376" s="19"/>
      <c r="D1376" s="20"/>
      <c r="E1376" s="20"/>
      <c r="F1376" s="21"/>
      <c r="G1376" s="38"/>
      <c r="H1376" s="39"/>
      <c r="I1376" s="39"/>
      <c r="J1376" s="21"/>
      <c r="K1376" s="21"/>
      <c r="L1376" s="21"/>
      <c r="M1376" s="21"/>
      <c r="N1376" s="21"/>
      <c r="O1376" s="20"/>
      <c r="P1376" s="19"/>
      <c r="Q1376" s="39"/>
      <c r="R1376" s="19"/>
      <c r="S1376" s="21"/>
      <c r="T1376" s="21"/>
      <c r="U1376" s="39"/>
      <c r="V1376" s="21"/>
      <c r="W1376" s="54"/>
      <c r="X1376" s="23"/>
      <c r="Y1376" s="23"/>
      <c r="Z1376" s="56"/>
      <c r="AA1376" s="24"/>
      <c r="AB1376" s="19"/>
      <c r="AC1376" s="19"/>
      <c r="AD1376" s="15" t="e">
        <f ca="1">IF(AND($D1376&lt;&gt;"",COUNTIF(OFFSET(UFS!$E$2,MATCH($D1376&amp;"",UFS!$A$2:$A$175,0)-1,0,COUNTIF(UFS!$A$2:$A$175,$D1376&amp;""),1),M1376)&gt;0),"Valide","Invalide")</f>
        <v>#N/A</v>
      </c>
      <c r="AH1376" s="15" t="str">
        <f t="shared" si="21"/>
        <v/>
      </c>
    </row>
    <row r="1377" spans="1:34" s="15" customFormat="1" ht="45" hidden="1" customHeight="1" x14ac:dyDescent="0.3">
      <c r="A1377" s="42">
        <v>1378</v>
      </c>
      <c r="B1377" s="19"/>
      <c r="C1377" s="19"/>
      <c r="D1377" s="20"/>
      <c r="E1377" s="20"/>
      <c r="F1377" s="21"/>
      <c r="G1377" s="38"/>
      <c r="H1377" s="39"/>
      <c r="I1377" s="39"/>
      <c r="J1377" s="21"/>
      <c r="K1377" s="21"/>
      <c r="L1377" s="21"/>
      <c r="M1377" s="21"/>
      <c r="N1377" s="21"/>
      <c r="O1377" s="20"/>
      <c r="P1377" s="19"/>
      <c r="Q1377" s="39"/>
      <c r="R1377" s="19"/>
      <c r="S1377" s="21"/>
      <c r="T1377" s="21"/>
      <c r="U1377" s="39"/>
      <c r="V1377" s="21"/>
      <c r="W1377" s="54"/>
      <c r="X1377" s="23"/>
      <c r="Y1377" s="23"/>
      <c r="Z1377" s="56"/>
      <c r="AA1377" s="24"/>
      <c r="AB1377" s="19"/>
      <c r="AC1377" s="19"/>
      <c r="AD1377" s="15" t="e">
        <f ca="1">IF(AND($D1377&lt;&gt;"",COUNTIF(OFFSET(UFS!$E$2,MATCH($D1377&amp;"",UFS!$A$2:$A$175,0)-1,0,COUNTIF(UFS!$A$2:$A$175,$D1377&amp;""),1),M1377)&gt;0),"Valide","Invalide")</f>
        <v>#N/A</v>
      </c>
      <c r="AH1377" s="15" t="str">
        <f t="shared" si="21"/>
        <v/>
      </c>
    </row>
    <row r="1378" spans="1:34" s="15" customFormat="1" ht="45" hidden="1" customHeight="1" x14ac:dyDescent="0.3">
      <c r="A1378" s="42">
        <v>1379</v>
      </c>
      <c r="B1378" s="19"/>
      <c r="C1378" s="19"/>
      <c r="D1378" s="20"/>
      <c r="E1378" s="20"/>
      <c r="F1378" s="21"/>
      <c r="G1378" s="38"/>
      <c r="H1378" s="39"/>
      <c r="I1378" s="39"/>
      <c r="J1378" s="21"/>
      <c r="K1378" s="21"/>
      <c r="L1378" s="21"/>
      <c r="M1378" s="21"/>
      <c r="N1378" s="21"/>
      <c r="O1378" s="20"/>
      <c r="P1378" s="19"/>
      <c r="Q1378" s="39"/>
      <c r="R1378" s="19"/>
      <c r="S1378" s="21"/>
      <c r="T1378" s="21"/>
      <c r="U1378" s="39"/>
      <c r="V1378" s="21"/>
      <c r="W1378" s="54"/>
      <c r="X1378" s="23"/>
      <c r="Y1378" s="23"/>
      <c r="Z1378" s="56"/>
      <c r="AA1378" s="24"/>
      <c r="AB1378" s="19"/>
      <c r="AC1378" s="19"/>
      <c r="AD1378" s="15" t="e">
        <f ca="1">IF(AND($D1378&lt;&gt;"",COUNTIF(OFFSET(UFS!$E$2,MATCH($D1378&amp;"",UFS!$A$2:$A$175,0)-1,0,COUNTIF(UFS!$A$2:$A$175,$D1378&amp;""),1),M1378)&gt;0),"Valide","Invalide")</f>
        <v>#N/A</v>
      </c>
      <c r="AH1378" s="15" t="str">
        <f t="shared" si="21"/>
        <v/>
      </c>
    </row>
    <row r="1379" spans="1:34" s="15" customFormat="1" ht="45" hidden="1" customHeight="1" x14ac:dyDescent="0.3">
      <c r="A1379" s="42">
        <v>1380</v>
      </c>
      <c r="B1379" s="19"/>
      <c r="C1379" s="19"/>
      <c r="D1379" s="20"/>
      <c r="E1379" s="20"/>
      <c r="F1379" s="21"/>
      <c r="G1379" s="38"/>
      <c r="H1379" s="39"/>
      <c r="I1379" s="39"/>
      <c r="J1379" s="21"/>
      <c r="K1379" s="21"/>
      <c r="L1379" s="21"/>
      <c r="M1379" s="21"/>
      <c r="N1379" s="21"/>
      <c r="O1379" s="20"/>
      <c r="P1379" s="19"/>
      <c r="Q1379" s="39"/>
      <c r="R1379" s="19"/>
      <c r="S1379" s="21"/>
      <c r="T1379" s="21"/>
      <c r="U1379" s="39"/>
      <c r="V1379" s="21"/>
      <c r="W1379" s="54"/>
      <c r="X1379" s="23"/>
      <c r="Y1379" s="23"/>
      <c r="Z1379" s="56"/>
      <c r="AA1379" s="24"/>
      <c r="AB1379" s="19"/>
      <c r="AC1379" s="19"/>
      <c r="AD1379" s="15" t="e">
        <f ca="1">IF(AND($D1379&lt;&gt;"",COUNTIF(OFFSET(UFS!$E$2,MATCH($D1379&amp;"",UFS!$A$2:$A$175,0)-1,0,COUNTIF(UFS!$A$2:$A$175,$D1379&amp;""),1),M1379)&gt;0),"Valide","Invalide")</f>
        <v>#N/A</v>
      </c>
      <c r="AH1379" s="15" t="str">
        <f t="shared" si="21"/>
        <v/>
      </c>
    </row>
    <row r="1380" spans="1:34" s="15" customFormat="1" ht="45" hidden="1" customHeight="1" x14ac:dyDescent="0.3">
      <c r="A1380" s="42">
        <v>1381</v>
      </c>
      <c r="B1380" s="19"/>
      <c r="C1380" s="19"/>
      <c r="D1380" s="20"/>
      <c r="E1380" s="20"/>
      <c r="F1380" s="21"/>
      <c r="G1380" s="38"/>
      <c r="H1380" s="39"/>
      <c r="I1380" s="39"/>
      <c r="J1380" s="21"/>
      <c r="K1380" s="21"/>
      <c r="L1380" s="21"/>
      <c r="M1380" s="21"/>
      <c r="N1380" s="21"/>
      <c r="O1380" s="20"/>
      <c r="P1380" s="19"/>
      <c r="Q1380" s="39"/>
      <c r="R1380" s="19"/>
      <c r="S1380" s="21"/>
      <c r="T1380" s="21"/>
      <c r="U1380" s="39"/>
      <c r="V1380" s="21"/>
      <c r="W1380" s="54"/>
      <c r="X1380" s="23"/>
      <c r="Y1380" s="23"/>
      <c r="Z1380" s="56"/>
      <c r="AA1380" s="24"/>
      <c r="AB1380" s="19"/>
      <c r="AC1380" s="19"/>
      <c r="AD1380" s="15" t="e">
        <f ca="1">IF(AND($D1380&lt;&gt;"",COUNTIF(OFFSET(UFS!$E$2,MATCH($D1380&amp;"",UFS!$A$2:$A$175,0)-1,0,COUNTIF(UFS!$A$2:$A$175,$D1380&amp;""),1),M1380)&gt;0),"Valide","Invalide")</f>
        <v>#N/A</v>
      </c>
      <c r="AH1380" s="15" t="str">
        <f t="shared" si="21"/>
        <v/>
      </c>
    </row>
    <row r="1381" spans="1:34" s="15" customFormat="1" ht="45" hidden="1" customHeight="1" x14ac:dyDescent="0.3">
      <c r="A1381" s="42">
        <v>1382</v>
      </c>
      <c r="B1381" s="19"/>
      <c r="C1381" s="19"/>
      <c r="D1381" s="20"/>
      <c r="E1381" s="20"/>
      <c r="F1381" s="21"/>
      <c r="G1381" s="38"/>
      <c r="H1381" s="39"/>
      <c r="I1381" s="39"/>
      <c r="J1381" s="21"/>
      <c r="K1381" s="21"/>
      <c r="L1381" s="21"/>
      <c r="M1381" s="21"/>
      <c r="N1381" s="21"/>
      <c r="O1381" s="20"/>
      <c r="P1381" s="19"/>
      <c r="Q1381" s="39"/>
      <c r="R1381" s="19"/>
      <c r="S1381" s="21"/>
      <c r="T1381" s="21"/>
      <c r="U1381" s="39"/>
      <c r="V1381" s="21"/>
      <c r="W1381" s="54"/>
      <c r="X1381" s="23"/>
      <c r="Y1381" s="23"/>
      <c r="Z1381" s="56"/>
      <c r="AA1381" s="24"/>
      <c r="AB1381" s="19"/>
      <c r="AC1381" s="19"/>
      <c r="AD1381" s="15" t="e">
        <f ca="1">IF(AND($D1381&lt;&gt;"",COUNTIF(OFFSET(UFS!$E$2,MATCH($D1381&amp;"",UFS!$A$2:$A$175,0)-1,0,COUNTIF(UFS!$A$2:$A$175,$D1381&amp;""),1),M1381)&gt;0),"Valide","Invalide")</f>
        <v>#N/A</v>
      </c>
      <c r="AH1381" s="15" t="str">
        <f t="shared" si="21"/>
        <v/>
      </c>
    </row>
    <row r="1382" spans="1:34" s="15" customFormat="1" ht="45" hidden="1" customHeight="1" x14ac:dyDescent="0.3">
      <c r="A1382" s="42">
        <v>1383</v>
      </c>
      <c r="B1382" s="19"/>
      <c r="C1382" s="19"/>
      <c r="D1382" s="20"/>
      <c r="E1382" s="20"/>
      <c r="F1382" s="21"/>
      <c r="G1382" s="38"/>
      <c r="H1382" s="39"/>
      <c r="I1382" s="39"/>
      <c r="J1382" s="21"/>
      <c r="K1382" s="21"/>
      <c r="L1382" s="21"/>
      <c r="M1382" s="21"/>
      <c r="N1382" s="21"/>
      <c r="O1382" s="20"/>
      <c r="P1382" s="19"/>
      <c r="Q1382" s="39"/>
      <c r="R1382" s="19"/>
      <c r="S1382" s="21"/>
      <c r="T1382" s="21"/>
      <c r="U1382" s="39"/>
      <c r="V1382" s="21"/>
      <c r="W1382" s="54"/>
      <c r="X1382" s="23"/>
      <c r="Y1382" s="23"/>
      <c r="Z1382" s="56"/>
      <c r="AA1382" s="24"/>
      <c r="AB1382" s="19"/>
      <c r="AC1382" s="19"/>
      <c r="AD1382" s="15" t="e">
        <f ca="1">IF(AND($D1382&lt;&gt;"",COUNTIF(OFFSET(UFS!$E$2,MATCH($D1382&amp;"",UFS!$A$2:$A$175,0)-1,0,COUNTIF(UFS!$A$2:$A$175,$D1382&amp;""),1),M1382)&gt;0),"Valide","Invalide")</f>
        <v>#N/A</v>
      </c>
      <c r="AH1382" s="15" t="str">
        <f t="shared" si="21"/>
        <v/>
      </c>
    </row>
    <row r="1383" spans="1:34" s="15" customFormat="1" ht="45" hidden="1" customHeight="1" x14ac:dyDescent="0.3">
      <c r="A1383" s="42">
        <v>1384</v>
      </c>
      <c r="B1383" s="19"/>
      <c r="C1383" s="19"/>
      <c r="D1383" s="20"/>
      <c r="E1383" s="20"/>
      <c r="F1383" s="21"/>
      <c r="G1383" s="38"/>
      <c r="H1383" s="39"/>
      <c r="I1383" s="39"/>
      <c r="J1383" s="21"/>
      <c r="K1383" s="21"/>
      <c r="L1383" s="21"/>
      <c r="M1383" s="21"/>
      <c r="N1383" s="21"/>
      <c r="O1383" s="20"/>
      <c r="P1383" s="19"/>
      <c r="Q1383" s="39"/>
      <c r="R1383" s="19"/>
      <c r="S1383" s="21"/>
      <c r="T1383" s="21"/>
      <c r="U1383" s="39"/>
      <c r="V1383" s="21"/>
      <c r="W1383" s="54"/>
      <c r="X1383" s="23"/>
      <c r="Y1383" s="23"/>
      <c r="Z1383" s="56"/>
      <c r="AA1383" s="24"/>
      <c r="AB1383" s="19"/>
      <c r="AC1383" s="19"/>
      <c r="AD1383" s="15" t="e">
        <f ca="1">IF(AND($D1383&lt;&gt;"",COUNTIF(OFFSET(UFS!$E$2,MATCH($D1383&amp;"",UFS!$A$2:$A$175,0)-1,0,COUNTIF(UFS!$A$2:$A$175,$D1383&amp;""),1),M1383)&gt;0),"Valide","Invalide")</f>
        <v>#N/A</v>
      </c>
      <c r="AH1383" s="15" t="str">
        <f t="shared" si="21"/>
        <v/>
      </c>
    </row>
    <row r="1384" spans="1:34" s="15" customFormat="1" ht="45" hidden="1" customHeight="1" x14ac:dyDescent="0.3">
      <c r="A1384" s="42">
        <v>1385</v>
      </c>
      <c r="B1384" s="19"/>
      <c r="C1384" s="19"/>
      <c r="D1384" s="20"/>
      <c r="E1384" s="20"/>
      <c r="F1384" s="21"/>
      <c r="G1384" s="38"/>
      <c r="H1384" s="39"/>
      <c r="I1384" s="39"/>
      <c r="J1384" s="21"/>
      <c r="K1384" s="21"/>
      <c r="L1384" s="21"/>
      <c r="M1384" s="21"/>
      <c r="N1384" s="21"/>
      <c r="O1384" s="20"/>
      <c r="P1384" s="19"/>
      <c r="Q1384" s="39"/>
      <c r="R1384" s="19"/>
      <c r="S1384" s="21"/>
      <c r="T1384" s="21"/>
      <c r="U1384" s="39"/>
      <c r="V1384" s="21"/>
      <c r="W1384" s="54"/>
      <c r="X1384" s="23"/>
      <c r="Y1384" s="23"/>
      <c r="Z1384" s="56"/>
      <c r="AA1384" s="24"/>
      <c r="AB1384" s="19"/>
      <c r="AC1384" s="19"/>
      <c r="AD1384" s="15" t="e">
        <f ca="1">IF(AND($D1384&lt;&gt;"",COUNTIF(OFFSET(UFS!$E$2,MATCH($D1384&amp;"",UFS!$A$2:$A$175,0)-1,0,COUNTIF(UFS!$A$2:$A$175,$D1384&amp;""),1),M1384)&gt;0),"Valide","Invalide")</f>
        <v>#N/A</v>
      </c>
      <c r="AH1384" s="15" t="str">
        <f t="shared" si="21"/>
        <v/>
      </c>
    </row>
    <row r="1385" spans="1:34" s="15" customFormat="1" ht="45" hidden="1" customHeight="1" x14ac:dyDescent="0.3">
      <c r="A1385" s="42">
        <v>1386</v>
      </c>
      <c r="B1385" s="19"/>
      <c r="C1385" s="19"/>
      <c r="D1385" s="20"/>
      <c r="E1385" s="20"/>
      <c r="F1385" s="21"/>
      <c r="G1385" s="38"/>
      <c r="H1385" s="39"/>
      <c r="I1385" s="39"/>
      <c r="J1385" s="21"/>
      <c r="K1385" s="21"/>
      <c r="L1385" s="21"/>
      <c r="M1385" s="21"/>
      <c r="N1385" s="21"/>
      <c r="O1385" s="20"/>
      <c r="P1385" s="19"/>
      <c r="Q1385" s="39"/>
      <c r="R1385" s="19"/>
      <c r="S1385" s="21"/>
      <c r="T1385" s="21"/>
      <c r="U1385" s="39"/>
      <c r="V1385" s="21"/>
      <c r="W1385" s="54"/>
      <c r="X1385" s="23"/>
      <c r="Y1385" s="23"/>
      <c r="Z1385" s="56"/>
      <c r="AA1385" s="24"/>
      <c r="AB1385" s="19"/>
      <c r="AC1385" s="19"/>
      <c r="AD1385" s="15" t="e">
        <f ca="1">IF(AND($D1385&lt;&gt;"",COUNTIF(OFFSET(UFS!$E$2,MATCH($D1385&amp;"",UFS!$A$2:$A$175,0)-1,0,COUNTIF(UFS!$A$2:$A$175,$D1385&amp;""),1),M1385)&gt;0),"Valide","Invalide")</f>
        <v>#N/A</v>
      </c>
      <c r="AH1385" s="15" t="str">
        <f t="shared" si="21"/>
        <v/>
      </c>
    </row>
    <row r="1386" spans="1:34" s="15" customFormat="1" ht="45" hidden="1" customHeight="1" x14ac:dyDescent="0.3">
      <c r="A1386" s="42">
        <v>1387</v>
      </c>
      <c r="B1386" s="19"/>
      <c r="C1386" s="19"/>
      <c r="D1386" s="20"/>
      <c r="E1386" s="20"/>
      <c r="F1386" s="21"/>
      <c r="G1386" s="38"/>
      <c r="H1386" s="39"/>
      <c r="I1386" s="39"/>
      <c r="J1386" s="21"/>
      <c r="K1386" s="21"/>
      <c r="L1386" s="21"/>
      <c r="M1386" s="21"/>
      <c r="N1386" s="21"/>
      <c r="O1386" s="20"/>
      <c r="P1386" s="19"/>
      <c r="Q1386" s="39"/>
      <c r="R1386" s="19"/>
      <c r="S1386" s="21"/>
      <c r="T1386" s="21"/>
      <c r="U1386" s="39"/>
      <c r="V1386" s="21"/>
      <c r="W1386" s="54"/>
      <c r="X1386" s="23"/>
      <c r="Y1386" s="23"/>
      <c r="Z1386" s="56"/>
      <c r="AA1386" s="24"/>
      <c r="AB1386" s="19"/>
      <c r="AC1386" s="19"/>
      <c r="AD1386" s="15" t="e">
        <f ca="1">IF(AND($D1386&lt;&gt;"",COUNTIF(OFFSET(UFS!$E$2,MATCH($D1386&amp;"",UFS!$A$2:$A$175,0)-1,0,COUNTIF(UFS!$A$2:$A$175,$D1386&amp;""),1),M1386)&gt;0),"Valide","Invalide")</f>
        <v>#N/A</v>
      </c>
      <c r="AH1386" s="15" t="str">
        <f t="shared" si="21"/>
        <v/>
      </c>
    </row>
    <row r="1387" spans="1:34" s="15" customFormat="1" ht="45" hidden="1" customHeight="1" x14ac:dyDescent="0.3">
      <c r="A1387" s="42">
        <v>1388</v>
      </c>
      <c r="B1387" s="19"/>
      <c r="C1387" s="19"/>
      <c r="D1387" s="20"/>
      <c r="E1387" s="20"/>
      <c r="F1387" s="21"/>
      <c r="G1387" s="38"/>
      <c r="H1387" s="39"/>
      <c r="I1387" s="39"/>
      <c r="J1387" s="21"/>
      <c r="K1387" s="21"/>
      <c r="L1387" s="21"/>
      <c r="M1387" s="21"/>
      <c r="N1387" s="21"/>
      <c r="O1387" s="20"/>
      <c r="P1387" s="19"/>
      <c r="Q1387" s="39"/>
      <c r="R1387" s="19"/>
      <c r="S1387" s="21"/>
      <c r="T1387" s="21"/>
      <c r="U1387" s="39"/>
      <c r="V1387" s="21"/>
      <c r="W1387" s="54"/>
      <c r="X1387" s="23"/>
      <c r="Y1387" s="23"/>
      <c r="Z1387" s="56"/>
      <c r="AA1387" s="24"/>
      <c r="AB1387" s="19"/>
      <c r="AC1387" s="19"/>
      <c r="AD1387" s="15" t="e">
        <f ca="1">IF(AND($D1387&lt;&gt;"",COUNTIF(OFFSET(UFS!$E$2,MATCH($D1387&amp;"",UFS!$A$2:$A$175,0)-1,0,COUNTIF(UFS!$A$2:$A$175,$D1387&amp;""),1),M1387)&gt;0),"Valide","Invalide")</f>
        <v>#N/A</v>
      </c>
      <c r="AH1387" s="15" t="str">
        <f t="shared" si="21"/>
        <v/>
      </c>
    </row>
    <row r="1388" spans="1:34" s="15" customFormat="1" ht="45" hidden="1" customHeight="1" x14ac:dyDescent="0.3">
      <c r="A1388" s="42">
        <v>1389</v>
      </c>
      <c r="B1388" s="19"/>
      <c r="C1388" s="19"/>
      <c r="D1388" s="20"/>
      <c r="E1388" s="20"/>
      <c r="F1388" s="21"/>
      <c r="G1388" s="38"/>
      <c r="H1388" s="39"/>
      <c r="I1388" s="39"/>
      <c r="J1388" s="21"/>
      <c r="K1388" s="21"/>
      <c r="L1388" s="21"/>
      <c r="M1388" s="21"/>
      <c r="N1388" s="21"/>
      <c r="O1388" s="20"/>
      <c r="P1388" s="19"/>
      <c r="Q1388" s="39"/>
      <c r="R1388" s="19"/>
      <c r="S1388" s="21"/>
      <c r="T1388" s="21"/>
      <c r="U1388" s="39"/>
      <c r="V1388" s="21"/>
      <c r="W1388" s="54"/>
      <c r="X1388" s="23"/>
      <c r="Y1388" s="23"/>
      <c r="Z1388" s="56"/>
      <c r="AA1388" s="24"/>
      <c r="AB1388" s="19"/>
      <c r="AC1388" s="19"/>
      <c r="AD1388" s="15" t="e">
        <f ca="1">IF(AND($D1388&lt;&gt;"",COUNTIF(OFFSET(UFS!$E$2,MATCH($D1388&amp;"",UFS!$A$2:$A$175,0)-1,0,COUNTIF(UFS!$A$2:$A$175,$D1388&amp;""),1),M1388)&gt;0),"Valide","Invalide")</f>
        <v>#N/A</v>
      </c>
      <c r="AH1388" s="15" t="str">
        <f t="shared" si="21"/>
        <v/>
      </c>
    </row>
    <row r="1389" spans="1:34" s="15" customFormat="1" ht="45" hidden="1" customHeight="1" x14ac:dyDescent="0.3">
      <c r="A1389" s="42">
        <v>1390</v>
      </c>
      <c r="B1389" s="19"/>
      <c r="C1389" s="19"/>
      <c r="D1389" s="20"/>
      <c r="E1389" s="20"/>
      <c r="F1389" s="21"/>
      <c r="G1389" s="38"/>
      <c r="H1389" s="39"/>
      <c r="I1389" s="39"/>
      <c r="J1389" s="21"/>
      <c r="K1389" s="21"/>
      <c r="L1389" s="21"/>
      <c r="M1389" s="21"/>
      <c r="N1389" s="21"/>
      <c r="O1389" s="20"/>
      <c r="P1389" s="19"/>
      <c r="Q1389" s="39"/>
      <c r="R1389" s="19"/>
      <c r="S1389" s="21"/>
      <c r="T1389" s="21"/>
      <c r="U1389" s="39"/>
      <c r="V1389" s="21"/>
      <c r="W1389" s="54"/>
      <c r="X1389" s="23"/>
      <c r="Y1389" s="23"/>
      <c r="Z1389" s="56"/>
      <c r="AA1389" s="24"/>
      <c r="AB1389" s="19"/>
      <c r="AC1389" s="19"/>
      <c r="AD1389" s="15" t="e">
        <f ca="1">IF(AND($D1389&lt;&gt;"",COUNTIF(OFFSET(UFS!$E$2,MATCH($D1389&amp;"",UFS!$A$2:$A$175,0)-1,0,COUNTIF(UFS!$A$2:$A$175,$D1389&amp;""),1),M1389)&gt;0),"Valide","Invalide")</f>
        <v>#N/A</v>
      </c>
      <c r="AH1389" s="15" t="str">
        <f t="shared" si="21"/>
        <v/>
      </c>
    </row>
    <row r="1390" spans="1:34" s="15" customFormat="1" ht="45" hidden="1" customHeight="1" x14ac:dyDescent="0.3">
      <c r="A1390" s="42">
        <v>1391</v>
      </c>
      <c r="B1390" s="19"/>
      <c r="C1390" s="19"/>
      <c r="D1390" s="20"/>
      <c r="E1390" s="20"/>
      <c r="F1390" s="21"/>
      <c r="G1390" s="38"/>
      <c r="H1390" s="39"/>
      <c r="I1390" s="39"/>
      <c r="J1390" s="21"/>
      <c r="K1390" s="21"/>
      <c r="L1390" s="21"/>
      <c r="M1390" s="21"/>
      <c r="N1390" s="21"/>
      <c r="O1390" s="20"/>
      <c r="P1390" s="19"/>
      <c r="Q1390" s="39"/>
      <c r="R1390" s="19"/>
      <c r="S1390" s="21"/>
      <c r="T1390" s="21"/>
      <c r="U1390" s="39"/>
      <c r="V1390" s="21"/>
      <c r="W1390" s="54"/>
      <c r="X1390" s="23"/>
      <c r="Y1390" s="23"/>
      <c r="Z1390" s="56"/>
      <c r="AA1390" s="24"/>
      <c r="AB1390" s="19"/>
      <c r="AC1390" s="19"/>
      <c r="AD1390" s="15" t="e">
        <f ca="1">IF(AND($D1390&lt;&gt;"",COUNTIF(OFFSET(UFS!$E$2,MATCH($D1390&amp;"",UFS!$A$2:$A$175,0)-1,0,COUNTIF(UFS!$A$2:$A$175,$D1390&amp;""),1),M1390)&gt;0),"Valide","Invalide")</f>
        <v>#N/A</v>
      </c>
      <c r="AH1390" s="15" t="str">
        <f t="shared" si="21"/>
        <v/>
      </c>
    </row>
    <row r="1391" spans="1:34" s="15" customFormat="1" ht="45" hidden="1" customHeight="1" x14ac:dyDescent="0.3">
      <c r="A1391" s="42">
        <v>1392</v>
      </c>
      <c r="B1391" s="19"/>
      <c r="C1391" s="19"/>
      <c r="D1391" s="20"/>
      <c r="E1391" s="20"/>
      <c r="F1391" s="21"/>
      <c r="G1391" s="38"/>
      <c r="H1391" s="39"/>
      <c r="I1391" s="39"/>
      <c r="J1391" s="21"/>
      <c r="K1391" s="21"/>
      <c r="L1391" s="21"/>
      <c r="M1391" s="21"/>
      <c r="N1391" s="21"/>
      <c r="O1391" s="20"/>
      <c r="P1391" s="19"/>
      <c r="Q1391" s="39"/>
      <c r="R1391" s="19"/>
      <c r="S1391" s="21"/>
      <c r="T1391" s="21"/>
      <c r="U1391" s="39"/>
      <c r="V1391" s="21"/>
      <c r="W1391" s="54"/>
      <c r="X1391" s="23"/>
      <c r="Y1391" s="23"/>
      <c r="Z1391" s="56"/>
      <c r="AA1391" s="24"/>
      <c r="AB1391" s="19"/>
      <c r="AC1391" s="19"/>
      <c r="AD1391" s="15" t="e">
        <f ca="1">IF(AND($D1391&lt;&gt;"",COUNTIF(OFFSET(UFS!$E$2,MATCH($D1391&amp;"",UFS!$A$2:$A$175,0)-1,0,COUNTIF(UFS!$A$2:$A$175,$D1391&amp;""),1),M1391)&gt;0),"Valide","Invalide")</f>
        <v>#N/A</v>
      </c>
      <c r="AH1391" s="15" t="str">
        <f t="shared" si="21"/>
        <v/>
      </c>
    </row>
    <row r="1392" spans="1:34" s="15" customFormat="1" ht="45" hidden="1" customHeight="1" x14ac:dyDescent="0.3">
      <c r="A1392" s="42">
        <v>1393</v>
      </c>
      <c r="B1392" s="19"/>
      <c r="C1392" s="19"/>
      <c r="D1392" s="20"/>
      <c r="E1392" s="20"/>
      <c r="F1392" s="21"/>
      <c r="G1392" s="38"/>
      <c r="H1392" s="39"/>
      <c r="I1392" s="39"/>
      <c r="J1392" s="21"/>
      <c r="K1392" s="21"/>
      <c r="L1392" s="21"/>
      <c r="M1392" s="21"/>
      <c r="N1392" s="21"/>
      <c r="O1392" s="20"/>
      <c r="P1392" s="19"/>
      <c r="Q1392" s="39"/>
      <c r="R1392" s="19"/>
      <c r="S1392" s="21"/>
      <c r="T1392" s="21"/>
      <c r="U1392" s="39"/>
      <c r="V1392" s="21"/>
      <c r="W1392" s="54"/>
      <c r="X1392" s="23"/>
      <c r="Y1392" s="23"/>
      <c r="Z1392" s="56"/>
      <c r="AA1392" s="24"/>
      <c r="AB1392" s="19"/>
      <c r="AC1392" s="19"/>
      <c r="AD1392" s="15" t="e">
        <f ca="1">IF(AND($D1392&lt;&gt;"",COUNTIF(OFFSET(UFS!$E$2,MATCH($D1392&amp;"",UFS!$A$2:$A$175,0)-1,0,COUNTIF(UFS!$A$2:$A$175,$D1392&amp;""),1),M1392)&gt;0),"Valide","Invalide")</f>
        <v>#N/A</v>
      </c>
      <c r="AH1392" s="15" t="str">
        <f t="shared" si="21"/>
        <v/>
      </c>
    </row>
    <row r="1393" spans="1:34" s="15" customFormat="1" ht="45" hidden="1" customHeight="1" x14ac:dyDescent="0.3">
      <c r="A1393" s="42">
        <v>1394</v>
      </c>
      <c r="B1393" s="19"/>
      <c r="C1393" s="19"/>
      <c r="D1393" s="20"/>
      <c r="E1393" s="20"/>
      <c r="F1393" s="21"/>
      <c r="G1393" s="38"/>
      <c r="H1393" s="39"/>
      <c r="I1393" s="39"/>
      <c r="J1393" s="21"/>
      <c r="K1393" s="21"/>
      <c r="L1393" s="21"/>
      <c r="M1393" s="21"/>
      <c r="N1393" s="21"/>
      <c r="O1393" s="20"/>
      <c r="P1393" s="19"/>
      <c r="Q1393" s="39"/>
      <c r="R1393" s="19"/>
      <c r="S1393" s="21"/>
      <c r="T1393" s="21"/>
      <c r="U1393" s="39"/>
      <c r="V1393" s="21"/>
      <c r="W1393" s="54"/>
      <c r="X1393" s="23"/>
      <c r="Y1393" s="23"/>
      <c r="Z1393" s="56"/>
      <c r="AA1393" s="24"/>
      <c r="AB1393" s="19"/>
      <c r="AC1393" s="19"/>
      <c r="AD1393" s="15" t="e">
        <f ca="1">IF(AND($D1393&lt;&gt;"",COUNTIF(OFFSET(UFS!$E$2,MATCH($D1393&amp;"",UFS!$A$2:$A$175,0)-1,0,COUNTIF(UFS!$A$2:$A$175,$D1393&amp;""),1),M1393)&gt;0),"Valide","Invalide")</f>
        <v>#N/A</v>
      </c>
      <c r="AH1393" s="15" t="str">
        <f t="shared" si="21"/>
        <v/>
      </c>
    </row>
    <row r="1394" spans="1:34" s="15" customFormat="1" ht="45" hidden="1" customHeight="1" x14ac:dyDescent="0.3">
      <c r="A1394" s="42">
        <v>1395</v>
      </c>
      <c r="B1394" s="19"/>
      <c r="C1394" s="19"/>
      <c r="D1394" s="20"/>
      <c r="E1394" s="20"/>
      <c r="F1394" s="21"/>
      <c r="G1394" s="38"/>
      <c r="H1394" s="39"/>
      <c r="I1394" s="39"/>
      <c r="J1394" s="21"/>
      <c r="K1394" s="21"/>
      <c r="L1394" s="21"/>
      <c r="M1394" s="21"/>
      <c r="N1394" s="21"/>
      <c r="O1394" s="20"/>
      <c r="P1394" s="19"/>
      <c r="Q1394" s="39"/>
      <c r="R1394" s="19"/>
      <c r="S1394" s="21"/>
      <c r="T1394" s="21"/>
      <c r="U1394" s="39"/>
      <c r="V1394" s="21"/>
      <c r="W1394" s="54"/>
      <c r="X1394" s="23"/>
      <c r="Y1394" s="23"/>
      <c r="Z1394" s="56"/>
      <c r="AA1394" s="24"/>
      <c r="AB1394" s="19"/>
      <c r="AC1394" s="19"/>
      <c r="AD1394" s="15" t="e">
        <f ca="1">IF(AND($D1394&lt;&gt;"",COUNTIF(OFFSET(UFS!$E$2,MATCH($D1394&amp;"",UFS!$A$2:$A$175,0)-1,0,COUNTIF(UFS!$A$2:$A$175,$D1394&amp;""),1),M1394)&gt;0),"Valide","Invalide")</f>
        <v>#N/A</v>
      </c>
      <c r="AH1394" s="15" t="str">
        <f t="shared" si="21"/>
        <v/>
      </c>
    </row>
    <row r="1395" spans="1:34" s="15" customFormat="1" ht="45" hidden="1" customHeight="1" x14ac:dyDescent="0.3">
      <c r="A1395" s="42">
        <v>1396</v>
      </c>
      <c r="B1395" s="19"/>
      <c r="C1395" s="19"/>
      <c r="D1395" s="20"/>
      <c r="E1395" s="20"/>
      <c r="F1395" s="21"/>
      <c r="G1395" s="38"/>
      <c r="H1395" s="39"/>
      <c r="I1395" s="39"/>
      <c r="J1395" s="21"/>
      <c r="K1395" s="21"/>
      <c r="L1395" s="21"/>
      <c r="M1395" s="21"/>
      <c r="N1395" s="21"/>
      <c r="O1395" s="20"/>
      <c r="P1395" s="19"/>
      <c r="Q1395" s="39"/>
      <c r="R1395" s="19"/>
      <c r="S1395" s="21"/>
      <c r="T1395" s="21"/>
      <c r="U1395" s="39"/>
      <c r="V1395" s="21"/>
      <c r="W1395" s="54"/>
      <c r="X1395" s="23"/>
      <c r="Y1395" s="23"/>
      <c r="Z1395" s="56"/>
      <c r="AA1395" s="24"/>
      <c r="AB1395" s="19"/>
      <c r="AC1395" s="19"/>
      <c r="AD1395" s="15" t="e">
        <f ca="1">IF(AND($D1395&lt;&gt;"",COUNTIF(OFFSET(UFS!$E$2,MATCH($D1395&amp;"",UFS!$A$2:$A$175,0)-1,0,COUNTIF(UFS!$A$2:$A$175,$D1395&amp;""),1),M1395)&gt;0),"Valide","Invalide")</f>
        <v>#N/A</v>
      </c>
      <c r="AH1395" s="15" t="str">
        <f t="shared" si="21"/>
        <v/>
      </c>
    </row>
    <row r="1396" spans="1:34" s="15" customFormat="1" ht="45" hidden="1" customHeight="1" x14ac:dyDescent="0.3">
      <c r="A1396" s="42">
        <v>1397</v>
      </c>
      <c r="B1396" s="19"/>
      <c r="C1396" s="19"/>
      <c r="D1396" s="20"/>
      <c r="E1396" s="20"/>
      <c r="F1396" s="21"/>
      <c r="G1396" s="38"/>
      <c r="H1396" s="39"/>
      <c r="I1396" s="39"/>
      <c r="J1396" s="21"/>
      <c r="K1396" s="21"/>
      <c r="L1396" s="21"/>
      <c r="M1396" s="21"/>
      <c r="N1396" s="21"/>
      <c r="O1396" s="20"/>
      <c r="P1396" s="19"/>
      <c r="Q1396" s="39"/>
      <c r="R1396" s="19"/>
      <c r="S1396" s="21"/>
      <c r="T1396" s="21"/>
      <c r="U1396" s="39"/>
      <c r="V1396" s="21"/>
      <c r="W1396" s="54"/>
      <c r="X1396" s="23"/>
      <c r="Y1396" s="23"/>
      <c r="Z1396" s="56"/>
      <c r="AA1396" s="24"/>
      <c r="AB1396" s="19"/>
      <c r="AC1396" s="19"/>
      <c r="AD1396" s="15" t="e">
        <f ca="1">IF(AND($D1396&lt;&gt;"",COUNTIF(OFFSET(UFS!$E$2,MATCH($D1396&amp;"",UFS!$A$2:$A$175,0)-1,0,COUNTIF(UFS!$A$2:$A$175,$D1396&amp;""),1),M1396)&gt;0),"Valide","Invalide")</f>
        <v>#N/A</v>
      </c>
      <c r="AH1396" s="15" t="str">
        <f t="shared" si="21"/>
        <v/>
      </c>
    </row>
    <row r="1397" spans="1:34" s="15" customFormat="1" ht="45" hidden="1" customHeight="1" x14ac:dyDescent="0.3">
      <c r="A1397" s="42">
        <v>1398</v>
      </c>
      <c r="B1397" s="19"/>
      <c r="C1397" s="19"/>
      <c r="D1397" s="20"/>
      <c r="E1397" s="20"/>
      <c r="F1397" s="21"/>
      <c r="G1397" s="38"/>
      <c r="H1397" s="39"/>
      <c r="I1397" s="39"/>
      <c r="J1397" s="21"/>
      <c r="K1397" s="21"/>
      <c r="L1397" s="21"/>
      <c r="M1397" s="21"/>
      <c r="N1397" s="21"/>
      <c r="O1397" s="20"/>
      <c r="P1397" s="19"/>
      <c r="Q1397" s="39"/>
      <c r="R1397" s="19"/>
      <c r="S1397" s="21"/>
      <c r="T1397" s="21"/>
      <c r="U1397" s="39"/>
      <c r="V1397" s="21"/>
      <c r="W1397" s="54"/>
      <c r="X1397" s="23"/>
      <c r="Y1397" s="23"/>
      <c r="Z1397" s="56"/>
      <c r="AA1397" s="24"/>
      <c r="AB1397" s="19"/>
      <c r="AC1397" s="19"/>
      <c r="AD1397" s="15" t="e">
        <f ca="1">IF(AND($D1397&lt;&gt;"",COUNTIF(OFFSET(UFS!$E$2,MATCH($D1397&amp;"",UFS!$A$2:$A$175,0)-1,0,COUNTIF(UFS!$A$2:$A$175,$D1397&amp;""),1),M1397)&gt;0),"Valide","Invalide")</f>
        <v>#N/A</v>
      </c>
      <c r="AH1397" s="15" t="str">
        <f t="shared" si="21"/>
        <v/>
      </c>
    </row>
    <row r="1398" spans="1:34" s="15" customFormat="1" ht="45" hidden="1" customHeight="1" x14ac:dyDescent="0.3">
      <c r="A1398" s="42">
        <v>1399</v>
      </c>
      <c r="B1398" s="19"/>
      <c r="C1398" s="19"/>
      <c r="D1398" s="20"/>
      <c r="E1398" s="20"/>
      <c r="F1398" s="21"/>
      <c r="G1398" s="38"/>
      <c r="H1398" s="39"/>
      <c r="I1398" s="39"/>
      <c r="J1398" s="21"/>
      <c r="K1398" s="21"/>
      <c r="L1398" s="21"/>
      <c r="M1398" s="21"/>
      <c r="N1398" s="21"/>
      <c r="O1398" s="20"/>
      <c r="P1398" s="19"/>
      <c r="Q1398" s="39"/>
      <c r="R1398" s="19"/>
      <c r="S1398" s="21"/>
      <c r="T1398" s="21"/>
      <c r="U1398" s="39"/>
      <c r="V1398" s="21"/>
      <c r="W1398" s="54"/>
      <c r="X1398" s="23"/>
      <c r="Y1398" s="23"/>
      <c r="Z1398" s="56"/>
      <c r="AA1398" s="24"/>
      <c r="AB1398" s="19"/>
      <c r="AC1398" s="19"/>
      <c r="AD1398" s="15" t="e">
        <f ca="1">IF(AND($D1398&lt;&gt;"",COUNTIF(OFFSET(UFS!$E$2,MATCH($D1398&amp;"",UFS!$A$2:$A$175,0)-1,0,COUNTIF(UFS!$A$2:$A$175,$D1398&amp;""),1),M1398)&gt;0),"Valide","Invalide")</f>
        <v>#N/A</v>
      </c>
      <c r="AH1398" s="15" t="str">
        <f t="shared" si="21"/>
        <v/>
      </c>
    </row>
    <row r="1399" spans="1:34" s="15" customFormat="1" ht="45" hidden="1" customHeight="1" x14ac:dyDescent="0.3">
      <c r="A1399" s="42">
        <v>1400</v>
      </c>
      <c r="B1399" s="19"/>
      <c r="C1399" s="19"/>
      <c r="D1399" s="20"/>
      <c r="E1399" s="20"/>
      <c r="F1399" s="21"/>
      <c r="G1399" s="38"/>
      <c r="H1399" s="39"/>
      <c r="I1399" s="39"/>
      <c r="J1399" s="21"/>
      <c r="K1399" s="21"/>
      <c r="L1399" s="21"/>
      <c r="M1399" s="21"/>
      <c r="N1399" s="21"/>
      <c r="O1399" s="20"/>
      <c r="P1399" s="19"/>
      <c r="Q1399" s="39"/>
      <c r="R1399" s="19"/>
      <c r="S1399" s="21"/>
      <c r="T1399" s="21"/>
      <c r="U1399" s="39"/>
      <c r="V1399" s="21"/>
      <c r="W1399" s="54"/>
      <c r="X1399" s="23"/>
      <c r="Y1399" s="23"/>
      <c r="Z1399" s="56"/>
      <c r="AA1399" s="24"/>
      <c r="AB1399" s="19"/>
      <c r="AC1399" s="19"/>
      <c r="AD1399" s="15" t="e">
        <f ca="1">IF(AND($D1399&lt;&gt;"",COUNTIF(OFFSET(UFS!$E$2,MATCH($D1399&amp;"",UFS!$A$2:$A$175,0)-1,0,COUNTIF(UFS!$A$2:$A$175,$D1399&amp;""),1),M1399)&gt;0),"Valide","Invalide")</f>
        <v>#N/A</v>
      </c>
      <c r="AH1399" s="15" t="str">
        <f t="shared" si="21"/>
        <v/>
      </c>
    </row>
    <row r="1400" spans="1:34" s="15" customFormat="1" ht="45" hidden="1" customHeight="1" x14ac:dyDescent="0.3">
      <c r="A1400" s="42">
        <v>1401</v>
      </c>
      <c r="B1400" s="19"/>
      <c r="C1400" s="19"/>
      <c r="D1400" s="20"/>
      <c r="E1400" s="20"/>
      <c r="F1400" s="21"/>
      <c r="G1400" s="38"/>
      <c r="H1400" s="39"/>
      <c r="I1400" s="39"/>
      <c r="J1400" s="21"/>
      <c r="K1400" s="21"/>
      <c r="L1400" s="21"/>
      <c r="M1400" s="21"/>
      <c r="N1400" s="21"/>
      <c r="O1400" s="20"/>
      <c r="P1400" s="19"/>
      <c r="Q1400" s="39"/>
      <c r="R1400" s="19"/>
      <c r="S1400" s="21"/>
      <c r="T1400" s="21"/>
      <c r="U1400" s="39"/>
      <c r="V1400" s="21"/>
      <c r="W1400" s="54"/>
      <c r="X1400" s="23"/>
      <c r="Y1400" s="23"/>
      <c r="Z1400" s="56"/>
      <c r="AA1400" s="24"/>
      <c r="AB1400" s="19"/>
      <c r="AC1400" s="19"/>
      <c r="AD1400" s="15" t="e">
        <f ca="1">IF(AND($D1400&lt;&gt;"",COUNTIF(OFFSET(UFS!$E$2,MATCH($D1400&amp;"",UFS!$A$2:$A$175,0)-1,0,COUNTIF(UFS!$A$2:$A$175,$D1400&amp;""),1),M1400)&gt;0),"Valide","Invalide")</f>
        <v>#N/A</v>
      </c>
      <c r="AH1400" s="15" t="str">
        <f t="shared" si="21"/>
        <v/>
      </c>
    </row>
    <row r="1401" spans="1:34" s="15" customFormat="1" ht="45" hidden="1" customHeight="1" x14ac:dyDescent="0.3">
      <c r="A1401" s="42">
        <v>1402</v>
      </c>
      <c r="B1401" s="19"/>
      <c r="C1401" s="19"/>
      <c r="D1401" s="20"/>
      <c r="E1401" s="20"/>
      <c r="F1401" s="21"/>
      <c r="G1401" s="38"/>
      <c r="H1401" s="39"/>
      <c r="I1401" s="39"/>
      <c r="J1401" s="21"/>
      <c r="K1401" s="21"/>
      <c r="L1401" s="21"/>
      <c r="M1401" s="21"/>
      <c r="N1401" s="21"/>
      <c r="O1401" s="20"/>
      <c r="P1401" s="19"/>
      <c r="Q1401" s="39"/>
      <c r="R1401" s="19"/>
      <c r="S1401" s="21"/>
      <c r="T1401" s="21"/>
      <c r="U1401" s="39"/>
      <c r="V1401" s="21"/>
      <c r="W1401" s="54"/>
      <c r="X1401" s="23"/>
      <c r="Y1401" s="23"/>
      <c r="Z1401" s="56"/>
      <c r="AA1401" s="24"/>
      <c r="AB1401" s="19"/>
      <c r="AC1401" s="19"/>
      <c r="AD1401" s="15" t="e">
        <f ca="1">IF(AND($D1401&lt;&gt;"",COUNTIF(OFFSET(UFS!$E$2,MATCH($D1401&amp;"",UFS!$A$2:$A$175,0)-1,0,COUNTIF(UFS!$A$2:$A$175,$D1401&amp;""),1),M1401)&gt;0),"Valide","Invalide")</f>
        <v>#N/A</v>
      </c>
      <c r="AH1401" s="15" t="str">
        <f t="shared" si="21"/>
        <v/>
      </c>
    </row>
    <row r="1402" spans="1:34" s="15" customFormat="1" ht="45" hidden="1" customHeight="1" x14ac:dyDescent="0.3">
      <c r="A1402" s="42">
        <v>1403</v>
      </c>
      <c r="B1402" s="19"/>
      <c r="C1402" s="19"/>
      <c r="D1402" s="20"/>
      <c r="E1402" s="20"/>
      <c r="F1402" s="21"/>
      <c r="G1402" s="38"/>
      <c r="H1402" s="39"/>
      <c r="I1402" s="39"/>
      <c r="J1402" s="21"/>
      <c r="K1402" s="21"/>
      <c r="L1402" s="21"/>
      <c r="M1402" s="21"/>
      <c r="N1402" s="21"/>
      <c r="O1402" s="20"/>
      <c r="P1402" s="19"/>
      <c r="Q1402" s="39"/>
      <c r="R1402" s="19"/>
      <c r="S1402" s="21"/>
      <c r="T1402" s="21"/>
      <c r="U1402" s="39"/>
      <c r="V1402" s="21"/>
      <c r="W1402" s="54"/>
      <c r="X1402" s="23"/>
      <c r="Y1402" s="23"/>
      <c r="Z1402" s="56"/>
      <c r="AA1402" s="24"/>
      <c r="AB1402" s="19"/>
      <c r="AC1402" s="19"/>
      <c r="AD1402" s="15" t="e">
        <f ca="1">IF(AND($D1402&lt;&gt;"",COUNTIF(OFFSET(UFS!$E$2,MATCH($D1402&amp;"",UFS!$A$2:$A$175,0)-1,0,COUNTIF(UFS!$A$2:$A$175,$D1402&amp;""),1),M1402)&gt;0),"Valide","Invalide")</f>
        <v>#N/A</v>
      </c>
      <c r="AH1402" s="15" t="str">
        <f t="shared" si="21"/>
        <v/>
      </c>
    </row>
    <row r="1403" spans="1:34" s="15" customFormat="1" ht="45" hidden="1" customHeight="1" x14ac:dyDescent="0.3">
      <c r="A1403" s="42">
        <v>1404</v>
      </c>
      <c r="B1403" s="19"/>
      <c r="C1403" s="19"/>
      <c r="D1403" s="20"/>
      <c r="E1403" s="20"/>
      <c r="F1403" s="21"/>
      <c r="G1403" s="38"/>
      <c r="H1403" s="39"/>
      <c r="I1403" s="39"/>
      <c r="J1403" s="21"/>
      <c r="K1403" s="21"/>
      <c r="L1403" s="21"/>
      <c r="M1403" s="21"/>
      <c r="N1403" s="21"/>
      <c r="O1403" s="20"/>
      <c r="P1403" s="19"/>
      <c r="Q1403" s="39"/>
      <c r="R1403" s="19"/>
      <c r="S1403" s="21"/>
      <c r="T1403" s="21"/>
      <c r="U1403" s="39"/>
      <c r="V1403" s="21"/>
      <c r="W1403" s="54"/>
      <c r="X1403" s="23"/>
      <c r="Y1403" s="23"/>
      <c r="Z1403" s="56"/>
      <c r="AA1403" s="24"/>
      <c r="AB1403" s="19"/>
      <c r="AC1403" s="19"/>
      <c r="AD1403" s="15" t="e">
        <f ca="1">IF(AND($D1403&lt;&gt;"",COUNTIF(OFFSET(UFS!$E$2,MATCH($D1403&amp;"",UFS!$A$2:$A$175,0)-1,0,COUNTIF(UFS!$A$2:$A$175,$D1403&amp;""),1),M1403)&gt;0),"Valide","Invalide")</f>
        <v>#N/A</v>
      </c>
      <c r="AH1403" s="15" t="str">
        <f t="shared" si="21"/>
        <v/>
      </c>
    </row>
    <row r="1404" spans="1:34" s="15" customFormat="1" ht="45" hidden="1" customHeight="1" x14ac:dyDescent="0.3">
      <c r="A1404" s="42">
        <v>1405</v>
      </c>
      <c r="B1404" s="19"/>
      <c r="C1404" s="19"/>
      <c r="D1404" s="20"/>
      <c r="E1404" s="20"/>
      <c r="F1404" s="21"/>
      <c r="G1404" s="38"/>
      <c r="H1404" s="39"/>
      <c r="I1404" s="39"/>
      <c r="J1404" s="21"/>
      <c r="K1404" s="21"/>
      <c r="L1404" s="21"/>
      <c r="M1404" s="21"/>
      <c r="N1404" s="21"/>
      <c r="O1404" s="20"/>
      <c r="P1404" s="19"/>
      <c r="Q1404" s="39"/>
      <c r="R1404" s="19"/>
      <c r="S1404" s="21"/>
      <c r="T1404" s="21"/>
      <c r="U1404" s="39"/>
      <c r="V1404" s="21"/>
      <c r="W1404" s="54"/>
      <c r="X1404" s="23"/>
      <c r="Y1404" s="23"/>
      <c r="Z1404" s="56"/>
      <c r="AA1404" s="24"/>
      <c r="AB1404" s="19"/>
      <c r="AC1404" s="19"/>
      <c r="AD1404" s="15" t="e">
        <f ca="1">IF(AND($D1404&lt;&gt;"",COUNTIF(OFFSET(UFS!$E$2,MATCH($D1404&amp;"",UFS!$A$2:$A$175,0)-1,0,COUNTIF(UFS!$A$2:$A$175,$D1404&amp;""),1),M1404)&gt;0),"Valide","Invalide")</f>
        <v>#N/A</v>
      </c>
      <c r="AH1404" s="15" t="str">
        <f t="shared" si="21"/>
        <v/>
      </c>
    </row>
    <row r="1405" spans="1:34" s="15" customFormat="1" ht="45" hidden="1" customHeight="1" x14ac:dyDescent="0.3">
      <c r="A1405" s="42">
        <v>1406</v>
      </c>
      <c r="B1405" s="19"/>
      <c r="C1405" s="19"/>
      <c r="D1405" s="20"/>
      <c r="E1405" s="20"/>
      <c r="F1405" s="21"/>
      <c r="G1405" s="38"/>
      <c r="H1405" s="39"/>
      <c r="I1405" s="39"/>
      <c r="J1405" s="21"/>
      <c r="K1405" s="21"/>
      <c r="L1405" s="21"/>
      <c r="M1405" s="21"/>
      <c r="N1405" s="21"/>
      <c r="O1405" s="20"/>
      <c r="P1405" s="19"/>
      <c r="Q1405" s="39"/>
      <c r="R1405" s="19"/>
      <c r="S1405" s="21"/>
      <c r="T1405" s="21"/>
      <c r="U1405" s="39"/>
      <c r="V1405" s="21"/>
      <c r="W1405" s="54"/>
      <c r="X1405" s="23"/>
      <c r="Y1405" s="23"/>
      <c r="Z1405" s="56"/>
      <c r="AA1405" s="24"/>
      <c r="AB1405" s="19"/>
      <c r="AC1405" s="19"/>
      <c r="AD1405" s="15" t="e">
        <f ca="1">IF(AND($D1405&lt;&gt;"",COUNTIF(OFFSET(UFS!$E$2,MATCH($D1405&amp;"",UFS!$A$2:$A$175,0)-1,0,COUNTIF(UFS!$A$2:$A$175,$D1405&amp;""),1),M1405)&gt;0),"Valide","Invalide")</f>
        <v>#N/A</v>
      </c>
      <c r="AH1405" s="15" t="str">
        <f t="shared" si="21"/>
        <v/>
      </c>
    </row>
    <row r="1406" spans="1:34" s="15" customFormat="1" ht="45" hidden="1" customHeight="1" x14ac:dyDescent="0.3">
      <c r="A1406" s="42">
        <v>1407</v>
      </c>
      <c r="B1406" s="19"/>
      <c r="C1406" s="19"/>
      <c r="D1406" s="20"/>
      <c r="E1406" s="20"/>
      <c r="F1406" s="21"/>
      <c r="G1406" s="38"/>
      <c r="H1406" s="39"/>
      <c r="I1406" s="39"/>
      <c r="J1406" s="21"/>
      <c r="K1406" s="21"/>
      <c r="L1406" s="21"/>
      <c r="M1406" s="21"/>
      <c r="N1406" s="21"/>
      <c r="O1406" s="20"/>
      <c r="P1406" s="19"/>
      <c r="Q1406" s="39"/>
      <c r="R1406" s="19"/>
      <c r="S1406" s="21"/>
      <c r="T1406" s="21"/>
      <c r="U1406" s="39"/>
      <c r="V1406" s="21"/>
      <c r="W1406" s="54"/>
      <c r="X1406" s="23"/>
      <c r="Y1406" s="23"/>
      <c r="Z1406" s="56"/>
      <c r="AA1406" s="24"/>
      <c r="AB1406" s="19"/>
      <c r="AC1406" s="19"/>
      <c r="AD1406" s="15" t="e">
        <f ca="1">IF(AND($D1406&lt;&gt;"",COUNTIF(OFFSET(UFS!$E$2,MATCH($D1406&amp;"",UFS!$A$2:$A$175,0)-1,0,COUNTIF(UFS!$A$2:$A$175,$D1406&amp;""),1),M1406)&gt;0),"Valide","Invalide")</f>
        <v>#N/A</v>
      </c>
      <c r="AH1406" s="15" t="str">
        <f t="shared" si="21"/>
        <v/>
      </c>
    </row>
    <row r="1407" spans="1:34" s="15" customFormat="1" ht="45" hidden="1" customHeight="1" x14ac:dyDescent="0.3">
      <c r="A1407" s="42">
        <v>1408</v>
      </c>
      <c r="B1407" s="19"/>
      <c r="C1407" s="19"/>
      <c r="D1407" s="20"/>
      <c r="E1407" s="20"/>
      <c r="F1407" s="21"/>
      <c r="G1407" s="38"/>
      <c r="H1407" s="39"/>
      <c r="I1407" s="39"/>
      <c r="J1407" s="21"/>
      <c r="K1407" s="21"/>
      <c r="L1407" s="21"/>
      <c r="M1407" s="21"/>
      <c r="N1407" s="21"/>
      <c r="O1407" s="20"/>
      <c r="P1407" s="19"/>
      <c r="Q1407" s="39"/>
      <c r="R1407" s="19"/>
      <c r="S1407" s="21"/>
      <c r="T1407" s="21"/>
      <c r="U1407" s="39"/>
      <c r="V1407" s="21"/>
      <c r="W1407" s="54"/>
      <c r="X1407" s="23"/>
      <c r="Y1407" s="23"/>
      <c r="Z1407" s="56"/>
      <c r="AA1407" s="24"/>
      <c r="AB1407" s="19"/>
      <c r="AC1407" s="19"/>
      <c r="AD1407" s="15" t="e">
        <f ca="1">IF(AND($D1407&lt;&gt;"",COUNTIF(OFFSET(UFS!$E$2,MATCH($D1407&amp;"",UFS!$A$2:$A$175,0)-1,0,COUNTIF(UFS!$A$2:$A$175,$D1407&amp;""),1),M1407)&gt;0),"Valide","Invalide")</f>
        <v>#N/A</v>
      </c>
      <c r="AH1407" s="15" t="str">
        <f t="shared" si="21"/>
        <v/>
      </c>
    </row>
    <row r="1408" spans="1:34" s="15" customFormat="1" ht="45" hidden="1" customHeight="1" x14ac:dyDescent="0.3">
      <c r="A1408" s="42">
        <v>1409</v>
      </c>
      <c r="B1408" s="19"/>
      <c r="C1408" s="19"/>
      <c r="D1408" s="20"/>
      <c r="E1408" s="20"/>
      <c r="F1408" s="21"/>
      <c r="G1408" s="38"/>
      <c r="H1408" s="39"/>
      <c r="I1408" s="39"/>
      <c r="J1408" s="21"/>
      <c r="K1408" s="21"/>
      <c r="L1408" s="21"/>
      <c r="M1408" s="21"/>
      <c r="N1408" s="21"/>
      <c r="O1408" s="20"/>
      <c r="P1408" s="19"/>
      <c r="Q1408" s="39"/>
      <c r="R1408" s="19"/>
      <c r="S1408" s="21"/>
      <c r="T1408" s="21"/>
      <c r="U1408" s="39"/>
      <c r="V1408" s="21"/>
      <c r="W1408" s="54"/>
      <c r="X1408" s="23"/>
      <c r="Y1408" s="23"/>
      <c r="Z1408" s="56"/>
      <c r="AA1408" s="24"/>
      <c r="AB1408" s="19"/>
      <c r="AC1408" s="19"/>
      <c r="AD1408" s="15" t="e">
        <f ca="1">IF(AND($D1408&lt;&gt;"",COUNTIF(OFFSET(UFS!$E$2,MATCH($D1408&amp;"",UFS!$A$2:$A$175,0)-1,0,COUNTIF(UFS!$A$2:$A$175,$D1408&amp;""),1),M1408)&gt;0),"Valide","Invalide")</f>
        <v>#N/A</v>
      </c>
      <c r="AH1408" s="15" t="str">
        <f t="shared" si="21"/>
        <v/>
      </c>
    </row>
    <row r="1409" spans="1:34" s="15" customFormat="1" ht="45" hidden="1" customHeight="1" x14ac:dyDescent="0.3">
      <c r="A1409" s="42">
        <v>1410</v>
      </c>
      <c r="B1409" s="19"/>
      <c r="C1409" s="19"/>
      <c r="D1409" s="20"/>
      <c r="E1409" s="20"/>
      <c r="F1409" s="21"/>
      <c r="G1409" s="38"/>
      <c r="H1409" s="39"/>
      <c r="I1409" s="39"/>
      <c r="J1409" s="21"/>
      <c r="K1409" s="21"/>
      <c r="L1409" s="21"/>
      <c r="M1409" s="21"/>
      <c r="N1409" s="21"/>
      <c r="O1409" s="20"/>
      <c r="P1409" s="19"/>
      <c r="Q1409" s="39"/>
      <c r="R1409" s="19"/>
      <c r="S1409" s="21"/>
      <c r="T1409" s="21"/>
      <c r="U1409" s="39"/>
      <c r="V1409" s="21"/>
      <c r="W1409" s="54"/>
      <c r="X1409" s="23"/>
      <c r="Y1409" s="23"/>
      <c r="Z1409" s="56"/>
      <c r="AA1409" s="24"/>
      <c r="AB1409" s="19"/>
      <c r="AC1409" s="19"/>
      <c r="AD1409" s="15" t="e">
        <f ca="1">IF(AND($D1409&lt;&gt;"",COUNTIF(OFFSET(UFS!$E$2,MATCH($D1409&amp;"",UFS!$A$2:$A$175,0)-1,0,COUNTIF(UFS!$A$2:$A$175,$D1409&amp;""),1),M1409)&gt;0),"Valide","Invalide")</f>
        <v>#N/A</v>
      </c>
      <c r="AH1409" s="15" t="str">
        <f t="shared" si="21"/>
        <v/>
      </c>
    </row>
    <row r="1410" spans="1:34" s="15" customFormat="1" ht="45" hidden="1" customHeight="1" x14ac:dyDescent="0.3">
      <c r="A1410" s="42">
        <v>1411</v>
      </c>
      <c r="B1410" s="19"/>
      <c r="C1410" s="19"/>
      <c r="D1410" s="20"/>
      <c r="E1410" s="20"/>
      <c r="F1410" s="21"/>
      <c r="G1410" s="38"/>
      <c r="H1410" s="39"/>
      <c r="I1410" s="39"/>
      <c r="J1410" s="21"/>
      <c r="K1410" s="21"/>
      <c r="L1410" s="21"/>
      <c r="M1410" s="21"/>
      <c r="N1410" s="21"/>
      <c r="O1410" s="20"/>
      <c r="P1410" s="19"/>
      <c r="Q1410" s="39"/>
      <c r="R1410" s="19"/>
      <c r="S1410" s="21"/>
      <c r="T1410" s="21"/>
      <c r="U1410" s="39"/>
      <c r="V1410" s="21"/>
      <c r="W1410" s="54"/>
      <c r="X1410" s="23"/>
      <c r="Y1410" s="23"/>
      <c r="Z1410" s="56"/>
      <c r="AA1410" s="24"/>
      <c r="AB1410" s="19"/>
      <c r="AC1410" s="19"/>
      <c r="AD1410" s="15" t="e">
        <f ca="1">IF(AND($D1410&lt;&gt;"",COUNTIF(OFFSET(UFS!$E$2,MATCH($D1410&amp;"",UFS!$A$2:$A$175,0)-1,0,COUNTIF(UFS!$A$2:$A$175,$D1410&amp;""),1),M1410)&gt;0),"Valide","Invalide")</f>
        <v>#N/A</v>
      </c>
      <c r="AH1410" s="15" t="str">
        <f t="shared" si="21"/>
        <v/>
      </c>
    </row>
    <row r="1411" spans="1:34" s="15" customFormat="1" ht="45" hidden="1" customHeight="1" x14ac:dyDescent="0.3">
      <c r="A1411" s="42">
        <v>1412</v>
      </c>
      <c r="B1411" s="19"/>
      <c r="C1411" s="19"/>
      <c r="D1411" s="20"/>
      <c r="E1411" s="20"/>
      <c r="F1411" s="21"/>
      <c r="G1411" s="38"/>
      <c r="H1411" s="39"/>
      <c r="I1411" s="39"/>
      <c r="J1411" s="21"/>
      <c r="K1411" s="21"/>
      <c r="L1411" s="21"/>
      <c r="M1411" s="21"/>
      <c r="N1411" s="21"/>
      <c r="O1411" s="20"/>
      <c r="P1411" s="19"/>
      <c r="Q1411" s="39"/>
      <c r="R1411" s="19"/>
      <c r="S1411" s="21"/>
      <c r="T1411" s="21"/>
      <c r="U1411" s="39"/>
      <c r="V1411" s="21"/>
      <c r="W1411" s="54"/>
      <c r="X1411" s="23"/>
      <c r="Y1411" s="23"/>
      <c r="Z1411" s="56"/>
      <c r="AA1411" s="24"/>
      <c r="AB1411" s="19"/>
      <c r="AC1411" s="19"/>
      <c r="AD1411" s="15" t="e">
        <f ca="1">IF(AND($D1411&lt;&gt;"",COUNTIF(OFFSET(UFS!$E$2,MATCH($D1411&amp;"",UFS!$A$2:$A$175,0)-1,0,COUNTIF(UFS!$A$2:$A$175,$D1411&amp;""),1),M1411)&gt;0),"Valide","Invalide")</f>
        <v>#N/A</v>
      </c>
      <c r="AH1411" s="15" t="str">
        <f t="shared" ref="AH1411:AH1474" si="22">IF(T1411&lt;&gt;"","En attente","")</f>
        <v/>
      </c>
    </row>
    <row r="1412" spans="1:34" s="15" customFormat="1" ht="45" hidden="1" customHeight="1" x14ac:dyDescent="0.3">
      <c r="A1412" s="42">
        <v>1413</v>
      </c>
      <c r="B1412" s="19"/>
      <c r="C1412" s="19"/>
      <c r="D1412" s="20"/>
      <c r="E1412" s="20"/>
      <c r="F1412" s="21"/>
      <c r="G1412" s="38"/>
      <c r="H1412" s="39"/>
      <c r="I1412" s="39"/>
      <c r="J1412" s="21"/>
      <c r="K1412" s="21"/>
      <c r="L1412" s="21"/>
      <c r="M1412" s="21"/>
      <c r="N1412" s="21"/>
      <c r="O1412" s="20"/>
      <c r="P1412" s="19"/>
      <c r="Q1412" s="39"/>
      <c r="R1412" s="19"/>
      <c r="S1412" s="21"/>
      <c r="T1412" s="21"/>
      <c r="U1412" s="39"/>
      <c r="V1412" s="21"/>
      <c r="W1412" s="54"/>
      <c r="X1412" s="23"/>
      <c r="Y1412" s="23"/>
      <c r="Z1412" s="56"/>
      <c r="AA1412" s="24"/>
      <c r="AB1412" s="19"/>
      <c r="AC1412" s="19"/>
      <c r="AD1412" s="15" t="e">
        <f ca="1">IF(AND($D1412&lt;&gt;"",COUNTIF(OFFSET(UFS!$E$2,MATCH($D1412&amp;"",UFS!$A$2:$A$175,0)-1,0,COUNTIF(UFS!$A$2:$A$175,$D1412&amp;""),1),M1412)&gt;0),"Valide","Invalide")</f>
        <v>#N/A</v>
      </c>
      <c r="AH1412" s="15" t="str">
        <f t="shared" si="22"/>
        <v/>
      </c>
    </row>
    <row r="1413" spans="1:34" s="15" customFormat="1" ht="45" hidden="1" customHeight="1" x14ac:dyDescent="0.3">
      <c r="A1413" s="42">
        <v>1414</v>
      </c>
      <c r="B1413" s="19"/>
      <c r="C1413" s="19"/>
      <c r="D1413" s="20"/>
      <c r="E1413" s="20"/>
      <c r="F1413" s="21"/>
      <c r="G1413" s="38"/>
      <c r="H1413" s="39"/>
      <c r="I1413" s="39"/>
      <c r="J1413" s="21"/>
      <c r="K1413" s="21"/>
      <c r="L1413" s="21"/>
      <c r="M1413" s="21"/>
      <c r="N1413" s="21"/>
      <c r="O1413" s="20"/>
      <c r="P1413" s="19"/>
      <c r="Q1413" s="39"/>
      <c r="R1413" s="19"/>
      <c r="S1413" s="21"/>
      <c r="T1413" s="21"/>
      <c r="U1413" s="39"/>
      <c r="V1413" s="21"/>
      <c r="W1413" s="54"/>
      <c r="X1413" s="23"/>
      <c r="Y1413" s="23"/>
      <c r="Z1413" s="56"/>
      <c r="AA1413" s="24"/>
      <c r="AB1413" s="19"/>
      <c r="AC1413" s="19"/>
      <c r="AD1413" s="15" t="e">
        <f ca="1">IF(AND($D1413&lt;&gt;"",COUNTIF(OFFSET(UFS!$E$2,MATCH($D1413&amp;"",UFS!$A$2:$A$175,0)-1,0,COUNTIF(UFS!$A$2:$A$175,$D1413&amp;""),1),M1413)&gt;0),"Valide","Invalide")</f>
        <v>#N/A</v>
      </c>
      <c r="AH1413" s="15" t="str">
        <f t="shared" si="22"/>
        <v/>
      </c>
    </row>
    <row r="1414" spans="1:34" s="15" customFormat="1" ht="45" hidden="1" customHeight="1" x14ac:dyDescent="0.3">
      <c r="A1414" s="42">
        <v>1415</v>
      </c>
      <c r="B1414" s="19"/>
      <c r="C1414" s="19"/>
      <c r="D1414" s="20"/>
      <c r="E1414" s="20"/>
      <c r="F1414" s="21"/>
      <c r="G1414" s="38"/>
      <c r="H1414" s="39"/>
      <c r="I1414" s="39"/>
      <c r="J1414" s="21"/>
      <c r="K1414" s="21"/>
      <c r="L1414" s="21"/>
      <c r="M1414" s="21"/>
      <c r="N1414" s="21"/>
      <c r="O1414" s="20"/>
      <c r="P1414" s="19"/>
      <c r="Q1414" s="39"/>
      <c r="R1414" s="19"/>
      <c r="S1414" s="21"/>
      <c r="T1414" s="21"/>
      <c r="U1414" s="39"/>
      <c r="V1414" s="21"/>
      <c r="W1414" s="54"/>
      <c r="X1414" s="23"/>
      <c r="Y1414" s="23"/>
      <c r="Z1414" s="56"/>
      <c r="AA1414" s="24"/>
      <c r="AB1414" s="19"/>
      <c r="AC1414" s="19"/>
      <c r="AD1414" s="15" t="e">
        <f ca="1">IF(AND($D1414&lt;&gt;"",COUNTIF(OFFSET(UFS!$E$2,MATCH($D1414&amp;"",UFS!$A$2:$A$175,0)-1,0,COUNTIF(UFS!$A$2:$A$175,$D1414&amp;""),1),M1414)&gt;0),"Valide","Invalide")</f>
        <v>#N/A</v>
      </c>
      <c r="AH1414" s="15" t="str">
        <f t="shared" si="22"/>
        <v/>
      </c>
    </row>
    <row r="1415" spans="1:34" s="15" customFormat="1" ht="45" hidden="1" customHeight="1" x14ac:dyDescent="0.3">
      <c r="A1415" s="42">
        <v>1416</v>
      </c>
      <c r="B1415" s="19"/>
      <c r="C1415" s="19"/>
      <c r="D1415" s="20"/>
      <c r="E1415" s="20"/>
      <c r="F1415" s="21"/>
      <c r="G1415" s="38"/>
      <c r="H1415" s="39"/>
      <c r="I1415" s="39"/>
      <c r="J1415" s="21"/>
      <c r="K1415" s="21"/>
      <c r="L1415" s="21"/>
      <c r="M1415" s="21"/>
      <c r="N1415" s="21"/>
      <c r="O1415" s="20"/>
      <c r="P1415" s="19"/>
      <c r="Q1415" s="39"/>
      <c r="R1415" s="19"/>
      <c r="S1415" s="21"/>
      <c r="T1415" s="21"/>
      <c r="U1415" s="39"/>
      <c r="V1415" s="21"/>
      <c r="W1415" s="54"/>
      <c r="X1415" s="23"/>
      <c r="Y1415" s="23"/>
      <c r="Z1415" s="56"/>
      <c r="AA1415" s="24"/>
      <c r="AB1415" s="19"/>
      <c r="AC1415" s="19"/>
      <c r="AD1415" s="15" t="e">
        <f ca="1">IF(AND($D1415&lt;&gt;"",COUNTIF(OFFSET(UFS!$E$2,MATCH($D1415&amp;"",UFS!$A$2:$A$175,0)-1,0,COUNTIF(UFS!$A$2:$A$175,$D1415&amp;""),1),M1415)&gt;0),"Valide","Invalide")</f>
        <v>#N/A</v>
      </c>
      <c r="AH1415" s="15" t="str">
        <f t="shared" si="22"/>
        <v/>
      </c>
    </row>
    <row r="1416" spans="1:34" s="15" customFormat="1" ht="45" hidden="1" customHeight="1" x14ac:dyDescent="0.3">
      <c r="A1416" s="42">
        <v>1417</v>
      </c>
      <c r="B1416" s="19"/>
      <c r="C1416" s="19"/>
      <c r="D1416" s="20"/>
      <c r="E1416" s="20"/>
      <c r="F1416" s="21"/>
      <c r="G1416" s="38"/>
      <c r="H1416" s="39"/>
      <c r="I1416" s="39"/>
      <c r="J1416" s="21"/>
      <c r="K1416" s="21"/>
      <c r="L1416" s="21"/>
      <c r="M1416" s="21"/>
      <c r="N1416" s="21"/>
      <c r="O1416" s="20"/>
      <c r="P1416" s="19"/>
      <c r="Q1416" s="39"/>
      <c r="R1416" s="19"/>
      <c r="S1416" s="21"/>
      <c r="T1416" s="21"/>
      <c r="U1416" s="39"/>
      <c r="V1416" s="21"/>
      <c r="W1416" s="54"/>
      <c r="X1416" s="23"/>
      <c r="Y1416" s="23"/>
      <c r="Z1416" s="56"/>
      <c r="AA1416" s="24"/>
      <c r="AB1416" s="19"/>
      <c r="AC1416" s="19"/>
      <c r="AD1416" s="15" t="e">
        <f ca="1">IF(AND($D1416&lt;&gt;"",COUNTIF(OFFSET(UFS!$E$2,MATCH($D1416&amp;"",UFS!$A$2:$A$175,0)-1,0,COUNTIF(UFS!$A$2:$A$175,$D1416&amp;""),1),M1416)&gt;0),"Valide","Invalide")</f>
        <v>#N/A</v>
      </c>
      <c r="AH1416" s="15" t="str">
        <f t="shared" si="22"/>
        <v/>
      </c>
    </row>
    <row r="1417" spans="1:34" s="15" customFormat="1" ht="45" hidden="1" customHeight="1" x14ac:dyDescent="0.3">
      <c r="A1417" s="42">
        <v>1418</v>
      </c>
      <c r="B1417" s="19"/>
      <c r="C1417" s="19"/>
      <c r="D1417" s="20"/>
      <c r="E1417" s="20"/>
      <c r="F1417" s="21"/>
      <c r="G1417" s="38"/>
      <c r="H1417" s="39"/>
      <c r="I1417" s="39"/>
      <c r="J1417" s="21"/>
      <c r="K1417" s="21"/>
      <c r="L1417" s="21"/>
      <c r="M1417" s="21"/>
      <c r="N1417" s="21"/>
      <c r="O1417" s="20"/>
      <c r="P1417" s="19"/>
      <c r="Q1417" s="39"/>
      <c r="R1417" s="19"/>
      <c r="S1417" s="21"/>
      <c r="T1417" s="21"/>
      <c r="U1417" s="39"/>
      <c r="V1417" s="21"/>
      <c r="W1417" s="54"/>
      <c r="X1417" s="23"/>
      <c r="Y1417" s="23"/>
      <c r="Z1417" s="56"/>
      <c r="AA1417" s="24"/>
      <c r="AB1417" s="19"/>
      <c r="AC1417" s="19"/>
      <c r="AD1417" s="15" t="e">
        <f ca="1">IF(AND($D1417&lt;&gt;"",COUNTIF(OFFSET(UFS!$E$2,MATCH($D1417&amp;"",UFS!$A$2:$A$175,0)-1,0,COUNTIF(UFS!$A$2:$A$175,$D1417&amp;""),1),M1417)&gt;0),"Valide","Invalide")</f>
        <v>#N/A</v>
      </c>
      <c r="AH1417" s="15" t="str">
        <f t="shared" si="22"/>
        <v/>
      </c>
    </row>
    <row r="1418" spans="1:34" s="15" customFormat="1" ht="45" hidden="1" customHeight="1" x14ac:dyDescent="0.3">
      <c r="A1418" s="42">
        <v>1419</v>
      </c>
      <c r="B1418" s="19"/>
      <c r="C1418" s="19"/>
      <c r="D1418" s="20"/>
      <c r="E1418" s="20"/>
      <c r="F1418" s="21"/>
      <c r="G1418" s="38"/>
      <c r="H1418" s="39"/>
      <c r="I1418" s="39"/>
      <c r="J1418" s="21"/>
      <c r="K1418" s="21"/>
      <c r="L1418" s="21"/>
      <c r="M1418" s="21"/>
      <c r="N1418" s="21"/>
      <c r="O1418" s="20"/>
      <c r="P1418" s="19"/>
      <c r="Q1418" s="39"/>
      <c r="R1418" s="19"/>
      <c r="S1418" s="21"/>
      <c r="T1418" s="21"/>
      <c r="U1418" s="39"/>
      <c r="V1418" s="21"/>
      <c r="W1418" s="54"/>
      <c r="X1418" s="23"/>
      <c r="Y1418" s="23"/>
      <c r="Z1418" s="56"/>
      <c r="AA1418" s="24"/>
      <c r="AB1418" s="19"/>
      <c r="AC1418" s="19"/>
      <c r="AD1418" s="15" t="e">
        <f ca="1">IF(AND($D1418&lt;&gt;"",COUNTIF(OFFSET(UFS!$E$2,MATCH($D1418&amp;"",UFS!$A$2:$A$175,0)-1,0,COUNTIF(UFS!$A$2:$A$175,$D1418&amp;""),1),M1418)&gt;0),"Valide","Invalide")</f>
        <v>#N/A</v>
      </c>
      <c r="AH1418" s="15" t="str">
        <f t="shared" si="22"/>
        <v/>
      </c>
    </row>
    <row r="1419" spans="1:34" s="15" customFormat="1" ht="45" hidden="1" customHeight="1" x14ac:dyDescent="0.3">
      <c r="A1419" s="42">
        <v>1420</v>
      </c>
      <c r="B1419" s="19"/>
      <c r="C1419" s="19"/>
      <c r="D1419" s="20"/>
      <c r="E1419" s="20"/>
      <c r="F1419" s="21"/>
      <c r="G1419" s="38"/>
      <c r="H1419" s="39"/>
      <c r="I1419" s="39"/>
      <c r="J1419" s="21"/>
      <c r="K1419" s="21"/>
      <c r="L1419" s="21"/>
      <c r="M1419" s="21"/>
      <c r="N1419" s="21"/>
      <c r="O1419" s="20"/>
      <c r="P1419" s="19"/>
      <c r="Q1419" s="39"/>
      <c r="R1419" s="19"/>
      <c r="S1419" s="21"/>
      <c r="T1419" s="21"/>
      <c r="U1419" s="39"/>
      <c r="V1419" s="21"/>
      <c r="W1419" s="54"/>
      <c r="X1419" s="23"/>
      <c r="Y1419" s="23"/>
      <c r="Z1419" s="56"/>
      <c r="AA1419" s="24"/>
      <c r="AB1419" s="19"/>
      <c r="AC1419" s="19"/>
      <c r="AD1419" s="15" t="e">
        <f ca="1">IF(AND($D1419&lt;&gt;"",COUNTIF(OFFSET(UFS!$E$2,MATCH($D1419&amp;"",UFS!$A$2:$A$175,0)-1,0,COUNTIF(UFS!$A$2:$A$175,$D1419&amp;""),1),M1419)&gt;0),"Valide","Invalide")</f>
        <v>#N/A</v>
      </c>
      <c r="AH1419" s="15" t="str">
        <f t="shared" si="22"/>
        <v/>
      </c>
    </row>
    <row r="1420" spans="1:34" s="15" customFormat="1" ht="45" hidden="1" customHeight="1" x14ac:dyDescent="0.3">
      <c r="A1420" s="42">
        <v>1421</v>
      </c>
      <c r="B1420" s="19"/>
      <c r="C1420" s="19"/>
      <c r="D1420" s="20"/>
      <c r="E1420" s="20"/>
      <c r="F1420" s="21"/>
      <c r="G1420" s="38"/>
      <c r="H1420" s="39"/>
      <c r="I1420" s="39"/>
      <c r="J1420" s="21"/>
      <c r="K1420" s="21"/>
      <c r="L1420" s="21"/>
      <c r="M1420" s="21"/>
      <c r="N1420" s="21"/>
      <c r="O1420" s="20"/>
      <c r="P1420" s="19"/>
      <c r="Q1420" s="39"/>
      <c r="R1420" s="19"/>
      <c r="S1420" s="21"/>
      <c r="T1420" s="21"/>
      <c r="U1420" s="39"/>
      <c r="V1420" s="21"/>
      <c r="W1420" s="54"/>
      <c r="X1420" s="23"/>
      <c r="Y1420" s="23"/>
      <c r="Z1420" s="56"/>
      <c r="AA1420" s="24"/>
      <c r="AB1420" s="19"/>
      <c r="AC1420" s="19"/>
      <c r="AD1420" s="15" t="e">
        <f ca="1">IF(AND($D1420&lt;&gt;"",COUNTIF(OFFSET(UFS!$E$2,MATCH($D1420&amp;"",UFS!$A$2:$A$175,0)-1,0,COUNTIF(UFS!$A$2:$A$175,$D1420&amp;""),1),M1420)&gt;0),"Valide","Invalide")</f>
        <v>#N/A</v>
      </c>
      <c r="AH1420" s="15" t="str">
        <f t="shared" si="22"/>
        <v/>
      </c>
    </row>
    <row r="1421" spans="1:34" s="15" customFormat="1" ht="45" hidden="1" customHeight="1" x14ac:dyDescent="0.3">
      <c r="A1421" s="42">
        <v>1422</v>
      </c>
      <c r="B1421" s="19"/>
      <c r="C1421" s="19"/>
      <c r="D1421" s="20"/>
      <c r="E1421" s="20"/>
      <c r="F1421" s="21"/>
      <c r="G1421" s="38"/>
      <c r="H1421" s="39"/>
      <c r="I1421" s="39"/>
      <c r="J1421" s="21"/>
      <c r="K1421" s="21"/>
      <c r="L1421" s="21"/>
      <c r="M1421" s="21"/>
      <c r="N1421" s="21"/>
      <c r="O1421" s="20"/>
      <c r="P1421" s="19"/>
      <c r="Q1421" s="39"/>
      <c r="R1421" s="19"/>
      <c r="S1421" s="21"/>
      <c r="T1421" s="21"/>
      <c r="U1421" s="39"/>
      <c r="V1421" s="21"/>
      <c r="W1421" s="54"/>
      <c r="X1421" s="23"/>
      <c r="Y1421" s="23"/>
      <c r="Z1421" s="56"/>
      <c r="AA1421" s="24"/>
      <c r="AB1421" s="19"/>
      <c r="AC1421" s="19"/>
      <c r="AD1421" s="15" t="e">
        <f ca="1">IF(AND($D1421&lt;&gt;"",COUNTIF(OFFSET(UFS!$E$2,MATCH($D1421&amp;"",UFS!$A$2:$A$175,0)-1,0,COUNTIF(UFS!$A$2:$A$175,$D1421&amp;""),1),M1421)&gt;0),"Valide","Invalide")</f>
        <v>#N/A</v>
      </c>
      <c r="AH1421" s="15" t="str">
        <f t="shared" si="22"/>
        <v/>
      </c>
    </row>
    <row r="1422" spans="1:34" s="15" customFormat="1" ht="45" hidden="1" customHeight="1" x14ac:dyDescent="0.3">
      <c r="A1422" s="42">
        <v>1423</v>
      </c>
      <c r="B1422" s="19"/>
      <c r="C1422" s="19"/>
      <c r="D1422" s="20"/>
      <c r="E1422" s="20"/>
      <c r="F1422" s="21"/>
      <c r="G1422" s="38"/>
      <c r="H1422" s="39"/>
      <c r="I1422" s="39"/>
      <c r="J1422" s="21"/>
      <c r="K1422" s="21"/>
      <c r="L1422" s="21"/>
      <c r="M1422" s="21"/>
      <c r="N1422" s="21"/>
      <c r="O1422" s="20"/>
      <c r="P1422" s="19"/>
      <c r="Q1422" s="39"/>
      <c r="R1422" s="19"/>
      <c r="S1422" s="21"/>
      <c r="T1422" s="21"/>
      <c r="U1422" s="39"/>
      <c r="V1422" s="21"/>
      <c r="W1422" s="54"/>
      <c r="X1422" s="23"/>
      <c r="Y1422" s="23"/>
      <c r="Z1422" s="56"/>
      <c r="AA1422" s="24"/>
      <c r="AB1422" s="19"/>
      <c r="AC1422" s="19"/>
      <c r="AD1422" s="15" t="e">
        <f ca="1">IF(AND($D1422&lt;&gt;"",COUNTIF(OFFSET(UFS!$E$2,MATCH($D1422&amp;"",UFS!$A$2:$A$175,0)-1,0,COUNTIF(UFS!$A$2:$A$175,$D1422&amp;""),1),M1422)&gt;0),"Valide","Invalide")</f>
        <v>#N/A</v>
      </c>
      <c r="AH1422" s="15" t="str">
        <f t="shared" si="22"/>
        <v/>
      </c>
    </row>
    <row r="1423" spans="1:34" s="15" customFormat="1" ht="45" hidden="1" customHeight="1" x14ac:dyDescent="0.3">
      <c r="A1423" s="42">
        <v>1424</v>
      </c>
      <c r="B1423" s="19"/>
      <c r="C1423" s="19"/>
      <c r="D1423" s="20"/>
      <c r="E1423" s="20"/>
      <c r="F1423" s="21"/>
      <c r="G1423" s="38"/>
      <c r="H1423" s="39"/>
      <c r="I1423" s="39"/>
      <c r="J1423" s="21"/>
      <c r="K1423" s="21"/>
      <c r="L1423" s="21"/>
      <c r="M1423" s="21"/>
      <c r="N1423" s="21"/>
      <c r="O1423" s="20"/>
      <c r="P1423" s="19"/>
      <c r="Q1423" s="39"/>
      <c r="R1423" s="19"/>
      <c r="S1423" s="21"/>
      <c r="T1423" s="21"/>
      <c r="U1423" s="39"/>
      <c r="V1423" s="21"/>
      <c r="W1423" s="54"/>
      <c r="X1423" s="23"/>
      <c r="Y1423" s="23"/>
      <c r="Z1423" s="56"/>
      <c r="AA1423" s="24"/>
      <c r="AB1423" s="19"/>
      <c r="AC1423" s="19"/>
      <c r="AD1423" s="15" t="e">
        <f ca="1">IF(AND($D1423&lt;&gt;"",COUNTIF(OFFSET(UFS!$E$2,MATCH($D1423&amp;"",UFS!$A$2:$A$175,0)-1,0,COUNTIF(UFS!$A$2:$A$175,$D1423&amp;""),1),M1423)&gt;0),"Valide","Invalide")</f>
        <v>#N/A</v>
      </c>
      <c r="AH1423" s="15" t="str">
        <f t="shared" si="22"/>
        <v/>
      </c>
    </row>
    <row r="1424" spans="1:34" s="15" customFormat="1" ht="45" hidden="1" customHeight="1" x14ac:dyDescent="0.3">
      <c r="A1424" s="42">
        <v>1425</v>
      </c>
      <c r="B1424" s="19"/>
      <c r="C1424" s="19"/>
      <c r="D1424" s="20"/>
      <c r="E1424" s="20"/>
      <c r="F1424" s="21"/>
      <c r="G1424" s="38"/>
      <c r="H1424" s="39"/>
      <c r="I1424" s="39"/>
      <c r="J1424" s="21"/>
      <c r="K1424" s="21"/>
      <c r="L1424" s="21"/>
      <c r="M1424" s="21"/>
      <c r="N1424" s="21"/>
      <c r="O1424" s="20"/>
      <c r="P1424" s="19"/>
      <c r="Q1424" s="39"/>
      <c r="R1424" s="19"/>
      <c r="S1424" s="21"/>
      <c r="T1424" s="21"/>
      <c r="U1424" s="39"/>
      <c r="V1424" s="21"/>
      <c r="W1424" s="54"/>
      <c r="X1424" s="23"/>
      <c r="Y1424" s="23"/>
      <c r="Z1424" s="56"/>
      <c r="AA1424" s="24"/>
      <c r="AB1424" s="19"/>
      <c r="AC1424" s="19"/>
      <c r="AD1424" s="15" t="e">
        <f ca="1">IF(AND($D1424&lt;&gt;"",COUNTIF(OFFSET(UFS!$E$2,MATCH($D1424&amp;"",UFS!$A$2:$A$175,0)-1,0,COUNTIF(UFS!$A$2:$A$175,$D1424&amp;""),1),M1424)&gt;0),"Valide","Invalide")</f>
        <v>#N/A</v>
      </c>
      <c r="AH1424" s="15" t="str">
        <f t="shared" si="22"/>
        <v/>
      </c>
    </row>
    <row r="1425" spans="1:34" s="15" customFormat="1" ht="45" hidden="1" customHeight="1" x14ac:dyDescent="0.3">
      <c r="A1425" s="42">
        <v>1426</v>
      </c>
      <c r="B1425" s="19"/>
      <c r="C1425" s="19"/>
      <c r="D1425" s="20"/>
      <c r="E1425" s="20"/>
      <c r="F1425" s="21"/>
      <c r="G1425" s="38"/>
      <c r="H1425" s="39"/>
      <c r="I1425" s="39"/>
      <c r="J1425" s="21"/>
      <c r="K1425" s="21"/>
      <c r="L1425" s="21"/>
      <c r="M1425" s="21"/>
      <c r="N1425" s="21"/>
      <c r="O1425" s="20"/>
      <c r="P1425" s="19"/>
      <c r="Q1425" s="39"/>
      <c r="R1425" s="19"/>
      <c r="S1425" s="21"/>
      <c r="T1425" s="21"/>
      <c r="U1425" s="39"/>
      <c r="V1425" s="21"/>
      <c r="W1425" s="54"/>
      <c r="X1425" s="23"/>
      <c r="Y1425" s="23"/>
      <c r="Z1425" s="56"/>
      <c r="AA1425" s="24"/>
      <c r="AB1425" s="19"/>
      <c r="AC1425" s="19"/>
      <c r="AD1425" s="15" t="e">
        <f ca="1">IF(AND($D1425&lt;&gt;"",COUNTIF(OFFSET(UFS!$E$2,MATCH($D1425&amp;"",UFS!$A$2:$A$175,0)-1,0,COUNTIF(UFS!$A$2:$A$175,$D1425&amp;""),1),M1425)&gt;0),"Valide","Invalide")</f>
        <v>#N/A</v>
      </c>
      <c r="AH1425" s="15" t="str">
        <f t="shared" si="22"/>
        <v/>
      </c>
    </row>
    <row r="1426" spans="1:34" s="15" customFormat="1" ht="45" hidden="1" customHeight="1" x14ac:dyDescent="0.3">
      <c r="A1426" s="42">
        <v>1427</v>
      </c>
      <c r="B1426" s="19"/>
      <c r="C1426" s="19"/>
      <c r="D1426" s="20"/>
      <c r="E1426" s="20"/>
      <c r="F1426" s="21"/>
      <c r="G1426" s="38"/>
      <c r="H1426" s="39"/>
      <c r="I1426" s="39"/>
      <c r="J1426" s="21"/>
      <c r="K1426" s="21"/>
      <c r="L1426" s="21"/>
      <c r="M1426" s="21"/>
      <c r="N1426" s="21"/>
      <c r="O1426" s="20"/>
      <c r="P1426" s="19"/>
      <c r="Q1426" s="39"/>
      <c r="R1426" s="19"/>
      <c r="S1426" s="21"/>
      <c r="T1426" s="21"/>
      <c r="U1426" s="39"/>
      <c r="V1426" s="21"/>
      <c r="W1426" s="54"/>
      <c r="X1426" s="23"/>
      <c r="Y1426" s="23"/>
      <c r="Z1426" s="56"/>
      <c r="AA1426" s="24"/>
      <c r="AB1426" s="19"/>
      <c r="AC1426" s="19"/>
      <c r="AD1426" s="15" t="e">
        <f ca="1">IF(AND($D1426&lt;&gt;"",COUNTIF(OFFSET(UFS!$E$2,MATCH($D1426&amp;"",UFS!$A$2:$A$175,0)-1,0,COUNTIF(UFS!$A$2:$A$175,$D1426&amp;""),1),M1426)&gt;0),"Valide","Invalide")</f>
        <v>#N/A</v>
      </c>
      <c r="AH1426" s="15" t="str">
        <f t="shared" si="22"/>
        <v/>
      </c>
    </row>
    <row r="1427" spans="1:34" s="15" customFormat="1" ht="45" hidden="1" customHeight="1" x14ac:dyDescent="0.3">
      <c r="A1427" s="42">
        <v>1428</v>
      </c>
      <c r="B1427" s="19"/>
      <c r="C1427" s="19"/>
      <c r="D1427" s="20"/>
      <c r="E1427" s="20"/>
      <c r="F1427" s="21"/>
      <c r="G1427" s="38"/>
      <c r="H1427" s="39"/>
      <c r="I1427" s="39"/>
      <c r="J1427" s="21"/>
      <c r="K1427" s="21"/>
      <c r="L1427" s="21"/>
      <c r="M1427" s="21"/>
      <c r="N1427" s="21"/>
      <c r="O1427" s="20"/>
      <c r="P1427" s="19"/>
      <c r="Q1427" s="39"/>
      <c r="R1427" s="19"/>
      <c r="S1427" s="21"/>
      <c r="T1427" s="21"/>
      <c r="U1427" s="39"/>
      <c r="V1427" s="21"/>
      <c r="W1427" s="54"/>
      <c r="X1427" s="23"/>
      <c r="Y1427" s="23"/>
      <c r="Z1427" s="56"/>
      <c r="AA1427" s="24"/>
      <c r="AB1427" s="19"/>
      <c r="AC1427" s="19"/>
      <c r="AD1427" s="15" t="e">
        <f ca="1">IF(AND($D1427&lt;&gt;"",COUNTIF(OFFSET(UFS!$E$2,MATCH($D1427&amp;"",UFS!$A$2:$A$175,0)-1,0,COUNTIF(UFS!$A$2:$A$175,$D1427&amp;""),1),M1427)&gt;0),"Valide","Invalide")</f>
        <v>#N/A</v>
      </c>
      <c r="AH1427" s="15" t="str">
        <f t="shared" si="22"/>
        <v/>
      </c>
    </row>
    <row r="1428" spans="1:34" s="15" customFormat="1" ht="45" hidden="1" customHeight="1" x14ac:dyDescent="0.3">
      <c r="A1428" s="42">
        <v>1429</v>
      </c>
      <c r="B1428" s="19"/>
      <c r="C1428" s="19"/>
      <c r="D1428" s="20"/>
      <c r="E1428" s="20"/>
      <c r="F1428" s="21"/>
      <c r="G1428" s="38"/>
      <c r="H1428" s="39"/>
      <c r="I1428" s="39"/>
      <c r="J1428" s="21"/>
      <c r="K1428" s="21"/>
      <c r="L1428" s="21"/>
      <c r="M1428" s="21"/>
      <c r="N1428" s="21"/>
      <c r="O1428" s="20"/>
      <c r="P1428" s="19"/>
      <c r="Q1428" s="39"/>
      <c r="R1428" s="19"/>
      <c r="S1428" s="21"/>
      <c r="T1428" s="21"/>
      <c r="U1428" s="39"/>
      <c r="V1428" s="21"/>
      <c r="W1428" s="54"/>
      <c r="X1428" s="23"/>
      <c r="Y1428" s="23"/>
      <c r="Z1428" s="56"/>
      <c r="AA1428" s="24"/>
      <c r="AB1428" s="19"/>
      <c r="AC1428" s="19"/>
      <c r="AD1428" s="15" t="e">
        <f ca="1">IF(AND($D1428&lt;&gt;"",COUNTIF(OFFSET(UFS!$E$2,MATCH($D1428&amp;"",UFS!$A$2:$A$175,0)-1,0,COUNTIF(UFS!$A$2:$A$175,$D1428&amp;""),1),M1428)&gt;0),"Valide","Invalide")</f>
        <v>#N/A</v>
      </c>
      <c r="AH1428" s="15" t="str">
        <f t="shared" si="22"/>
        <v/>
      </c>
    </row>
    <row r="1429" spans="1:34" s="15" customFormat="1" ht="45" hidden="1" customHeight="1" x14ac:dyDescent="0.3">
      <c r="A1429" s="42">
        <v>1430</v>
      </c>
      <c r="B1429" s="19"/>
      <c r="C1429" s="19"/>
      <c r="D1429" s="20"/>
      <c r="E1429" s="20"/>
      <c r="F1429" s="21"/>
      <c r="G1429" s="38"/>
      <c r="H1429" s="39"/>
      <c r="I1429" s="39"/>
      <c r="J1429" s="21"/>
      <c r="K1429" s="21"/>
      <c r="L1429" s="21"/>
      <c r="M1429" s="21"/>
      <c r="N1429" s="21"/>
      <c r="O1429" s="20"/>
      <c r="P1429" s="19"/>
      <c r="Q1429" s="39"/>
      <c r="R1429" s="19"/>
      <c r="S1429" s="21"/>
      <c r="T1429" s="21"/>
      <c r="U1429" s="39"/>
      <c r="V1429" s="21"/>
      <c r="W1429" s="54"/>
      <c r="X1429" s="23"/>
      <c r="Y1429" s="23"/>
      <c r="Z1429" s="56"/>
      <c r="AA1429" s="24"/>
      <c r="AB1429" s="19"/>
      <c r="AC1429" s="19"/>
      <c r="AD1429" s="15" t="e">
        <f ca="1">IF(AND($D1429&lt;&gt;"",COUNTIF(OFFSET(UFS!$E$2,MATCH($D1429&amp;"",UFS!$A$2:$A$175,0)-1,0,COUNTIF(UFS!$A$2:$A$175,$D1429&amp;""),1),M1429)&gt;0),"Valide","Invalide")</f>
        <v>#N/A</v>
      </c>
      <c r="AH1429" s="15" t="str">
        <f t="shared" si="22"/>
        <v/>
      </c>
    </row>
    <row r="1430" spans="1:34" s="15" customFormat="1" ht="45" hidden="1" customHeight="1" x14ac:dyDescent="0.3">
      <c r="A1430" s="42">
        <v>1431</v>
      </c>
      <c r="B1430" s="19"/>
      <c r="C1430" s="19"/>
      <c r="D1430" s="20"/>
      <c r="E1430" s="20"/>
      <c r="F1430" s="21"/>
      <c r="G1430" s="38"/>
      <c r="H1430" s="39"/>
      <c r="I1430" s="39"/>
      <c r="J1430" s="21"/>
      <c r="K1430" s="21"/>
      <c r="L1430" s="21"/>
      <c r="M1430" s="21"/>
      <c r="N1430" s="21"/>
      <c r="O1430" s="20"/>
      <c r="P1430" s="19"/>
      <c r="Q1430" s="39"/>
      <c r="R1430" s="19"/>
      <c r="S1430" s="21"/>
      <c r="T1430" s="21"/>
      <c r="U1430" s="39"/>
      <c r="V1430" s="21"/>
      <c r="W1430" s="54"/>
      <c r="X1430" s="23"/>
      <c r="Y1430" s="23"/>
      <c r="Z1430" s="56"/>
      <c r="AA1430" s="24"/>
      <c r="AB1430" s="19"/>
      <c r="AC1430" s="19"/>
      <c r="AD1430" s="15" t="e">
        <f ca="1">IF(AND($D1430&lt;&gt;"",COUNTIF(OFFSET(UFS!$E$2,MATCH($D1430&amp;"",UFS!$A$2:$A$175,0)-1,0,COUNTIF(UFS!$A$2:$A$175,$D1430&amp;""),1),M1430)&gt;0),"Valide","Invalide")</f>
        <v>#N/A</v>
      </c>
      <c r="AH1430" s="15" t="str">
        <f t="shared" si="22"/>
        <v/>
      </c>
    </row>
    <row r="1431" spans="1:34" s="15" customFormat="1" ht="45" hidden="1" customHeight="1" x14ac:dyDescent="0.3">
      <c r="A1431" s="42">
        <v>1432</v>
      </c>
      <c r="B1431" s="19"/>
      <c r="C1431" s="19"/>
      <c r="D1431" s="20"/>
      <c r="E1431" s="20"/>
      <c r="F1431" s="21"/>
      <c r="G1431" s="38"/>
      <c r="H1431" s="39"/>
      <c r="I1431" s="39"/>
      <c r="J1431" s="21"/>
      <c r="K1431" s="21"/>
      <c r="L1431" s="21"/>
      <c r="M1431" s="21"/>
      <c r="N1431" s="21"/>
      <c r="O1431" s="20"/>
      <c r="P1431" s="19"/>
      <c r="Q1431" s="39"/>
      <c r="R1431" s="19"/>
      <c r="S1431" s="21"/>
      <c r="T1431" s="21"/>
      <c r="U1431" s="39"/>
      <c r="V1431" s="21"/>
      <c r="W1431" s="54"/>
      <c r="X1431" s="23"/>
      <c r="Y1431" s="23"/>
      <c r="Z1431" s="56"/>
      <c r="AA1431" s="24"/>
      <c r="AB1431" s="19"/>
      <c r="AC1431" s="19"/>
      <c r="AD1431" s="15" t="e">
        <f ca="1">IF(AND($D1431&lt;&gt;"",COUNTIF(OFFSET(UFS!$E$2,MATCH($D1431&amp;"",UFS!$A$2:$A$175,0)-1,0,COUNTIF(UFS!$A$2:$A$175,$D1431&amp;""),1),M1431)&gt;0),"Valide","Invalide")</f>
        <v>#N/A</v>
      </c>
      <c r="AH1431" s="15" t="str">
        <f t="shared" si="22"/>
        <v/>
      </c>
    </row>
    <row r="1432" spans="1:34" s="15" customFormat="1" ht="45" hidden="1" customHeight="1" x14ac:dyDescent="0.3">
      <c r="A1432" s="42">
        <v>1433</v>
      </c>
      <c r="B1432" s="19"/>
      <c r="C1432" s="19"/>
      <c r="D1432" s="20"/>
      <c r="E1432" s="20"/>
      <c r="F1432" s="21"/>
      <c r="G1432" s="38"/>
      <c r="H1432" s="39"/>
      <c r="I1432" s="39"/>
      <c r="J1432" s="21"/>
      <c r="K1432" s="21"/>
      <c r="L1432" s="21"/>
      <c r="M1432" s="21"/>
      <c r="N1432" s="21"/>
      <c r="O1432" s="20"/>
      <c r="P1432" s="19"/>
      <c r="Q1432" s="39"/>
      <c r="R1432" s="19"/>
      <c r="S1432" s="21"/>
      <c r="T1432" s="21"/>
      <c r="U1432" s="39"/>
      <c r="V1432" s="21"/>
      <c r="W1432" s="54"/>
      <c r="X1432" s="23"/>
      <c r="Y1432" s="23"/>
      <c r="Z1432" s="56"/>
      <c r="AA1432" s="24"/>
      <c r="AB1432" s="19"/>
      <c r="AC1432" s="19"/>
      <c r="AD1432" s="15" t="e">
        <f ca="1">IF(AND($D1432&lt;&gt;"",COUNTIF(OFFSET(UFS!$E$2,MATCH($D1432&amp;"",UFS!$A$2:$A$175,0)-1,0,COUNTIF(UFS!$A$2:$A$175,$D1432&amp;""),1),M1432)&gt;0),"Valide","Invalide")</f>
        <v>#N/A</v>
      </c>
      <c r="AH1432" s="15" t="str">
        <f t="shared" si="22"/>
        <v/>
      </c>
    </row>
    <row r="1433" spans="1:34" s="15" customFormat="1" ht="45" hidden="1" customHeight="1" x14ac:dyDescent="0.3">
      <c r="A1433" s="42">
        <v>1434</v>
      </c>
      <c r="B1433" s="19"/>
      <c r="C1433" s="19"/>
      <c r="D1433" s="20"/>
      <c r="E1433" s="20"/>
      <c r="F1433" s="21"/>
      <c r="G1433" s="38"/>
      <c r="H1433" s="39"/>
      <c r="I1433" s="39"/>
      <c r="J1433" s="21"/>
      <c r="K1433" s="21"/>
      <c r="L1433" s="21"/>
      <c r="M1433" s="21"/>
      <c r="N1433" s="21"/>
      <c r="O1433" s="20"/>
      <c r="P1433" s="19"/>
      <c r="Q1433" s="39"/>
      <c r="R1433" s="19"/>
      <c r="S1433" s="21"/>
      <c r="T1433" s="21"/>
      <c r="U1433" s="39"/>
      <c r="V1433" s="21"/>
      <c r="W1433" s="54"/>
      <c r="X1433" s="23"/>
      <c r="Y1433" s="23"/>
      <c r="Z1433" s="56"/>
      <c r="AA1433" s="24"/>
      <c r="AB1433" s="19"/>
      <c r="AC1433" s="19"/>
      <c r="AD1433" s="15" t="e">
        <f ca="1">IF(AND($D1433&lt;&gt;"",COUNTIF(OFFSET(UFS!$E$2,MATCH($D1433&amp;"",UFS!$A$2:$A$175,0)-1,0,COUNTIF(UFS!$A$2:$A$175,$D1433&amp;""),1),M1433)&gt;0),"Valide","Invalide")</f>
        <v>#N/A</v>
      </c>
      <c r="AH1433" s="15" t="str">
        <f t="shared" si="22"/>
        <v/>
      </c>
    </row>
    <row r="1434" spans="1:34" s="15" customFormat="1" ht="45" hidden="1" customHeight="1" x14ac:dyDescent="0.3">
      <c r="A1434" s="42">
        <v>1435</v>
      </c>
      <c r="B1434" s="19"/>
      <c r="C1434" s="19"/>
      <c r="D1434" s="20"/>
      <c r="E1434" s="20"/>
      <c r="F1434" s="21"/>
      <c r="G1434" s="38"/>
      <c r="H1434" s="39"/>
      <c r="I1434" s="39"/>
      <c r="J1434" s="21"/>
      <c r="K1434" s="21"/>
      <c r="L1434" s="21"/>
      <c r="M1434" s="21"/>
      <c r="N1434" s="21"/>
      <c r="O1434" s="20"/>
      <c r="P1434" s="19"/>
      <c r="Q1434" s="39"/>
      <c r="R1434" s="19"/>
      <c r="S1434" s="21"/>
      <c r="T1434" s="21"/>
      <c r="U1434" s="39"/>
      <c r="V1434" s="21"/>
      <c r="W1434" s="54"/>
      <c r="X1434" s="23"/>
      <c r="Y1434" s="23"/>
      <c r="Z1434" s="56"/>
      <c r="AA1434" s="24"/>
      <c r="AB1434" s="19"/>
      <c r="AC1434" s="19"/>
      <c r="AD1434" s="15" t="e">
        <f ca="1">IF(AND($D1434&lt;&gt;"",COUNTIF(OFFSET(UFS!$E$2,MATCH($D1434&amp;"",UFS!$A$2:$A$175,0)-1,0,COUNTIF(UFS!$A$2:$A$175,$D1434&amp;""),1),M1434)&gt;0),"Valide","Invalide")</f>
        <v>#N/A</v>
      </c>
      <c r="AH1434" s="15" t="str">
        <f t="shared" si="22"/>
        <v/>
      </c>
    </row>
    <row r="1435" spans="1:34" s="15" customFormat="1" ht="45" hidden="1" customHeight="1" x14ac:dyDescent="0.3">
      <c r="A1435" s="42">
        <v>1436</v>
      </c>
      <c r="B1435" s="19"/>
      <c r="C1435" s="19"/>
      <c r="D1435" s="20"/>
      <c r="E1435" s="20"/>
      <c r="F1435" s="21"/>
      <c r="G1435" s="38"/>
      <c r="H1435" s="39"/>
      <c r="I1435" s="39"/>
      <c r="J1435" s="21"/>
      <c r="K1435" s="21"/>
      <c r="L1435" s="21"/>
      <c r="M1435" s="21"/>
      <c r="N1435" s="21"/>
      <c r="O1435" s="20"/>
      <c r="P1435" s="19"/>
      <c r="Q1435" s="39"/>
      <c r="R1435" s="19"/>
      <c r="S1435" s="21"/>
      <c r="T1435" s="21"/>
      <c r="U1435" s="39"/>
      <c r="V1435" s="21"/>
      <c r="W1435" s="54"/>
      <c r="X1435" s="23"/>
      <c r="Y1435" s="23"/>
      <c r="Z1435" s="56"/>
      <c r="AA1435" s="24"/>
      <c r="AB1435" s="19"/>
      <c r="AC1435" s="19"/>
      <c r="AD1435" s="15" t="e">
        <f ca="1">IF(AND($D1435&lt;&gt;"",COUNTIF(OFFSET(UFS!$E$2,MATCH($D1435&amp;"",UFS!$A$2:$A$175,0)-1,0,COUNTIF(UFS!$A$2:$A$175,$D1435&amp;""),1),M1435)&gt;0),"Valide","Invalide")</f>
        <v>#N/A</v>
      </c>
      <c r="AH1435" s="15" t="str">
        <f t="shared" si="22"/>
        <v/>
      </c>
    </row>
    <row r="1436" spans="1:34" s="15" customFormat="1" ht="45" hidden="1" customHeight="1" x14ac:dyDescent="0.3">
      <c r="A1436" s="42">
        <v>1437</v>
      </c>
      <c r="B1436" s="19"/>
      <c r="C1436" s="19"/>
      <c r="D1436" s="20"/>
      <c r="E1436" s="20"/>
      <c r="F1436" s="21"/>
      <c r="G1436" s="38"/>
      <c r="H1436" s="39"/>
      <c r="I1436" s="39"/>
      <c r="J1436" s="21"/>
      <c r="K1436" s="21"/>
      <c r="L1436" s="21"/>
      <c r="M1436" s="21"/>
      <c r="N1436" s="21"/>
      <c r="O1436" s="20"/>
      <c r="P1436" s="19"/>
      <c r="Q1436" s="39"/>
      <c r="R1436" s="19"/>
      <c r="S1436" s="21"/>
      <c r="T1436" s="21"/>
      <c r="U1436" s="39"/>
      <c r="V1436" s="21"/>
      <c r="W1436" s="54"/>
      <c r="X1436" s="23"/>
      <c r="Y1436" s="23"/>
      <c r="Z1436" s="56"/>
      <c r="AA1436" s="24"/>
      <c r="AB1436" s="19"/>
      <c r="AC1436" s="19"/>
      <c r="AD1436" s="15" t="e">
        <f ca="1">IF(AND($D1436&lt;&gt;"",COUNTIF(OFFSET(UFS!$E$2,MATCH($D1436&amp;"",UFS!$A$2:$A$175,0)-1,0,COUNTIF(UFS!$A$2:$A$175,$D1436&amp;""),1),M1436)&gt;0),"Valide","Invalide")</f>
        <v>#N/A</v>
      </c>
      <c r="AH1436" s="15" t="str">
        <f t="shared" si="22"/>
        <v/>
      </c>
    </row>
    <row r="1437" spans="1:34" s="15" customFormat="1" ht="45" hidden="1" customHeight="1" x14ac:dyDescent="0.3">
      <c r="A1437" s="42">
        <v>1438</v>
      </c>
      <c r="B1437" s="19"/>
      <c r="C1437" s="19"/>
      <c r="D1437" s="20"/>
      <c r="E1437" s="20"/>
      <c r="F1437" s="21"/>
      <c r="G1437" s="38"/>
      <c r="H1437" s="39"/>
      <c r="I1437" s="39"/>
      <c r="J1437" s="21"/>
      <c r="K1437" s="21"/>
      <c r="L1437" s="21"/>
      <c r="M1437" s="21"/>
      <c r="N1437" s="21"/>
      <c r="O1437" s="20"/>
      <c r="P1437" s="19"/>
      <c r="Q1437" s="39"/>
      <c r="R1437" s="19"/>
      <c r="S1437" s="21"/>
      <c r="T1437" s="21"/>
      <c r="U1437" s="39"/>
      <c r="V1437" s="21"/>
      <c r="W1437" s="54"/>
      <c r="X1437" s="23"/>
      <c r="Y1437" s="23"/>
      <c r="Z1437" s="56"/>
      <c r="AA1437" s="24"/>
      <c r="AB1437" s="19"/>
      <c r="AC1437" s="19"/>
      <c r="AD1437" s="15" t="e">
        <f ca="1">IF(AND($D1437&lt;&gt;"",COUNTIF(OFFSET(UFS!$E$2,MATCH($D1437&amp;"",UFS!$A$2:$A$175,0)-1,0,COUNTIF(UFS!$A$2:$A$175,$D1437&amp;""),1),M1437)&gt;0),"Valide","Invalide")</f>
        <v>#N/A</v>
      </c>
      <c r="AH1437" s="15" t="str">
        <f t="shared" si="22"/>
        <v/>
      </c>
    </row>
    <row r="1438" spans="1:34" s="15" customFormat="1" ht="45" hidden="1" customHeight="1" x14ac:dyDescent="0.3">
      <c r="A1438" s="42">
        <v>1439</v>
      </c>
      <c r="B1438" s="19"/>
      <c r="C1438" s="19"/>
      <c r="D1438" s="20"/>
      <c r="E1438" s="20"/>
      <c r="F1438" s="21"/>
      <c r="G1438" s="38"/>
      <c r="H1438" s="39"/>
      <c r="I1438" s="39"/>
      <c r="J1438" s="21"/>
      <c r="K1438" s="21"/>
      <c r="L1438" s="21"/>
      <c r="M1438" s="21"/>
      <c r="N1438" s="21"/>
      <c r="O1438" s="20"/>
      <c r="P1438" s="19"/>
      <c r="Q1438" s="39"/>
      <c r="R1438" s="19"/>
      <c r="S1438" s="21"/>
      <c r="T1438" s="21"/>
      <c r="U1438" s="39"/>
      <c r="V1438" s="21"/>
      <c r="W1438" s="54"/>
      <c r="X1438" s="23"/>
      <c r="Y1438" s="23"/>
      <c r="Z1438" s="56"/>
      <c r="AA1438" s="24"/>
      <c r="AB1438" s="19"/>
      <c r="AC1438" s="19"/>
      <c r="AD1438" s="15" t="e">
        <f ca="1">IF(AND($D1438&lt;&gt;"",COUNTIF(OFFSET(UFS!$E$2,MATCH($D1438&amp;"",UFS!$A$2:$A$175,0)-1,0,COUNTIF(UFS!$A$2:$A$175,$D1438&amp;""),1),M1438)&gt;0),"Valide","Invalide")</f>
        <v>#N/A</v>
      </c>
      <c r="AH1438" s="15" t="str">
        <f t="shared" si="22"/>
        <v/>
      </c>
    </row>
    <row r="1439" spans="1:34" s="15" customFormat="1" ht="45" hidden="1" customHeight="1" x14ac:dyDescent="0.3">
      <c r="A1439" s="42">
        <v>1440</v>
      </c>
      <c r="B1439" s="19"/>
      <c r="C1439" s="19"/>
      <c r="D1439" s="20"/>
      <c r="E1439" s="20"/>
      <c r="F1439" s="21"/>
      <c r="G1439" s="38"/>
      <c r="H1439" s="39"/>
      <c r="I1439" s="39"/>
      <c r="J1439" s="21"/>
      <c r="K1439" s="21"/>
      <c r="L1439" s="21"/>
      <c r="M1439" s="21"/>
      <c r="N1439" s="21"/>
      <c r="O1439" s="20"/>
      <c r="P1439" s="19"/>
      <c r="Q1439" s="39"/>
      <c r="R1439" s="19"/>
      <c r="S1439" s="21"/>
      <c r="T1439" s="21"/>
      <c r="U1439" s="39"/>
      <c r="V1439" s="21"/>
      <c r="W1439" s="54"/>
      <c r="X1439" s="23"/>
      <c r="Y1439" s="23"/>
      <c r="Z1439" s="56"/>
      <c r="AA1439" s="24"/>
      <c r="AB1439" s="19"/>
      <c r="AC1439" s="19"/>
      <c r="AD1439" s="15" t="e">
        <f ca="1">IF(AND($D1439&lt;&gt;"",COUNTIF(OFFSET(UFS!$E$2,MATCH($D1439&amp;"",UFS!$A$2:$A$175,0)-1,0,COUNTIF(UFS!$A$2:$A$175,$D1439&amp;""),1),M1439)&gt;0),"Valide","Invalide")</f>
        <v>#N/A</v>
      </c>
      <c r="AH1439" s="15" t="str">
        <f t="shared" si="22"/>
        <v/>
      </c>
    </row>
    <row r="1440" spans="1:34" s="15" customFormat="1" ht="45" hidden="1" customHeight="1" x14ac:dyDescent="0.3">
      <c r="A1440" s="42">
        <v>1441</v>
      </c>
      <c r="B1440" s="19"/>
      <c r="C1440" s="19"/>
      <c r="D1440" s="20"/>
      <c r="E1440" s="20"/>
      <c r="F1440" s="21"/>
      <c r="G1440" s="38"/>
      <c r="H1440" s="39"/>
      <c r="I1440" s="39"/>
      <c r="J1440" s="21"/>
      <c r="K1440" s="21"/>
      <c r="L1440" s="21"/>
      <c r="M1440" s="21"/>
      <c r="N1440" s="21"/>
      <c r="O1440" s="20"/>
      <c r="P1440" s="19"/>
      <c r="Q1440" s="39"/>
      <c r="R1440" s="19"/>
      <c r="S1440" s="21"/>
      <c r="T1440" s="21"/>
      <c r="U1440" s="39"/>
      <c r="V1440" s="21"/>
      <c r="W1440" s="54"/>
      <c r="X1440" s="23"/>
      <c r="Y1440" s="23"/>
      <c r="Z1440" s="56"/>
      <c r="AA1440" s="24"/>
      <c r="AB1440" s="19"/>
      <c r="AC1440" s="19"/>
      <c r="AD1440" s="15" t="e">
        <f ca="1">IF(AND($D1440&lt;&gt;"",COUNTIF(OFFSET(UFS!$E$2,MATCH($D1440&amp;"",UFS!$A$2:$A$175,0)-1,0,COUNTIF(UFS!$A$2:$A$175,$D1440&amp;""),1),M1440)&gt;0),"Valide","Invalide")</f>
        <v>#N/A</v>
      </c>
      <c r="AH1440" s="15" t="str">
        <f t="shared" si="22"/>
        <v/>
      </c>
    </row>
    <row r="1441" spans="1:34" s="15" customFormat="1" ht="45" hidden="1" customHeight="1" x14ac:dyDescent="0.3">
      <c r="A1441" s="42">
        <v>1442</v>
      </c>
      <c r="B1441" s="19"/>
      <c r="C1441" s="19"/>
      <c r="D1441" s="20"/>
      <c r="E1441" s="20"/>
      <c r="F1441" s="21"/>
      <c r="G1441" s="38"/>
      <c r="H1441" s="39"/>
      <c r="I1441" s="39"/>
      <c r="J1441" s="21"/>
      <c r="K1441" s="21"/>
      <c r="L1441" s="21"/>
      <c r="M1441" s="21"/>
      <c r="N1441" s="21"/>
      <c r="O1441" s="20"/>
      <c r="P1441" s="19"/>
      <c r="Q1441" s="39"/>
      <c r="R1441" s="19"/>
      <c r="S1441" s="21"/>
      <c r="T1441" s="21"/>
      <c r="U1441" s="39"/>
      <c r="V1441" s="21"/>
      <c r="W1441" s="54"/>
      <c r="X1441" s="23"/>
      <c r="Y1441" s="23"/>
      <c r="Z1441" s="56"/>
      <c r="AA1441" s="24"/>
      <c r="AB1441" s="19"/>
      <c r="AC1441" s="19"/>
      <c r="AD1441" s="15" t="e">
        <f ca="1">IF(AND($D1441&lt;&gt;"",COUNTIF(OFFSET(UFS!$E$2,MATCH($D1441&amp;"",UFS!$A$2:$A$175,0)-1,0,COUNTIF(UFS!$A$2:$A$175,$D1441&amp;""),1),M1441)&gt;0),"Valide","Invalide")</f>
        <v>#N/A</v>
      </c>
      <c r="AH1441" s="15" t="str">
        <f t="shared" si="22"/>
        <v/>
      </c>
    </row>
    <row r="1442" spans="1:34" s="15" customFormat="1" ht="45" hidden="1" customHeight="1" x14ac:dyDescent="0.3">
      <c r="A1442" s="42">
        <v>1443</v>
      </c>
      <c r="B1442" s="19"/>
      <c r="C1442" s="19"/>
      <c r="D1442" s="20"/>
      <c r="E1442" s="20"/>
      <c r="F1442" s="21"/>
      <c r="G1442" s="38"/>
      <c r="H1442" s="39"/>
      <c r="I1442" s="39"/>
      <c r="J1442" s="21"/>
      <c r="K1442" s="21"/>
      <c r="L1442" s="21"/>
      <c r="M1442" s="21"/>
      <c r="N1442" s="21"/>
      <c r="O1442" s="20"/>
      <c r="P1442" s="19"/>
      <c r="Q1442" s="39"/>
      <c r="R1442" s="19"/>
      <c r="S1442" s="21"/>
      <c r="T1442" s="21"/>
      <c r="U1442" s="39"/>
      <c r="V1442" s="21"/>
      <c r="W1442" s="54"/>
      <c r="X1442" s="23"/>
      <c r="Y1442" s="23"/>
      <c r="Z1442" s="56"/>
      <c r="AA1442" s="24"/>
      <c r="AB1442" s="19"/>
      <c r="AC1442" s="19"/>
      <c r="AD1442" s="15" t="e">
        <f ca="1">IF(AND($D1442&lt;&gt;"",COUNTIF(OFFSET(UFS!$E$2,MATCH($D1442&amp;"",UFS!$A$2:$A$175,0)-1,0,COUNTIF(UFS!$A$2:$A$175,$D1442&amp;""),1),M1442)&gt;0),"Valide","Invalide")</f>
        <v>#N/A</v>
      </c>
      <c r="AH1442" s="15" t="str">
        <f t="shared" si="22"/>
        <v/>
      </c>
    </row>
    <row r="1443" spans="1:34" s="15" customFormat="1" ht="45" hidden="1" customHeight="1" x14ac:dyDescent="0.3">
      <c r="A1443" s="42">
        <v>1444</v>
      </c>
      <c r="B1443" s="19"/>
      <c r="C1443" s="19"/>
      <c r="D1443" s="20"/>
      <c r="E1443" s="20"/>
      <c r="F1443" s="21"/>
      <c r="G1443" s="38"/>
      <c r="H1443" s="39"/>
      <c r="I1443" s="39"/>
      <c r="J1443" s="21"/>
      <c r="K1443" s="21"/>
      <c r="L1443" s="21"/>
      <c r="M1443" s="21"/>
      <c r="N1443" s="21"/>
      <c r="O1443" s="20"/>
      <c r="P1443" s="19"/>
      <c r="Q1443" s="39"/>
      <c r="R1443" s="19"/>
      <c r="S1443" s="21"/>
      <c r="T1443" s="21"/>
      <c r="U1443" s="39"/>
      <c r="V1443" s="21"/>
      <c r="W1443" s="54"/>
      <c r="X1443" s="23"/>
      <c r="Y1443" s="23"/>
      <c r="Z1443" s="56"/>
      <c r="AA1443" s="24"/>
      <c r="AB1443" s="19"/>
      <c r="AC1443" s="19"/>
      <c r="AD1443" s="15" t="e">
        <f ca="1">IF(AND($D1443&lt;&gt;"",COUNTIF(OFFSET(UFS!$E$2,MATCH($D1443&amp;"",UFS!$A$2:$A$175,0)-1,0,COUNTIF(UFS!$A$2:$A$175,$D1443&amp;""),1),M1443)&gt;0),"Valide","Invalide")</f>
        <v>#N/A</v>
      </c>
      <c r="AH1443" s="15" t="str">
        <f t="shared" si="22"/>
        <v/>
      </c>
    </row>
    <row r="1444" spans="1:34" s="15" customFormat="1" ht="45" hidden="1" customHeight="1" x14ac:dyDescent="0.3">
      <c r="A1444" s="42">
        <v>1445</v>
      </c>
      <c r="B1444" s="19"/>
      <c r="C1444" s="19"/>
      <c r="D1444" s="20"/>
      <c r="E1444" s="20"/>
      <c r="F1444" s="21"/>
      <c r="G1444" s="38"/>
      <c r="H1444" s="39"/>
      <c r="I1444" s="39"/>
      <c r="J1444" s="21"/>
      <c r="K1444" s="21"/>
      <c r="L1444" s="21"/>
      <c r="M1444" s="21"/>
      <c r="N1444" s="21"/>
      <c r="O1444" s="20"/>
      <c r="P1444" s="19"/>
      <c r="Q1444" s="39"/>
      <c r="R1444" s="19"/>
      <c r="S1444" s="21"/>
      <c r="T1444" s="21"/>
      <c r="U1444" s="39"/>
      <c r="V1444" s="21"/>
      <c r="W1444" s="54"/>
      <c r="X1444" s="23"/>
      <c r="Y1444" s="23"/>
      <c r="Z1444" s="56"/>
      <c r="AA1444" s="24"/>
      <c r="AB1444" s="19"/>
      <c r="AC1444" s="19"/>
      <c r="AD1444" s="15" t="e">
        <f ca="1">IF(AND($D1444&lt;&gt;"",COUNTIF(OFFSET(UFS!$E$2,MATCH($D1444&amp;"",UFS!$A$2:$A$175,0)-1,0,COUNTIF(UFS!$A$2:$A$175,$D1444&amp;""),1),M1444)&gt;0),"Valide","Invalide")</f>
        <v>#N/A</v>
      </c>
      <c r="AH1444" s="15" t="str">
        <f t="shared" si="22"/>
        <v/>
      </c>
    </row>
    <row r="1445" spans="1:34" s="15" customFormat="1" ht="45" hidden="1" customHeight="1" x14ac:dyDescent="0.3">
      <c r="A1445" s="42">
        <v>1446</v>
      </c>
      <c r="B1445" s="19"/>
      <c r="C1445" s="19"/>
      <c r="D1445" s="20"/>
      <c r="E1445" s="20"/>
      <c r="F1445" s="21"/>
      <c r="G1445" s="38"/>
      <c r="H1445" s="39"/>
      <c r="I1445" s="39"/>
      <c r="J1445" s="21"/>
      <c r="K1445" s="21"/>
      <c r="L1445" s="21"/>
      <c r="M1445" s="21"/>
      <c r="N1445" s="21"/>
      <c r="O1445" s="20"/>
      <c r="P1445" s="19"/>
      <c r="Q1445" s="39"/>
      <c r="R1445" s="19"/>
      <c r="S1445" s="21"/>
      <c r="T1445" s="21"/>
      <c r="U1445" s="39"/>
      <c r="V1445" s="21"/>
      <c r="W1445" s="54"/>
      <c r="X1445" s="23"/>
      <c r="Y1445" s="23"/>
      <c r="Z1445" s="56"/>
      <c r="AA1445" s="24"/>
      <c r="AB1445" s="19"/>
      <c r="AC1445" s="19"/>
      <c r="AD1445" s="15" t="e">
        <f ca="1">IF(AND($D1445&lt;&gt;"",COUNTIF(OFFSET(UFS!$E$2,MATCH($D1445&amp;"",UFS!$A$2:$A$175,0)-1,0,COUNTIF(UFS!$A$2:$A$175,$D1445&amp;""),1),M1445)&gt;0),"Valide","Invalide")</f>
        <v>#N/A</v>
      </c>
      <c r="AH1445" s="15" t="str">
        <f t="shared" si="22"/>
        <v/>
      </c>
    </row>
    <row r="1446" spans="1:34" s="15" customFormat="1" ht="45" hidden="1" customHeight="1" x14ac:dyDescent="0.3">
      <c r="A1446" s="42">
        <v>1447</v>
      </c>
      <c r="B1446" s="19"/>
      <c r="C1446" s="19"/>
      <c r="D1446" s="20"/>
      <c r="E1446" s="20"/>
      <c r="F1446" s="21"/>
      <c r="G1446" s="38"/>
      <c r="H1446" s="39"/>
      <c r="I1446" s="39"/>
      <c r="J1446" s="21"/>
      <c r="K1446" s="21"/>
      <c r="L1446" s="21"/>
      <c r="M1446" s="21"/>
      <c r="N1446" s="21"/>
      <c r="O1446" s="20"/>
      <c r="P1446" s="19"/>
      <c r="Q1446" s="39"/>
      <c r="R1446" s="19"/>
      <c r="S1446" s="21"/>
      <c r="T1446" s="21"/>
      <c r="U1446" s="39"/>
      <c r="V1446" s="21"/>
      <c r="W1446" s="54"/>
      <c r="X1446" s="23"/>
      <c r="Y1446" s="23"/>
      <c r="Z1446" s="56"/>
      <c r="AA1446" s="24"/>
      <c r="AB1446" s="19"/>
      <c r="AC1446" s="19"/>
      <c r="AD1446" s="15" t="e">
        <f ca="1">IF(AND($D1446&lt;&gt;"",COUNTIF(OFFSET(UFS!$E$2,MATCH($D1446&amp;"",UFS!$A$2:$A$175,0)-1,0,COUNTIF(UFS!$A$2:$A$175,$D1446&amp;""),1),M1446)&gt;0),"Valide","Invalide")</f>
        <v>#N/A</v>
      </c>
      <c r="AH1446" s="15" t="str">
        <f t="shared" si="22"/>
        <v/>
      </c>
    </row>
    <row r="1447" spans="1:34" s="15" customFormat="1" ht="45" hidden="1" customHeight="1" x14ac:dyDescent="0.3">
      <c r="A1447" s="42">
        <v>1448</v>
      </c>
      <c r="B1447" s="19"/>
      <c r="C1447" s="19"/>
      <c r="D1447" s="20"/>
      <c r="E1447" s="20"/>
      <c r="F1447" s="21"/>
      <c r="G1447" s="38"/>
      <c r="H1447" s="39"/>
      <c r="I1447" s="39"/>
      <c r="J1447" s="21"/>
      <c r="K1447" s="21"/>
      <c r="L1447" s="21"/>
      <c r="M1447" s="21"/>
      <c r="N1447" s="21"/>
      <c r="O1447" s="20"/>
      <c r="P1447" s="19"/>
      <c r="Q1447" s="39"/>
      <c r="R1447" s="19"/>
      <c r="S1447" s="21"/>
      <c r="T1447" s="21"/>
      <c r="U1447" s="39"/>
      <c r="V1447" s="21"/>
      <c r="W1447" s="54"/>
      <c r="X1447" s="23"/>
      <c r="Y1447" s="23"/>
      <c r="Z1447" s="56"/>
      <c r="AA1447" s="24"/>
      <c r="AB1447" s="19"/>
      <c r="AC1447" s="19"/>
      <c r="AD1447" s="15" t="e">
        <f ca="1">IF(AND($D1447&lt;&gt;"",COUNTIF(OFFSET(UFS!$E$2,MATCH($D1447&amp;"",UFS!$A$2:$A$175,0)-1,0,COUNTIF(UFS!$A$2:$A$175,$D1447&amp;""),1),M1447)&gt;0),"Valide","Invalide")</f>
        <v>#N/A</v>
      </c>
      <c r="AH1447" s="15" t="str">
        <f t="shared" si="22"/>
        <v/>
      </c>
    </row>
    <row r="1448" spans="1:34" s="15" customFormat="1" ht="45" hidden="1" customHeight="1" x14ac:dyDescent="0.3">
      <c r="A1448" s="42">
        <v>1449</v>
      </c>
      <c r="B1448" s="19"/>
      <c r="C1448" s="19"/>
      <c r="D1448" s="20"/>
      <c r="E1448" s="20"/>
      <c r="F1448" s="21"/>
      <c r="G1448" s="38"/>
      <c r="H1448" s="39"/>
      <c r="I1448" s="39"/>
      <c r="J1448" s="21"/>
      <c r="K1448" s="21"/>
      <c r="L1448" s="21"/>
      <c r="M1448" s="21"/>
      <c r="N1448" s="21"/>
      <c r="O1448" s="20"/>
      <c r="P1448" s="19"/>
      <c r="Q1448" s="39"/>
      <c r="R1448" s="19"/>
      <c r="S1448" s="21"/>
      <c r="T1448" s="21"/>
      <c r="U1448" s="39"/>
      <c r="V1448" s="21"/>
      <c r="W1448" s="54"/>
      <c r="X1448" s="23"/>
      <c r="Y1448" s="23"/>
      <c r="Z1448" s="56"/>
      <c r="AA1448" s="24"/>
      <c r="AB1448" s="19"/>
      <c r="AC1448" s="19"/>
      <c r="AD1448" s="15" t="e">
        <f ca="1">IF(AND($D1448&lt;&gt;"",COUNTIF(OFFSET(UFS!$E$2,MATCH($D1448&amp;"",UFS!$A$2:$A$175,0)-1,0,COUNTIF(UFS!$A$2:$A$175,$D1448&amp;""),1),M1448)&gt;0),"Valide","Invalide")</f>
        <v>#N/A</v>
      </c>
      <c r="AH1448" s="15" t="str">
        <f t="shared" si="22"/>
        <v/>
      </c>
    </row>
    <row r="1449" spans="1:34" s="15" customFormat="1" ht="45" hidden="1" customHeight="1" x14ac:dyDescent="0.3">
      <c r="A1449" s="42">
        <v>1450</v>
      </c>
      <c r="B1449" s="19"/>
      <c r="C1449" s="19"/>
      <c r="D1449" s="20"/>
      <c r="E1449" s="20"/>
      <c r="F1449" s="21"/>
      <c r="G1449" s="38"/>
      <c r="H1449" s="39"/>
      <c r="I1449" s="39"/>
      <c r="J1449" s="21"/>
      <c r="K1449" s="21"/>
      <c r="L1449" s="21"/>
      <c r="M1449" s="21"/>
      <c r="N1449" s="21"/>
      <c r="O1449" s="20"/>
      <c r="P1449" s="19"/>
      <c r="Q1449" s="39"/>
      <c r="R1449" s="19"/>
      <c r="S1449" s="21"/>
      <c r="T1449" s="21"/>
      <c r="U1449" s="39"/>
      <c r="V1449" s="21"/>
      <c r="W1449" s="54"/>
      <c r="X1449" s="23"/>
      <c r="Y1449" s="23"/>
      <c r="Z1449" s="56"/>
      <c r="AA1449" s="24"/>
      <c r="AB1449" s="19"/>
      <c r="AC1449" s="19"/>
      <c r="AD1449" s="15" t="e">
        <f ca="1">IF(AND($D1449&lt;&gt;"",COUNTIF(OFFSET(UFS!$E$2,MATCH($D1449&amp;"",UFS!$A$2:$A$175,0)-1,0,COUNTIF(UFS!$A$2:$A$175,$D1449&amp;""),1),M1449)&gt;0),"Valide","Invalide")</f>
        <v>#N/A</v>
      </c>
      <c r="AH1449" s="15" t="str">
        <f t="shared" si="22"/>
        <v/>
      </c>
    </row>
    <row r="1450" spans="1:34" s="15" customFormat="1" ht="45" hidden="1" customHeight="1" x14ac:dyDescent="0.3">
      <c r="A1450" s="42">
        <v>1451</v>
      </c>
      <c r="B1450" s="19"/>
      <c r="C1450" s="19"/>
      <c r="D1450" s="20"/>
      <c r="E1450" s="20"/>
      <c r="F1450" s="21"/>
      <c r="G1450" s="38"/>
      <c r="H1450" s="39"/>
      <c r="I1450" s="39"/>
      <c r="J1450" s="21"/>
      <c r="K1450" s="21"/>
      <c r="L1450" s="21"/>
      <c r="M1450" s="21"/>
      <c r="N1450" s="21"/>
      <c r="O1450" s="20"/>
      <c r="P1450" s="19"/>
      <c r="Q1450" s="39"/>
      <c r="R1450" s="19"/>
      <c r="S1450" s="21"/>
      <c r="T1450" s="21"/>
      <c r="U1450" s="39"/>
      <c r="V1450" s="21"/>
      <c r="W1450" s="54"/>
      <c r="X1450" s="23"/>
      <c r="Y1450" s="23"/>
      <c r="Z1450" s="56"/>
      <c r="AA1450" s="24"/>
      <c r="AB1450" s="19"/>
      <c r="AC1450" s="19"/>
      <c r="AD1450" s="15" t="e">
        <f ca="1">IF(AND($D1450&lt;&gt;"",COUNTIF(OFFSET(UFS!$E$2,MATCH($D1450&amp;"",UFS!$A$2:$A$175,0)-1,0,COUNTIF(UFS!$A$2:$A$175,$D1450&amp;""),1),M1450)&gt;0),"Valide","Invalide")</f>
        <v>#N/A</v>
      </c>
      <c r="AH1450" s="15" t="str">
        <f t="shared" si="22"/>
        <v/>
      </c>
    </row>
    <row r="1451" spans="1:34" s="15" customFormat="1" ht="45" hidden="1" customHeight="1" x14ac:dyDescent="0.3">
      <c r="A1451" s="42">
        <v>1452</v>
      </c>
      <c r="B1451" s="19"/>
      <c r="C1451" s="19"/>
      <c r="D1451" s="20"/>
      <c r="E1451" s="20"/>
      <c r="F1451" s="21"/>
      <c r="G1451" s="38"/>
      <c r="H1451" s="39"/>
      <c r="I1451" s="39"/>
      <c r="J1451" s="21"/>
      <c r="K1451" s="21"/>
      <c r="L1451" s="21"/>
      <c r="M1451" s="21"/>
      <c r="N1451" s="21"/>
      <c r="O1451" s="20"/>
      <c r="P1451" s="19"/>
      <c r="Q1451" s="39"/>
      <c r="R1451" s="19"/>
      <c r="S1451" s="21"/>
      <c r="T1451" s="21"/>
      <c r="U1451" s="39"/>
      <c r="V1451" s="21"/>
      <c r="W1451" s="54"/>
      <c r="X1451" s="23"/>
      <c r="Y1451" s="23"/>
      <c r="Z1451" s="56"/>
      <c r="AA1451" s="24"/>
      <c r="AB1451" s="19"/>
      <c r="AC1451" s="19"/>
      <c r="AD1451" s="15" t="e">
        <f ca="1">IF(AND($D1451&lt;&gt;"",COUNTIF(OFFSET(UFS!$E$2,MATCH($D1451&amp;"",UFS!$A$2:$A$175,0)-1,0,COUNTIF(UFS!$A$2:$A$175,$D1451&amp;""),1),M1451)&gt;0),"Valide","Invalide")</f>
        <v>#N/A</v>
      </c>
      <c r="AH1451" s="15" t="str">
        <f t="shared" si="22"/>
        <v/>
      </c>
    </row>
    <row r="1452" spans="1:34" s="15" customFormat="1" ht="45" hidden="1" customHeight="1" x14ac:dyDescent="0.3">
      <c r="A1452" s="42">
        <v>1453</v>
      </c>
      <c r="B1452" s="19"/>
      <c r="C1452" s="19"/>
      <c r="D1452" s="20"/>
      <c r="E1452" s="20"/>
      <c r="F1452" s="21"/>
      <c r="G1452" s="38"/>
      <c r="H1452" s="39"/>
      <c r="I1452" s="39"/>
      <c r="J1452" s="21"/>
      <c r="K1452" s="21"/>
      <c r="L1452" s="21"/>
      <c r="M1452" s="21"/>
      <c r="N1452" s="21"/>
      <c r="O1452" s="20"/>
      <c r="P1452" s="19"/>
      <c r="Q1452" s="39"/>
      <c r="R1452" s="19"/>
      <c r="S1452" s="21"/>
      <c r="T1452" s="21"/>
      <c r="U1452" s="39"/>
      <c r="V1452" s="21"/>
      <c r="W1452" s="54"/>
      <c r="X1452" s="23"/>
      <c r="Y1452" s="23"/>
      <c r="Z1452" s="56"/>
      <c r="AA1452" s="24"/>
      <c r="AB1452" s="19"/>
      <c r="AC1452" s="19"/>
      <c r="AD1452" s="15" t="e">
        <f ca="1">IF(AND($D1452&lt;&gt;"",COUNTIF(OFFSET(UFS!$E$2,MATCH($D1452&amp;"",UFS!$A$2:$A$175,0)-1,0,COUNTIF(UFS!$A$2:$A$175,$D1452&amp;""),1),M1452)&gt;0),"Valide","Invalide")</f>
        <v>#N/A</v>
      </c>
      <c r="AH1452" s="15" t="str">
        <f t="shared" si="22"/>
        <v/>
      </c>
    </row>
    <row r="1453" spans="1:34" s="15" customFormat="1" ht="45" hidden="1" customHeight="1" x14ac:dyDescent="0.3">
      <c r="A1453" s="42">
        <v>1454</v>
      </c>
      <c r="B1453" s="19"/>
      <c r="C1453" s="19"/>
      <c r="D1453" s="20"/>
      <c r="E1453" s="20"/>
      <c r="F1453" s="21"/>
      <c r="G1453" s="38"/>
      <c r="H1453" s="39"/>
      <c r="I1453" s="39"/>
      <c r="J1453" s="21"/>
      <c r="K1453" s="21"/>
      <c r="L1453" s="21"/>
      <c r="M1453" s="21"/>
      <c r="N1453" s="21"/>
      <c r="O1453" s="20"/>
      <c r="P1453" s="19"/>
      <c r="Q1453" s="39"/>
      <c r="R1453" s="19"/>
      <c r="S1453" s="21"/>
      <c r="T1453" s="21"/>
      <c r="U1453" s="39"/>
      <c r="V1453" s="21"/>
      <c r="W1453" s="54"/>
      <c r="X1453" s="23"/>
      <c r="Y1453" s="23"/>
      <c r="Z1453" s="56"/>
      <c r="AA1453" s="24"/>
      <c r="AB1453" s="19"/>
      <c r="AC1453" s="19"/>
      <c r="AD1453" s="15" t="e">
        <f ca="1">IF(AND($D1453&lt;&gt;"",COUNTIF(OFFSET(UFS!$E$2,MATCH($D1453&amp;"",UFS!$A$2:$A$175,0)-1,0,COUNTIF(UFS!$A$2:$A$175,$D1453&amp;""),1),M1453)&gt;0),"Valide","Invalide")</f>
        <v>#N/A</v>
      </c>
      <c r="AH1453" s="15" t="str">
        <f t="shared" si="22"/>
        <v/>
      </c>
    </row>
    <row r="1454" spans="1:34" s="15" customFormat="1" ht="45" hidden="1" customHeight="1" x14ac:dyDescent="0.3">
      <c r="A1454" s="42">
        <v>1455</v>
      </c>
      <c r="B1454" s="19"/>
      <c r="C1454" s="19"/>
      <c r="D1454" s="20"/>
      <c r="E1454" s="20"/>
      <c r="F1454" s="21"/>
      <c r="G1454" s="38"/>
      <c r="H1454" s="39"/>
      <c r="I1454" s="39"/>
      <c r="J1454" s="21"/>
      <c r="K1454" s="21"/>
      <c r="L1454" s="21"/>
      <c r="M1454" s="21"/>
      <c r="N1454" s="21"/>
      <c r="O1454" s="20"/>
      <c r="P1454" s="19"/>
      <c r="Q1454" s="39"/>
      <c r="R1454" s="19"/>
      <c r="S1454" s="21"/>
      <c r="T1454" s="21"/>
      <c r="U1454" s="39"/>
      <c r="V1454" s="21"/>
      <c r="W1454" s="54"/>
      <c r="X1454" s="23"/>
      <c r="Y1454" s="23"/>
      <c r="Z1454" s="56"/>
      <c r="AA1454" s="24"/>
      <c r="AB1454" s="19"/>
      <c r="AC1454" s="19"/>
      <c r="AD1454" s="15" t="e">
        <f ca="1">IF(AND($D1454&lt;&gt;"",COUNTIF(OFFSET(UFS!$E$2,MATCH($D1454&amp;"",UFS!$A$2:$A$175,0)-1,0,COUNTIF(UFS!$A$2:$A$175,$D1454&amp;""),1),M1454)&gt;0),"Valide","Invalide")</f>
        <v>#N/A</v>
      </c>
      <c r="AH1454" s="15" t="str">
        <f t="shared" si="22"/>
        <v/>
      </c>
    </row>
    <row r="1455" spans="1:34" s="15" customFormat="1" ht="45" hidden="1" customHeight="1" x14ac:dyDescent="0.3">
      <c r="A1455" s="42">
        <v>1456</v>
      </c>
      <c r="B1455" s="19"/>
      <c r="C1455" s="19"/>
      <c r="D1455" s="20"/>
      <c r="E1455" s="20"/>
      <c r="F1455" s="21"/>
      <c r="G1455" s="38"/>
      <c r="H1455" s="39"/>
      <c r="I1455" s="39"/>
      <c r="J1455" s="21"/>
      <c r="K1455" s="21"/>
      <c r="L1455" s="21"/>
      <c r="M1455" s="21"/>
      <c r="N1455" s="21"/>
      <c r="O1455" s="20"/>
      <c r="P1455" s="19"/>
      <c r="Q1455" s="39"/>
      <c r="R1455" s="19"/>
      <c r="S1455" s="21"/>
      <c r="T1455" s="21"/>
      <c r="U1455" s="39"/>
      <c r="V1455" s="21"/>
      <c r="W1455" s="54"/>
      <c r="X1455" s="23"/>
      <c r="Y1455" s="23"/>
      <c r="Z1455" s="56"/>
      <c r="AA1455" s="24"/>
      <c r="AB1455" s="19"/>
      <c r="AC1455" s="19"/>
      <c r="AD1455" s="15" t="e">
        <f ca="1">IF(AND($D1455&lt;&gt;"",COUNTIF(OFFSET(UFS!$E$2,MATCH($D1455&amp;"",UFS!$A$2:$A$175,0)-1,0,COUNTIF(UFS!$A$2:$A$175,$D1455&amp;""),1),M1455)&gt;0),"Valide","Invalide")</f>
        <v>#N/A</v>
      </c>
      <c r="AH1455" s="15" t="str">
        <f t="shared" si="22"/>
        <v/>
      </c>
    </row>
    <row r="1456" spans="1:34" s="15" customFormat="1" ht="45" hidden="1" customHeight="1" x14ac:dyDescent="0.3">
      <c r="A1456" s="42">
        <v>1457</v>
      </c>
      <c r="B1456" s="19"/>
      <c r="C1456" s="19"/>
      <c r="D1456" s="20"/>
      <c r="E1456" s="20"/>
      <c r="F1456" s="21"/>
      <c r="G1456" s="38"/>
      <c r="H1456" s="39"/>
      <c r="I1456" s="39"/>
      <c r="J1456" s="21"/>
      <c r="K1456" s="21"/>
      <c r="L1456" s="21"/>
      <c r="M1456" s="21"/>
      <c r="N1456" s="21"/>
      <c r="O1456" s="20"/>
      <c r="P1456" s="19"/>
      <c r="Q1456" s="39"/>
      <c r="R1456" s="19"/>
      <c r="S1456" s="21"/>
      <c r="T1456" s="21"/>
      <c r="U1456" s="39"/>
      <c r="V1456" s="21"/>
      <c r="W1456" s="54"/>
      <c r="X1456" s="23"/>
      <c r="Y1456" s="23"/>
      <c r="Z1456" s="56"/>
      <c r="AA1456" s="24"/>
      <c r="AB1456" s="19"/>
      <c r="AC1456" s="19"/>
      <c r="AD1456" s="15" t="e">
        <f ca="1">IF(AND($D1456&lt;&gt;"",COUNTIF(OFFSET(UFS!$E$2,MATCH($D1456&amp;"",UFS!$A$2:$A$175,0)-1,0,COUNTIF(UFS!$A$2:$A$175,$D1456&amp;""),1),M1456)&gt;0),"Valide","Invalide")</f>
        <v>#N/A</v>
      </c>
      <c r="AH1456" s="15" t="str">
        <f t="shared" si="22"/>
        <v/>
      </c>
    </row>
    <row r="1457" spans="1:34" s="15" customFormat="1" ht="45" hidden="1" customHeight="1" x14ac:dyDescent="0.3">
      <c r="A1457" s="42">
        <v>1458</v>
      </c>
      <c r="B1457" s="19"/>
      <c r="C1457" s="19"/>
      <c r="D1457" s="20"/>
      <c r="E1457" s="20"/>
      <c r="F1457" s="21"/>
      <c r="G1457" s="38"/>
      <c r="H1457" s="39"/>
      <c r="I1457" s="39"/>
      <c r="J1457" s="21"/>
      <c r="K1457" s="21"/>
      <c r="L1457" s="21"/>
      <c r="M1457" s="21"/>
      <c r="N1457" s="21"/>
      <c r="O1457" s="20"/>
      <c r="P1457" s="19"/>
      <c r="Q1457" s="39"/>
      <c r="R1457" s="19"/>
      <c r="S1457" s="21"/>
      <c r="T1457" s="21"/>
      <c r="U1457" s="39"/>
      <c r="V1457" s="21"/>
      <c r="W1457" s="54"/>
      <c r="X1457" s="23"/>
      <c r="Y1457" s="23"/>
      <c r="Z1457" s="56"/>
      <c r="AA1457" s="24"/>
      <c r="AB1457" s="19"/>
      <c r="AC1457" s="19"/>
      <c r="AD1457" s="15" t="e">
        <f ca="1">IF(AND($D1457&lt;&gt;"",COUNTIF(OFFSET(UFS!$E$2,MATCH($D1457&amp;"",UFS!$A$2:$A$175,0)-1,0,COUNTIF(UFS!$A$2:$A$175,$D1457&amp;""),1),M1457)&gt;0),"Valide","Invalide")</f>
        <v>#N/A</v>
      </c>
      <c r="AH1457" s="15" t="str">
        <f t="shared" si="22"/>
        <v/>
      </c>
    </row>
    <row r="1458" spans="1:34" s="15" customFormat="1" ht="45" hidden="1" customHeight="1" x14ac:dyDescent="0.3">
      <c r="A1458" s="42">
        <v>1459</v>
      </c>
      <c r="B1458" s="19"/>
      <c r="C1458" s="19"/>
      <c r="D1458" s="20"/>
      <c r="E1458" s="20"/>
      <c r="F1458" s="21"/>
      <c r="G1458" s="38"/>
      <c r="H1458" s="39"/>
      <c r="I1458" s="39"/>
      <c r="J1458" s="21"/>
      <c r="K1458" s="21"/>
      <c r="L1458" s="21"/>
      <c r="M1458" s="21"/>
      <c r="N1458" s="21"/>
      <c r="O1458" s="20"/>
      <c r="P1458" s="19"/>
      <c r="Q1458" s="39"/>
      <c r="R1458" s="19"/>
      <c r="S1458" s="21"/>
      <c r="T1458" s="21"/>
      <c r="U1458" s="39"/>
      <c r="V1458" s="21"/>
      <c r="W1458" s="54"/>
      <c r="X1458" s="23"/>
      <c r="Y1458" s="23"/>
      <c r="Z1458" s="56"/>
      <c r="AA1458" s="24"/>
      <c r="AB1458" s="19"/>
      <c r="AC1458" s="19"/>
      <c r="AD1458" s="15" t="e">
        <f ca="1">IF(AND($D1458&lt;&gt;"",COUNTIF(OFFSET(UFS!$E$2,MATCH($D1458&amp;"",UFS!$A$2:$A$175,0)-1,0,COUNTIF(UFS!$A$2:$A$175,$D1458&amp;""),1),M1458)&gt;0),"Valide","Invalide")</f>
        <v>#N/A</v>
      </c>
      <c r="AH1458" s="15" t="str">
        <f t="shared" si="22"/>
        <v/>
      </c>
    </row>
    <row r="1459" spans="1:34" s="15" customFormat="1" ht="45" hidden="1" customHeight="1" x14ac:dyDescent="0.3">
      <c r="A1459" s="42">
        <v>1460</v>
      </c>
      <c r="B1459" s="19"/>
      <c r="C1459" s="19"/>
      <c r="D1459" s="20"/>
      <c r="E1459" s="20"/>
      <c r="F1459" s="21"/>
      <c r="G1459" s="38"/>
      <c r="H1459" s="39"/>
      <c r="I1459" s="39"/>
      <c r="J1459" s="21"/>
      <c r="K1459" s="21"/>
      <c r="L1459" s="21"/>
      <c r="M1459" s="21"/>
      <c r="N1459" s="21"/>
      <c r="O1459" s="20"/>
      <c r="P1459" s="19"/>
      <c r="Q1459" s="39"/>
      <c r="R1459" s="19"/>
      <c r="S1459" s="21"/>
      <c r="T1459" s="21"/>
      <c r="U1459" s="39"/>
      <c r="V1459" s="21"/>
      <c r="W1459" s="54"/>
      <c r="X1459" s="23"/>
      <c r="Y1459" s="23"/>
      <c r="Z1459" s="56"/>
      <c r="AA1459" s="24"/>
      <c r="AB1459" s="19"/>
      <c r="AC1459" s="19"/>
      <c r="AD1459" s="15" t="e">
        <f ca="1">IF(AND($D1459&lt;&gt;"",COUNTIF(OFFSET(UFS!$E$2,MATCH($D1459&amp;"",UFS!$A$2:$A$175,0)-1,0,COUNTIF(UFS!$A$2:$A$175,$D1459&amp;""),1),M1459)&gt;0),"Valide","Invalide")</f>
        <v>#N/A</v>
      </c>
      <c r="AH1459" s="15" t="str">
        <f t="shared" si="22"/>
        <v/>
      </c>
    </row>
    <row r="1460" spans="1:34" s="15" customFormat="1" ht="45" hidden="1" customHeight="1" x14ac:dyDescent="0.3">
      <c r="A1460" s="42">
        <v>1461</v>
      </c>
      <c r="B1460" s="19"/>
      <c r="C1460" s="19"/>
      <c r="D1460" s="20"/>
      <c r="E1460" s="20"/>
      <c r="F1460" s="21"/>
      <c r="G1460" s="38"/>
      <c r="H1460" s="39"/>
      <c r="I1460" s="39"/>
      <c r="J1460" s="21"/>
      <c r="K1460" s="21"/>
      <c r="L1460" s="21"/>
      <c r="M1460" s="21"/>
      <c r="N1460" s="21"/>
      <c r="O1460" s="20"/>
      <c r="P1460" s="19"/>
      <c r="Q1460" s="39"/>
      <c r="R1460" s="19"/>
      <c r="S1460" s="21"/>
      <c r="T1460" s="21"/>
      <c r="U1460" s="39"/>
      <c r="V1460" s="21"/>
      <c r="W1460" s="54"/>
      <c r="X1460" s="23"/>
      <c r="Y1460" s="23"/>
      <c r="Z1460" s="56"/>
      <c r="AA1460" s="24"/>
      <c r="AB1460" s="19"/>
      <c r="AC1460" s="19"/>
      <c r="AD1460" s="15" t="e">
        <f ca="1">IF(AND($D1460&lt;&gt;"",COUNTIF(OFFSET(UFS!$E$2,MATCH($D1460&amp;"",UFS!$A$2:$A$175,0)-1,0,COUNTIF(UFS!$A$2:$A$175,$D1460&amp;""),1),M1460)&gt;0),"Valide","Invalide")</f>
        <v>#N/A</v>
      </c>
      <c r="AH1460" s="15" t="str">
        <f t="shared" si="22"/>
        <v/>
      </c>
    </row>
    <row r="1461" spans="1:34" s="15" customFormat="1" ht="45" hidden="1" customHeight="1" x14ac:dyDescent="0.3">
      <c r="A1461" s="42">
        <v>1462</v>
      </c>
      <c r="B1461" s="19"/>
      <c r="C1461" s="19"/>
      <c r="D1461" s="20"/>
      <c r="E1461" s="20"/>
      <c r="F1461" s="21"/>
      <c r="G1461" s="38"/>
      <c r="H1461" s="39"/>
      <c r="I1461" s="39"/>
      <c r="J1461" s="21"/>
      <c r="K1461" s="21"/>
      <c r="L1461" s="21"/>
      <c r="M1461" s="21"/>
      <c r="N1461" s="21"/>
      <c r="O1461" s="20"/>
      <c r="P1461" s="19"/>
      <c r="Q1461" s="39"/>
      <c r="R1461" s="19"/>
      <c r="S1461" s="21"/>
      <c r="T1461" s="21"/>
      <c r="U1461" s="39"/>
      <c r="V1461" s="21"/>
      <c r="W1461" s="54"/>
      <c r="X1461" s="23"/>
      <c r="Y1461" s="23"/>
      <c r="Z1461" s="56"/>
      <c r="AA1461" s="24"/>
      <c r="AB1461" s="19"/>
      <c r="AC1461" s="19"/>
      <c r="AD1461" s="15" t="e">
        <f ca="1">IF(AND($D1461&lt;&gt;"",COUNTIF(OFFSET(UFS!$E$2,MATCH($D1461&amp;"",UFS!$A$2:$A$175,0)-1,0,COUNTIF(UFS!$A$2:$A$175,$D1461&amp;""),1),M1461)&gt;0),"Valide","Invalide")</f>
        <v>#N/A</v>
      </c>
      <c r="AH1461" s="15" t="str">
        <f t="shared" si="22"/>
        <v/>
      </c>
    </row>
    <row r="1462" spans="1:34" s="15" customFormat="1" ht="45" hidden="1" customHeight="1" x14ac:dyDescent="0.3">
      <c r="A1462" s="42">
        <v>1463</v>
      </c>
      <c r="B1462" s="19"/>
      <c r="C1462" s="19"/>
      <c r="D1462" s="20"/>
      <c r="E1462" s="20"/>
      <c r="F1462" s="21"/>
      <c r="G1462" s="38"/>
      <c r="H1462" s="39"/>
      <c r="I1462" s="39"/>
      <c r="J1462" s="21"/>
      <c r="K1462" s="21"/>
      <c r="L1462" s="21"/>
      <c r="M1462" s="21"/>
      <c r="N1462" s="21"/>
      <c r="O1462" s="20"/>
      <c r="P1462" s="19"/>
      <c r="Q1462" s="39"/>
      <c r="R1462" s="19"/>
      <c r="S1462" s="21"/>
      <c r="T1462" s="21"/>
      <c r="U1462" s="39"/>
      <c r="V1462" s="21"/>
      <c r="W1462" s="54"/>
      <c r="X1462" s="23"/>
      <c r="Y1462" s="23"/>
      <c r="Z1462" s="56"/>
      <c r="AA1462" s="24"/>
      <c r="AB1462" s="19"/>
      <c r="AC1462" s="19"/>
      <c r="AD1462" s="15" t="e">
        <f ca="1">IF(AND($D1462&lt;&gt;"",COUNTIF(OFFSET(UFS!$E$2,MATCH($D1462&amp;"",UFS!$A$2:$A$175,0)-1,0,COUNTIF(UFS!$A$2:$A$175,$D1462&amp;""),1),M1462)&gt;0),"Valide","Invalide")</f>
        <v>#N/A</v>
      </c>
      <c r="AH1462" s="15" t="str">
        <f t="shared" si="22"/>
        <v/>
      </c>
    </row>
    <row r="1463" spans="1:34" s="15" customFormat="1" ht="45" hidden="1" customHeight="1" x14ac:dyDescent="0.3">
      <c r="A1463" s="42">
        <v>1464</v>
      </c>
      <c r="B1463" s="19"/>
      <c r="C1463" s="19"/>
      <c r="D1463" s="20"/>
      <c r="E1463" s="20"/>
      <c r="F1463" s="21"/>
      <c r="G1463" s="38"/>
      <c r="H1463" s="39"/>
      <c r="I1463" s="39"/>
      <c r="J1463" s="21"/>
      <c r="K1463" s="21"/>
      <c r="L1463" s="21"/>
      <c r="M1463" s="21"/>
      <c r="N1463" s="21"/>
      <c r="O1463" s="20"/>
      <c r="P1463" s="19"/>
      <c r="Q1463" s="39"/>
      <c r="R1463" s="19"/>
      <c r="S1463" s="21"/>
      <c r="T1463" s="21"/>
      <c r="U1463" s="39"/>
      <c r="V1463" s="21"/>
      <c r="W1463" s="54"/>
      <c r="X1463" s="23"/>
      <c r="Y1463" s="23"/>
      <c r="Z1463" s="56"/>
      <c r="AA1463" s="24"/>
      <c r="AB1463" s="19"/>
      <c r="AC1463" s="19"/>
      <c r="AD1463" s="15" t="e">
        <f ca="1">IF(AND($D1463&lt;&gt;"",COUNTIF(OFFSET(UFS!$E$2,MATCH($D1463&amp;"",UFS!$A$2:$A$175,0)-1,0,COUNTIF(UFS!$A$2:$A$175,$D1463&amp;""),1),M1463)&gt;0),"Valide","Invalide")</f>
        <v>#N/A</v>
      </c>
      <c r="AH1463" s="15" t="str">
        <f t="shared" si="22"/>
        <v/>
      </c>
    </row>
    <row r="1464" spans="1:34" s="15" customFormat="1" ht="45" hidden="1" customHeight="1" x14ac:dyDescent="0.3">
      <c r="A1464" s="42">
        <v>1465</v>
      </c>
      <c r="B1464" s="19"/>
      <c r="C1464" s="19"/>
      <c r="D1464" s="20"/>
      <c r="E1464" s="20"/>
      <c r="F1464" s="21"/>
      <c r="G1464" s="38"/>
      <c r="H1464" s="39"/>
      <c r="I1464" s="39"/>
      <c r="J1464" s="21"/>
      <c r="K1464" s="21"/>
      <c r="L1464" s="21"/>
      <c r="M1464" s="21"/>
      <c r="N1464" s="21"/>
      <c r="O1464" s="20"/>
      <c r="P1464" s="19"/>
      <c r="Q1464" s="39"/>
      <c r="R1464" s="19"/>
      <c r="S1464" s="21"/>
      <c r="T1464" s="21"/>
      <c r="U1464" s="39"/>
      <c r="V1464" s="21"/>
      <c r="W1464" s="54"/>
      <c r="X1464" s="23"/>
      <c r="Y1464" s="23"/>
      <c r="Z1464" s="56"/>
      <c r="AA1464" s="24"/>
      <c r="AB1464" s="19"/>
      <c r="AC1464" s="19"/>
      <c r="AD1464" s="15" t="e">
        <f ca="1">IF(AND($D1464&lt;&gt;"",COUNTIF(OFFSET(UFS!$E$2,MATCH($D1464&amp;"",UFS!$A$2:$A$175,0)-1,0,COUNTIF(UFS!$A$2:$A$175,$D1464&amp;""),1),M1464)&gt;0),"Valide","Invalide")</f>
        <v>#N/A</v>
      </c>
      <c r="AH1464" s="15" t="str">
        <f t="shared" si="22"/>
        <v/>
      </c>
    </row>
    <row r="1465" spans="1:34" s="15" customFormat="1" ht="45" hidden="1" customHeight="1" x14ac:dyDescent="0.3">
      <c r="A1465" s="42">
        <v>1466</v>
      </c>
      <c r="B1465" s="19"/>
      <c r="C1465" s="19"/>
      <c r="D1465" s="20"/>
      <c r="E1465" s="20"/>
      <c r="F1465" s="21"/>
      <c r="G1465" s="38"/>
      <c r="H1465" s="39"/>
      <c r="I1465" s="39"/>
      <c r="J1465" s="21"/>
      <c r="K1465" s="21"/>
      <c r="L1465" s="21"/>
      <c r="M1465" s="21"/>
      <c r="N1465" s="21"/>
      <c r="O1465" s="20"/>
      <c r="P1465" s="19"/>
      <c r="Q1465" s="39"/>
      <c r="R1465" s="19"/>
      <c r="S1465" s="21"/>
      <c r="T1465" s="21"/>
      <c r="U1465" s="39"/>
      <c r="V1465" s="21"/>
      <c r="W1465" s="54"/>
      <c r="X1465" s="23"/>
      <c r="Y1465" s="23"/>
      <c r="Z1465" s="56"/>
      <c r="AA1465" s="24"/>
      <c r="AB1465" s="19"/>
      <c r="AC1465" s="19"/>
      <c r="AD1465" s="15" t="e">
        <f ca="1">IF(AND($D1465&lt;&gt;"",COUNTIF(OFFSET(UFS!$E$2,MATCH($D1465&amp;"",UFS!$A$2:$A$175,0)-1,0,COUNTIF(UFS!$A$2:$A$175,$D1465&amp;""),1),M1465)&gt;0),"Valide","Invalide")</f>
        <v>#N/A</v>
      </c>
      <c r="AH1465" s="15" t="str">
        <f t="shared" si="22"/>
        <v/>
      </c>
    </row>
    <row r="1466" spans="1:34" s="15" customFormat="1" ht="45" hidden="1" customHeight="1" x14ac:dyDescent="0.3">
      <c r="A1466" s="42">
        <v>1467</v>
      </c>
      <c r="B1466" s="19"/>
      <c r="C1466" s="19"/>
      <c r="D1466" s="20"/>
      <c r="E1466" s="20"/>
      <c r="F1466" s="21"/>
      <c r="G1466" s="38"/>
      <c r="H1466" s="39"/>
      <c r="I1466" s="39"/>
      <c r="J1466" s="21"/>
      <c r="K1466" s="21"/>
      <c r="L1466" s="21"/>
      <c r="M1466" s="21"/>
      <c r="N1466" s="21"/>
      <c r="O1466" s="20"/>
      <c r="P1466" s="19"/>
      <c r="Q1466" s="39"/>
      <c r="R1466" s="19"/>
      <c r="S1466" s="21"/>
      <c r="T1466" s="21"/>
      <c r="U1466" s="39"/>
      <c r="V1466" s="21"/>
      <c r="W1466" s="54"/>
      <c r="X1466" s="23"/>
      <c r="Y1466" s="23"/>
      <c r="Z1466" s="56"/>
      <c r="AA1466" s="24"/>
      <c r="AB1466" s="19"/>
      <c r="AC1466" s="19"/>
      <c r="AD1466" s="15" t="e">
        <f ca="1">IF(AND($D1466&lt;&gt;"",COUNTIF(OFFSET(UFS!$E$2,MATCH($D1466&amp;"",UFS!$A$2:$A$175,0)-1,0,COUNTIF(UFS!$A$2:$A$175,$D1466&amp;""),1),M1466)&gt;0),"Valide","Invalide")</f>
        <v>#N/A</v>
      </c>
      <c r="AH1466" s="15" t="str">
        <f t="shared" si="22"/>
        <v/>
      </c>
    </row>
    <row r="1467" spans="1:34" s="15" customFormat="1" ht="45" hidden="1" customHeight="1" x14ac:dyDescent="0.3">
      <c r="A1467" s="42">
        <v>1468</v>
      </c>
      <c r="B1467" s="19"/>
      <c r="C1467" s="19"/>
      <c r="D1467" s="20"/>
      <c r="E1467" s="20"/>
      <c r="F1467" s="21"/>
      <c r="G1467" s="38"/>
      <c r="H1467" s="39"/>
      <c r="I1467" s="39"/>
      <c r="J1467" s="21"/>
      <c r="K1467" s="21"/>
      <c r="L1467" s="21"/>
      <c r="M1467" s="21"/>
      <c r="N1467" s="21"/>
      <c r="O1467" s="20"/>
      <c r="P1467" s="19"/>
      <c r="Q1467" s="39"/>
      <c r="R1467" s="19"/>
      <c r="S1467" s="21"/>
      <c r="T1467" s="21"/>
      <c r="U1467" s="39"/>
      <c r="V1467" s="21"/>
      <c r="W1467" s="54"/>
      <c r="X1467" s="23"/>
      <c r="Y1467" s="23"/>
      <c r="Z1467" s="56"/>
      <c r="AA1467" s="24"/>
      <c r="AB1467" s="19"/>
      <c r="AC1467" s="19"/>
      <c r="AD1467" s="15" t="e">
        <f ca="1">IF(AND($D1467&lt;&gt;"",COUNTIF(OFFSET(UFS!$E$2,MATCH($D1467&amp;"",UFS!$A$2:$A$175,0)-1,0,COUNTIF(UFS!$A$2:$A$175,$D1467&amp;""),1),M1467)&gt;0),"Valide","Invalide")</f>
        <v>#N/A</v>
      </c>
      <c r="AH1467" s="15" t="str">
        <f t="shared" si="22"/>
        <v/>
      </c>
    </row>
    <row r="1468" spans="1:34" s="15" customFormat="1" ht="45" hidden="1" customHeight="1" x14ac:dyDescent="0.3">
      <c r="A1468" s="42">
        <v>1469</v>
      </c>
      <c r="B1468" s="19"/>
      <c r="C1468" s="19"/>
      <c r="D1468" s="20"/>
      <c r="E1468" s="20"/>
      <c r="F1468" s="21"/>
      <c r="G1468" s="38"/>
      <c r="H1468" s="39"/>
      <c r="I1468" s="39"/>
      <c r="J1468" s="21"/>
      <c r="K1468" s="21"/>
      <c r="L1468" s="21"/>
      <c r="M1468" s="21"/>
      <c r="N1468" s="21"/>
      <c r="O1468" s="20"/>
      <c r="P1468" s="19"/>
      <c r="Q1468" s="39"/>
      <c r="R1468" s="19"/>
      <c r="S1468" s="21"/>
      <c r="T1468" s="21"/>
      <c r="U1468" s="39"/>
      <c r="V1468" s="21"/>
      <c r="W1468" s="54"/>
      <c r="X1468" s="23"/>
      <c r="Y1468" s="23"/>
      <c r="Z1468" s="56"/>
      <c r="AA1468" s="24"/>
      <c r="AB1468" s="19"/>
      <c r="AC1468" s="19"/>
      <c r="AD1468" s="15" t="e">
        <f ca="1">IF(AND($D1468&lt;&gt;"",COUNTIF(OFFSET(UFS!$E$2,MATCH($D1468&amp;"",UFS!$A$2:$A$175,0)-1,0,COUNTIF(UFS!$A$2:$A$175,$D1468&amp;""),1),M1468)&gt;0),"Valide","Invalide")</f>
        <v>#N/A</v>
      </c>
      <c r="AH1468" s="15" t="str">
        <f t="shared" si="22"/>
        <v/>
      </c>
    </row>
    <row r="1469" spans="1:34" s="15" customFormat="1" ht="45" hidden="1" customHeight="1" x14ac:dyDescent="0.3">
      <c r="A1469" s="42">
        <v>1470</v>
      </c>
      <c r="B1469" s="19"/>
      <c r="C1469" s="19"/>
      <c r="D1469" s="20"/>
      <c r="E1469" s="20"/>
      <c r="F1469" s="21"/>
      <c r="G1469" s="38"/>
      <c r="H1469" s="39"/>
      <c r="I1469" s="39"/>
      <c r="J1469" s="21"/>
      <c r="K1469" s="21"/>
      <c r="L1469" s="21"/>
      <c r="M1469" s="21"/>
      <c r="N1469" s="21"/>
      <c r="O1469" s="20"/>
      <c r="P1469" s="19"/>
      <c r="Q1469" s="39"/>
      <c r="R1469" s="19"/>
      <c r="S1469" s="21"/>
      <c r="T1469" s="21"/>
      <c r="U1469" s="39"/>
      <c r="V1469" s="21"/>
      <c r="W1469" s="54"/>
      <c r="X1469" s="23"/>
      <c r="Y1469" s="23"/>
      <c r="Z1469" s="56"/>
      <c r="AA1469" s="24"/>
      <c r="AB1469" s="19"/>
      <c r="AC1469" s="19"/>
      <c r="AD1469" s="15" t="e">
        <f ca="1">IF(AND($D1469&lt;&gt;"",COUNTIF(OFFSET(UFS!$E$2,MATCH($D1469&amp;"",UFS!$A$2:$A$175,0)-1,0,COUNTIF(UFS!$A$2:$A$175,$D1469&amp;""),1),M1469)&gt;0),"Valide","Invalide")</f>
        <v>#N/A</v>
      </c>
      <c r="AH1469" s="15" t="str">
        <f t="shared" si="22"/>
        <v/>
      </c>
    </row>
    <row r="1470" spans="1:34" s="15" customFormat="1" ht="45" hidden="1" customHeight="1" x14ac:dyDescent="0.3">
      <c r="A1470" s="42">
        <v>1471</v>
      </c>
      <c r="B1470" s="19"/>
      <c r="C1470" s="19"/>
      <c r="D1470" s="20"/>
      <c r="E1470" s="20"/>
      <c r="F1470" s="21"/>
      <c r="G1470" s="38"/>
      <c r="H1470" s="39"/>
      <c r="I1470" s="39"/>
      <c r="J1470" s="21"/>
      <c r="K1470" s="21"/>
      <c r="L1470" s="21"/>
      <c r="M1470" s="21"/>
      <c r="N1470" s="21"/>
      <c r="O1470" s="20"/>
      <c r="P1470" s="19"/>
      <c r="Q1470" s="39"/>
      <c r="R1470" s="19"/>
      <c r="S1470" s="21"/>
      <c r="T1470" s="21"/>
      <c r="U1470" s="39"/>
      <c r="V1470" s="21"/>
      <c r="W1470" s="54"/>
      <c r="X1470" s="23"/>
      <c r="Y1470" s="23"/>
      <c r="Z1470" s="56"/>
      <c r="AA1470" s="24"/>
      <c r="AB1470" s="19"/>
      <c r="AC1470" s="19"/>
      <c r="AD1470" s="15" t="e">
        <f ca="1">IF(AND($D1470&lt;&gt;"",COUNTIF(OFFSET(UFS!$E$2,MATCH($D1470&amp;"",UFS!$A$2:$A$175,0)-1,0,COUNTIF(UFS!$A$2:$A$175,$D1470&amp;""),1),M1470)&gt;0),"Valide","Invalide")</f>
        <v>#N/A</v>
      </c>
      <c r="AH1470" s="15" t="str">
        <f t="shared" si="22"/>
        <v/>
      </c>
    </row>
    <row r="1471" spans="1:34" s="15" customFormat="1" ht="45" hidden="1" customHeight="1" x14ac:dyDescent="0.3">
      <c r="A1471" s="42">
        <v>1472</v>
      </c>
      <c r="B1471" s="19"/>
      <c r="C1471" s="19"/>
      <c r="D1471" s="20"/>
      <c r="E1471" s="20"/>
      <c r="F1471" s="21"/>
      <c r="G1471" s="38"/>
      <c r="H1471" s="39"/>
      <c r="I1471" s="39"/>
      <c r="J1471" s="21"/>
      <c r="K1471" s="21"/>
      <c r="L1471" s="21"/>
      <c r="M1471" s="21"/>
      <c r="N1471" s="21"/>
      <c r="O1471" s="20"/>
      <c r="P1471" s="19"/>
      <c r="Q1471" s="39"/>
      <c r="R1471" s="19"/>
      <c r="S1471" s="21"/>
      <c r="T1471" s="21"/>
      <c r="U1471" s="39"/>
      <c r="V1471" s="21"/>
      <c r="W1471" s="54"/>
      <c r="X1471" s="23"/>
      <c r="Y1471" s="23"/>
      <c r="Z1471" s="56"/>
      <c r="AA1471" s="24"/>
      <c r="AB1471" s="19"/>
      <c r="AC1471" s="19"/>
      <c r="AD1471" s="15" t="e">
        <f ca="1">IF(AND($D1471&lt;&gt;"",COUNTIF(OFFSET(UFS!$E$2,MATCH($D1471&amp;"",UFS!$A$2:$A$175,0)-1,0,COUNTIF(UFS!$A$2:$A$175,$D1471&amp;""),1),M1471)&gt;0),"Valide","Invalide")</f>
        <v>#N/A</v>
      </c>
      <c r="AH1471" s="15" t="str">
        <f t="shared" si="22"/>
        <v/>
      </c>
    </row>
    <row r="1472" spans="1:34" s="15" customFormat="1" ht="45" hidden="1" customHeight="1" x14ac:dyDescent="0.3">
      <c r="A1472" s="42">
        <v>1473</v>
      </c>
      <c r="B1472" s="19"/>
      <c r="C1472" s="19"/>
      <c r="D1472" s="20"/>
      <c r="E1472" s="20"/>
      <c r="F1472" s="21"/>
      <c r="G1472" s="38"/>
      <c r="H1472" s="39"/>
      <c r="I1472" s="39"/>
      <c r="J1472" s="21"/>
      <c r="K1472" s="21"/>
      <c r="L1472" s="21"/>
      <c r="M1472" s="21"/>
      <c r="N1472" s="21"/>
      <c r="O1472" s="20"/>
      <c r="P1472" s="19"/>
      <c r="Q1472" s="39"/>
      <c r="R1472" s="19"/>
      <c r="S1472" s="21"/>
      <c r="T1472" s="21"/>
      <c r="U1472" s="39"/>
      <c r="V1472" s="21"/>
      <c r="W1472" s="54"/>
      <c r="X1472" s="23"/>
      <c r="Y1472" s="23"/>
      <c r="Z1472" s="56"/>
      <c r="AA1472" s="24"/>
      <c r="AB1472" s="19"/>
      <c r="AC1472" s="19"/>
      <c r="AD1472" s="15" t="e">
        <f ca="1">IF(AND($D1472&lt;&gt;"",COUNTIF(OFFSET(UFS!$E$2,MATCH($D1472&amp;"",UFS!$A$2:$A$175,0)-1,0,COUNTIF(UFS!$A$2:$A$175,$D1472&amp;""),1),M1472)&gt;0),"Valide","Invalide")</f>
        <v>#N/A</v>
      </c>
      <c r="AH1472" s="15" t="str">
        <f t="shared" si="22"/>
        <v/>
      </c>
    </row>
    <row r="1473" spans="1:34" s="15" customFormat="1" ht="45" hidden="1" customHeight="1" x14ac:dyDescent="0.3">
      <c r="A1473" s="42">
        <v>1474</v>
      </c>
      <c r="B1473" s="19"/>
      <c r="C1473" s="19"/>
      <c r="D1473" s="20"/>
      <c r="E1473" s="20"/>
      <c r="F1473" s="21"/>
      <c r="G1473" s="38"/>
      <c r="H1473" s="39"/>
      <c r="I1473" s="39"/>
      <c r="J1473" s="21"/>
      <c r="K1473" s="21"/>
      <c r="L1473" s="21"/>
      <c r="M1473" s="21"/>
      <c r="N1473" s="21"/>
      <c r="O1473" s="20"/>
      <c r="P1473" s="19"/>
      <c r="Q1473" s="39"/>
      <c r="R1473" s="19"/>
      <c r="S1473" s="21"/>
      <c r="T1473" s="21"/>
      <c r="U1473" s="39"/>
      <c r="V1473" s="21"/>
      <c r="W1473" s="54"/>
      <c r="X1473" s="23"/>
      <c r="Y1473" s="23"/>
      <c r="Z1473" s="56"/>
      <c r="AA1473" s="24"/>
      <c r="AB1473" s="19"/>
      <c r="AC1473" s="19"/>
      <c r="AD1473" s="15" t="e">
        <f ca="1">IF(AND($D1473&lt;&gt;"",COUNTIF(OFFSET(UFS!$E$2,MATCH($D1473&amp;"",UFS!$A$2:$A$175,0)-1,0,COUNTIF(UFS!$A$2:$A$175,$D1473&amp;""),1),M1473)&gt;0),"Valide","Invalide")</f>
        <v>#N/A</v>
      </c>
      <c r="AH1473" s="15" t="str">
        <f t="shared" si="22"/>
        <v/>
      </c>
    </row>
    <row r="1474" spans="1:34" s="15" customFormat="1" ht="45" hidden="1" customHeight="1" x14ac:dyDescent="0.3">
      <c r="A1474" s="42">
        <v>1475</v>
      </c>
      <c r="B1474" s="19"/>
      <c r="C1474" s="19"/>
      <c r="D1474" s="20"/>
      <c r="E1474" s="20"/>
      <c r="F1474" s="21"/>
      <c r="G1474" s="38"/>
      <c r="H1474" s="39"/>
      <c r="I1474" s="39"/>
      <c r="J1474" s="21"/>
      <c r="K1474" s="21"/>
      <c r="L1474" s="21"/>
      <c r="M1474" s="21"/>
      <c r="N1474" s="21"/>
      <c r="O1474" s="20"/>
      <c r="P1474" s="19"/>
      <c r="Q1474" s="39"/>
      <c r="R1474" s="19"/>
      <c r="S1474" s="21"/>
      <c r="T1474" s="21"/>
      <c r="U1474" s="39"/>
      <c r="V1474" s="21"/>
      <c r="W1474" s="54"/>
      <c r="X1474" s="23"/>
      <c r="Y1474" s="23"/>
      <c r="Z1474" s="56"/>
      <c r="AA1474" s="24"/>
      <c r="AB1474" s="19"/>
      <c r="AC1474" s="19"/>
      <c r="AD1474" s="15" t="e">
        <f ca="1">IF(AND($D1474&lt;&gt;"",COUNTIF(OFFSET(UFS!$E$2,MATCH($D1474&amp;"",UFS!$A$2:$A$175,0)-1,0,COUNTIF(UFS!$A$2:$A$175,$D1474&amp;""),1),M1474)&gt;0),"Valide","Invalide")</f>
        <v>#N/A</v>
      </c>
      <c r="AH1474" s="15" t="str">
        <f t="shared" si="22"/>
        <v/>
      </c>
    </row>
    <row r="1475" spans="1:34" s="15" customFormat="1" ht="45" hidden="1" customHeight="1" x14ac:dyDescent="0.3">
      <c r="A1475" s="42">
        <v>1476</v>
      </c>
      <c r="B1475" s="19"/>
      <c r="C1475" s="19"/>
      <c r="D1475" s="20"/>
      <c r="E1475" s="20"/>
      <c r="F1475" s="21"/>
      <c r="G1475" s="38"/>
      <c r="H1475" s="39"/>
      <c r="I1475" s="39"/>
      <c r="J1475" s="21"/>
      <c r="K1475" s="21"/>
      <c r="L1475" s="21"/>
      <c r="M1475" s="21"/>
      <c r="N1475" s="21"/>
      <c r="O1475" s="20"/>
      <c r="P1475" s="19"/>
      <c r="Q1475" s="39"/>
      <c r="R1475" s="19"/>
      <c r="S1475" s="21"/>
      <c r="T1475" s="21"/>
      <c r="U1475" s="39"/>
      <c r="V1475" s="21"/>
      <c r="W1475" s="54"/>
      <c r="X1475" s="23"/>
      <c r="Y1475" s="23"/>
      <c r="Z1475" s="56"/>
      <c r="AA1475" s="24"/>
      <c r="AB1475" s="19"/>
      <c r="AC1475" s="19"/>
      <c r="AD1475" s="15" t="e">
        <f ca="1">IF(AND($D1475&lt;&gt;"",COUNTIF(OFFSET(UFS!$E$2,MATCH($D1475&amp;"",UFS!$A$2:$A$175,0)-1,0,COUNTIF(UFS!$A$2:$A$175,$D1475&amp;""),1),M1475)&gt;0),"Valide","Invalide")</f>
        <v>#N/A</v>
      </c>
      <c r="AH1475" s="15" t="str">
        <f t="shared" ref="AH1475:AH1500" si="23">IF(T1475&lt;&gt;"","En attente","")</f>
        <v/>
      </c>
    </row>
    <row r="1476" spans="1:34" s="15" customFormat="1" ht="45" hidden="1" customHeight="1" x14ac:dyDescent="0.3">
      <c r="A1476" s="42">
        <v>1477</v>
      </c>
      <c r="B1476" s="19"/>
      <c r="C1476" s="19"/>
      <c r="D1476" s="20"/>
      <c r="E1476" s="20"/>
      <c r="F1476" s="21"/>
      <c r="G1476" s="38"/>
      <c r="H1476" s="39"/>
      <c r="I1476" s="39"/>
      <c r="J1476" s="21"/>
      <c r="K1476" s="21"/>
      <c r="L1476" s="21"/>
      <c r="M1476" s="21"/>
      <c r="N1476" s="21"/>
      <c r="O1476" s="20"/>
      <c r="P1476" s="19"/>
      <c r="Q1476" s="39"/>
      <c r="R1476" s="19"/>
      <c r="S1476" s="21"/>
      <c r="T1476" s="21"/>
      <c r="U1476" s="39"/>
      <c r="V1476" s="21"/>
      <c r="W1476" s="54"/>
      <c r="X1476" s="23"/>
      <c r="Y1476" s="23"/>
      <c r="Z1476" s="56"/>
      <c r="AA1476" s="24"/>
      <c r="AB1476" s="19"/>
      <c r="AC1476" s="19"/>
      <c r="AD1476" s="15" t="e">
        <f ca="1">IF(AND($D1476&lt;&gt;"",COUNTIF(OFFSET(UFS!$E$2,MATCH($D1476&amp;"",UFS!$A$2:$A$175,0)-1,0,COUNTIF(UFS!$A$2:$A$175,$D1476&amp;""),1),M1476)&gt;0),"Valide","Invalide")</f>
        <v>#N/A</v>
      </c>
      <c r="AH1476" s="15" t="str">
        <f t="shared" si="23"/>
        <v/>
      </c>
    </row>
    <row r="1477" spans="1:34" s="15" customFormat="1" ht="45" hidden="1" customHeight="1" x14ac:dyDescent="0.3">
      <c r="A1477" s="42">
        <v>1478</v>
      </c>
      <c r="B1477" s="19"/>
      <c r="C1477" s="19"/>
      <c r="D1477" s="20"/>
      <c r="E1477" s="20"/>
      <c r="F1477" s="21"/>
      <c r="G1477" s="38"/>
      <c r="H1477" s="39"/>
      <c r="I1477" s="39"/>
      <c r="J1477" s="21"/>
      <c r="K1477" s="21"/>
      <c r="L1477" s="21"/>
      <c r="M1477" s="21"/>
      <c r="N1477" s="21"/>
      <c r="O1477" s="20"/>
      <c r="P1477" s="19"/>
      <c r="Q1477" s="39"/>
      <c r="R1477" s="19"/>
      <c r="S1477" s="21"/>
      <c r="T1477" s="21"/>
      <c r="U1477" s="39"/>
      <c r="V1477" s="21"/>
      <c r="W1477" s="54"/>
      <c r="X1477" s="23"/>
      <c r="Y1477" s="23"/>
      <c r="Z1477" s="56"/>
      <c r="AA1477" s="24"/>
      <c r="AB1477" s="19"/>
      <c r="AC1477" s="19"/>
      <c r="AD1477" s="15" t="e">
        <f ca="1">IF(AND($D1477&lt;&gt;"",COUNTIF(OFFSET(UFS!$E$2,MATCH($D1477&amp;"",UFS!$A$2:$A$175,0)-1,0,COUNTIF(UFS!$A$2:$A$175,$D1477&amp;""),1),M1477)&gt;0),"Valide","Invalide")</f>
        <v>#N/A</v>
      </c>
      <c r="AH1477" s="15" t="str">
        <f t="shared" si="23"/>
        <v/>
      </c>
    </row>
    <row r="1478" spans="1:34" s="15" customFormat="1" ht="45" hidden="1" customHeight="1" x14ac:dyDescent="0.3">
      <c r="A1478" s="42">
        <v>1479</v>
      </c>
      <c r="B1478" s="19"/>
      <c r="C1478" s="19"/>
      <c r="D1478" s="20"/>
      <c r="E1478" s="20"/>
      <c r="F1478" s="21"/>
      <c r="G1478" s="38"/>
      <c r="H1478" s="39"/>
      <c r="I1478" s="39"/>
      <c r="J1478" s="21"/>
      <c r="K1478" s="21"/>
      <c r="L1478" s="21"/>
      <c r="M1478" s="21"/>
      <c r="N1478" s="21"/>
      <c r="O1478" s="20"/>
      <c r="P1478" s="19"/>
      <c r="Q1478" s="39"/>
      <c r="R1478" s="19"/>
      <c r="S1478" s="21"/>
      <c r="T1478" s="21"/>
      <c r="U1478" s="39"/>
      <c r="V1478" s="21"/>
      <c r="W1478" s="54"/>
      <c r="X1478" s="23"/>
      <c r="Y1478" s="23"/>
      <c r="Z1478" s="56"/>
      <c r="AA1478" s="24"/>
      <c r="AB1478" s="19"/>
      <c r="AC1478" s="19"/>
      <c r="AD1478" s="15" t="e">
        <f ca="1">IF(AND($D1478&lt;&gt;"",COUNTIF(OFFSET(UFS!$E$2,MATCH($D1478&amp;"",UFS!$A$2:$A$175,0)-1,0,COUNTIF(UFS!$A$2:$A$175,$D1478&amp;""),1),M1478)&gt;0),"Valide","Invalide")</f>
        <v>#N/A</v>
      </c>
      <c r="AH1478" s="15" t="str">
        <f t="shared" si="23"/>
        <v/>
      </c>
    </row>
    <row r="1479" spans="1:34" s="15" customFormat="1" ht="45" hidden="1" customHeight="1" x14ac:dyDescent="0.3">
      <c r="A1479" s="42">
        <v>1480</v>
      </c>
      <c r="B1479" s="19"/>
      <c r="C1479" s="19"/>
      <c r="D1479" s="20"/>
      <c r="E1479" s="20"/>
      <c r="F1479" s="21"/>
      <c r="G1479" s="38"/>
      <c r="H1479" s="39"/>
      <c r="I1479" s="39"/>
      <c r="J1479" s="21"/>
      <c r="K1479" s="21"/>
      <c r="L1479" s="21"/>
      <c r="M1479" s="21"/>
      <c r="N1479" s="21"/>
      <c r="O1479" s="20"/>
      <c r="P1479" s="19"/>
      <c r="Q1479" s="39"/>
      <c r="R1479" s="19"/>
      <c r="S1479" s="21"/>
      <c r="T1479" s="21"/>
      <c r="U1479" s="39"/>
      <c r="V1479" s="21"/>
      <c r="W1479" s="54"/>
      <c r="X1479" s="23"/>
      <c r="Y1479" s="23"/>
      <c r="Z1479" s="56"/>
      <c r="AA1479" s="24"/>
      <c r="AB1479" s="19"/>
      <c r="AC1479" s="19"/>
      <c r="AD1479" s="15" t="e">
        <f ca="1">IF(AND($D1479&lt;&gt;"",COUNTIF(OFFSET(UFS!$E$2,MATCH($D1479&amp;"",UFS!$A$2:$A$175,0)-1,0,COUNTIF(UFS!$A$2:$A$175,$D1479&amp;""),1),M1479)&gt;0),"Valide","Invalide")</f>
        <v>#N/A</v>
      </c>
      <c r="AH1479" s="15" t="str">
        <f t="shared" si="23"/>
        <v/>
      </c>
    </row>
    <row r="1480" spans="1:34" s="15" customFormat="1" ht="45" hidden="1" customHeight="1" x14ac:dyDescent="0.3">
      <c r="A1480" s="42">
        <v>1481</v>
      </c>
      <c r="B1480" s="19"/>
      <c r="C1480" s="19"/>
      <c r="D1480" s="20"/>
      <c r="E1480" s="20"/>
      <c r="F1480" s="21"/>
      <c r="G1480" s="38"/>
      <c r="H1480" s="39"/>
      <c r="I1480" s="39"/>
      <c r="J1480" s="21"/>
      <c r="K1480" s="21"/>
      <c r="L1480" s="21"/>
      <c r="M1480" s="21"/>
      <c r="N1480" s="21"/>
      <c r="O1480" s="20"/>
      <c r="P1480" s="19"/>
      <c r="Q1480" s="39"/>
      <c r="R1480" s="19"/>
      <c r="S1480" s="21"/>
      <c r="T1480" s="21"/>
      <c r="U1480" s="39"/>
      <c r="V1480" s="21"/>
      <c r="W1480" s="54"/>
      <c r="X1480" s="23"/>
      <c r="Y1480" s="23"/>
      <c r="Z1480" s="56"/>
      <c r="AA1480" s="24"/>
      <c r="AB1480" s="19"/>
      <c r="AC1480" s="19"/>
      <c r="AD1480" s="15" t="e">
        <f ca="1">IF(AND($D1480&lt;&gt;"",COUNTIF(OFFSET(UFS!$E$2,MATCH($D1480&amp;"",UFS!$A$2:$A$175,0)-1,0,COUNTIF(UFS!$A$2:$A$175,$D1480&amp;""),1),M1480)&gt;0),"Valide","Invalide")</f>
        <v>#N/A</v>
      </c>
      <c r="AH1480" s="15" t="str">
        <f t="shared" si="23"/>
        <v/>
      </c>
    </row>
    <row r="1481" spans="1:34" s="15" customFormat="1" ht="45" hidden="1" customHeight="1" x14ac:dyDescent="0.3">
      <c r="A1481" s="42">
        <v>1482</v>
      </c>
      <c r="B1481" s="19"/>
      <c r="C1481" s="19"/>
      <c r="D1481" s="20"/>
      <c r="E1481" s="20"/>
      <c r="F1481" s="21"/>
      <c r="G1481" s="38"/>
      <c r="H1481" s="39"/>
      <c r="I1481" s="39"/>
      <c r="J1481" s="21"/>
      <c r="K1481" s="21"/>
      <c r="L1481" s="21"/>
      <c r="M1481" s="21"/>
      <c r="N1481" s="21"/>
      <c r="O1481" s="20"/>
      <c r="P1481" s="19"/>
      <c r="Q1481" s="39"/>
      <c r="R1481" s="19"/>
      <c r="S1481" s="21"/>
      <c r="T1481" s="21"/>
      <c r="U1481" s="39"/>
      <c r="V1481" s="21"/>
      <c r="W1481" s="54"/>
      <c r="X1481" s="23"/>
      <c r="Y1481" s="23"/>
      <c r="Z1481" s="56"/>
      <c r="AA1481" s="24"/>
      <c r="AB1481" s="19"/>
      <c r="AC1481" s="19"/>
      <c r="AD1481" s="15" t="e">
        <f ca="1">IF(AND($D1481&lt;&gt;"",COUNTIF(OFFSET(UFS!$E$2,MATCH($D1481&amp;"",UFS!$A$2:$A$175,0)-1,0,COUNTIF(UFS!$A$2:$A$175,$D1481&amp;""),1),M1481)&gt;0),"Valide","Invalide")</f>
        <v>#N/A</v>
      </c>
      <c r="AH1481" s="15" t="str">
        <f t="shared" si="23"/>
        <v/>
      </c>
    </row>
    <row r="1482" spans="1:34" s="15" customFormat="1" ht="45" hidden="1" customHeight="1" x14ac:dyDescent="0.3">
      <c r="A1482" s="42">
        <v>1483</v>
      </c>
      <c r="B1482" s="19"/>
      <c r="C1482" s="19"/>
      <c r="D1482" s="20"/>
      <c r="E1482" s="20"/>
      <c r="F1482" s="21"/>
      <c r="G1482" s="38"/>
      <c r="H1482" s="39"/>
      <c r="I1482" s="39"/>
      <c r="J1482" s="21"/>
      <c r="K1482" s="21"/>
      <c r="L1482" s="21"/>
      <c r="M1482" s="21"/>
      <c r="N1482" s="21"/>
      <c r="O1482" s="20"/>
      <c r="P1482" s="19"/>
      <c r="Q1482" s="39"/>
      <c r="R1482" s="19"/>
      <c r="S1482" s="21"/>
      <c r="T1482" s="21"/>
      <c r="U1482" s="39"/>
      <c r="V1482" s="21"/>
      <c r="W1482" s="54"/>
      <c r="X1482" s="23"/>
      <c r="Y1482" s="23"/>
      <c r="Z1482" s="56"/>
      <c r="AA1482" s="24"/>
      <c r="AB1482" s="19"/>
      <c r="AC1482" s="19"/>
      <c r="AD1482" s="15" t="e">
        <f ca="1">IF(AND($D1482&lt;&gt;"",COUNTIF(OFFSET(UFS!$E$2,MATCH($D1482&amp;"",UFS!$A$2:$A$175,0)-1,0,COUNTIF(UFS!$A$2:$A$175,$D1482&amp;""),1),M1482)&gt;0),"Valide","Invalide")</f>
        <v>#N/A</v>
      </c>
      <c r="AH1482" s="15" t="str">
        <f t="shared" si="23"/>
        <v/>
      </c>
    </row>
    <row r="1483" spans="1:34" s="15" customFormat="1" ht="33.6" hidden="1" customHeight="1" x14ac:dyDescent="0.3">
      <c r="A1483" s="42">
        <v>1484</v>
      </c>
      <c r="B1483" s="19"/>
      <c r="C1483" s="19"/>
      <c r="D1483" s="20"/>
      <c r="E1483" s="20"/>
      <c r="F1483" s="21"/>
      <c r="G1483" s="38"/>
      <c r="H1483" s="39"/>
      <c r="I1483" s="39"/>
      <c r="J1483" s="21"/>
      <c r="K1483" s="21"/>
      <c r="L1483" s="21"/>
      <c r="M1483" s="21"/>
      <c r="N1483" s="21"/>
      <c r="O1483" s="20"/>
      <c r="P1483" s="19"/>
      <c r="Q1483" s="39"/>
      <c r="R1483" s="19"/>
      <c r="S1483" s="21"/>
      <c r="T1483" s="21"/>
      <c r="U1483" s="39"/>
      <c r="V1483" s="21"/>
      <c r="W1483" s="54"/>
      <c r="X1483" s="23"/>
      <c r="Y1483" s="23"/>
      <c r="Z1483" s="56"/>
      <c r="AA1483" s="24"/>
      <c r="AB1483" s="19"/>
      <c r="AC1483" s="19"/>
      <c r="AD1483" s="15" t="e">
        <f ca="1">IF(AND($D1483&lt;&gt;"",COUNTIF(OFFSET(UFS!$E$2,MATCH($D1483&amp;"",UFS!$A$2:$A$175,0)-1,0,COUNTIF(UFS!$A$2:$A$175,$D1483&amp;""),1),M1483)&gt;0),"Valide","Invalide")</f>
        <v>#N/A</v>
      </c>
      <c r="AH1483" s="15" t="str">
        <f t="shared" si="23"/>
        <v/>
      </c>
    </row>
    <row r="1484" spans="1:34" s="15" customFormat="1" ht="35.700000000000003" hidden="1" customHeight="1" x14ac:dyDescent="0.3">
      <c r="A1484" s="42">
        <v>1485</v>
      </c>
      <c r="B1484" s="19"/>
      <c r="C1484" s="19"/>
      <c r="D1484" s="20"/>
      <c r="E1484" s="20"/>
      <c r="F1484" s="21"/>
      <c r="G1484" s="38"/>
      <c r="H1484" s="39"/>
      <c r="I1484" s="39"/>
      <c r="J1484" s="21"/>
      <c r="K1484" s="21"/>
      <c r="L1484" s="21"/>
      <c r="M1484" s="21"/>
      <c r="N1484" s="21"/>
      <c r="O1484" s="20"/>
      <c r="P1484" s="19"/>
      <c r="Q1484" s="39"/>
      <c r="R1484" s="19"/>
      <c r="S1484" s="21"/>
      <c r="T1484" s="21"/>
      <c r="U1484" s="39"/>
      <c r="V1484" s="21"/>
      <c r="W1484" s="54"/>
      <c r="X1484" s="23"/>
      <c r="Y1484" s="23"/>
      <c r="Z1484" s="56"/>
      <c r="AA1484" s="24"/>
      <c r="AB1484" s="19"/>
      <c r="AC1484" s="19"/>
      <c r="AD1484" s="15" t="e">
        <f ca="1">IF(AND($D1484&lt;&gt;"",COUNTIF(OFFSET(UFS!$E$2,MATCH($D1484&amp;"",UFS!$A$2:$A$175,0)-1,0,COUNTIF(UFS!$A$2:$A$175,$D1484&amp;""),1),M1484)&gt;0),"Valide","Invalide")</f>
        <v>#N/A</v>
      </c>
      <c r="AH1484" s="15" t="str">
        <f t="shared" si="23"/>
        <v/>
      </c>
    </row>
    <row r="1485" spans="1:34" s="15" customFormat="1" ht="39.6" hidden="1" customHeight="1" x14ac:dyDescent="0.3">
      <c r="A1485" s="42">
        <v>1486</v>
      </c>
      <c r="B1485" s="19"/>
      <c r="C1485" s="19"/>
      <c r="D1485" s="20"/>
      <c r="E1485" s="20"/>
      <c r="F1485" s="21"/>
      <c r="G1485" s="38"/>
      <c r="H1485" s="39"/>
      <c r="I1485" s="39"/>
      <c r="J1485" s="21"/>
      <c r="K1485" s="21"/>
      <c r="L1485" s="21"/>
      <c r="M1485" s="21"/>
      <c r="N1485" s="21"/>
      <c r="O1485" s="20"/>
      <c r="P1485" s="19"/>
      <c r="Q1485" s="39"/>
      <c r="R1485" s="19"/>
      <c r="S1485" s="21"/>
      <c r="T1485" s="21"/>
      <c r="U1485" s="39"/>
      <c r="V1485" s="21"/>
      <c r="W1485" s="54"/>
      <c r="X1485" s="23"/>
      <c r="Y1485" s="23"/>
      <c r="Z1485" s="56"/>
      <c r="AA1485" s="24"/>
      <c r="AB1485" s="19"/>
      <c r="AC1485" s="19"/>
      <c r="AD1485" s="15" t="e">
        <f ca="1">IF(AND($D1485&lt;&gt;"",COUNTIF(OFFSET(UFS!$E$2,MATCH($D1485&amp;"",UFS!$A$2:$A$175,0)-1,0,COUNTIF(UFS!$A$2:$A$175,$D1485&amp;""),1),M1485)&gt;0),"Valide","Invalide")</f>
        <v>#N/A</v>
      </c>
      <c r="AH1485" s="15" t="str">
        <f t="shared" si="23"/>
        <v/>
      </c>
    </row>
    <row r="1486" spans="1:34" s="15" customFormat="1" ht="28.2" hidden="1" customHeight="1" x14ac:dyDescent="0.3">
      <c r="A1486" s="42">
        <v>1487</v>
      </c>
      <c r="B1486" s="19"/>
      <c r="C1486" s="19"/>
      <c r="D1486" s="20"/>
      <c r="E1486" s="20"/>
      <c r="F1486" s="21"/>
      <c r="G1486" s="38"/>
      <c r="H1486" s="39"/>
      <c r="I1486" s="39"/>
      <c r="J1486" s="21"/>
      <c r="K1486" s="21"/>
      <c r="L1486" s="21"/>
      <c r="M1486" s="21"/>
      <c r="N1486" s="21"/>
      <c r="O1486" s="20"/>
      <c r="P1486" s="19"/>
      <c r="Q1486" s="39"/>
      <c r="R1486" s="19"/>
      <c r="S1486" s="21"/>
      <c r="T1486" s="21"/>
      <c r="U1486" s="39"/>
      <c r="V1486" s="21"/>
      <c r="W1486" s="54"/>
      <c r="X1486" s="23"/>
      <c r="Y1486" s="23"/>
      <c r="Z1486" s="56"/>
      <c r="AA1486" s="24"/>
      <c r="AB1486" s="19"/>
      <c r="AC1486" s="19"/>
      <c r="AD1486" s="15" t="e">
        <f ca="1">IF(AND($D1486&lt;&gt;"",COUNTIF(OFFSET(UFS!$E$2,MATCH($D1486&amp;"",UFS!$A$2:$A$175,0)-1,0,COUNTIF(UFS!$A$2:$A$175,$D1486&amp;""),1),M1486)&gt;0),"Valide","Invalide")</f>
        <v>#N/A</v>
      </c>
      <c r="AH1486" s="15" t="str">
        <f t="shared" si="23"/>
        <v/>
      </c>
    </row>
    <row r="1487" spans="1:34" s="15" customFormat="1" ht="38.700000000000003" hidden="1" customHeight="1" x14ac:dyDescent="0.3">
      <c r="A1487" s="42">
        <v>1488</v>
      </c>
      <c r="B1487" s="19"/>
      <c r="C1487" s="19"/>
      <c r="D1487" s="20"/>
      <c r="E1487" s="20"/>
      <c r="F1487" s="21"/>
      <c r="G1487" s="38"/>
      <c r="H1487" s="39"/>
      <c r="I1487" s="39"/>
      <c r="J1487" s="21"/>
      <c r="K1487" s="21"/>
      <c r="L1487" s="21"/>
      <c r="M1487" s="21"/>
      <c r="N1487" s="21"/>
      <c r="O1487" s="20"/>
      <c r="P1487" s="19"/>
      <c r="Q1487" s="39"/>
      <c r="R1487" s="19"/>
      <c r="S1487" s="21"/>
      <c r="T1487" s="21"/>
      <c r="U1487" s="39"/>
      <c r="V1487" s="21"/>
      <c r="W1487" s="54"/>
      <c r="X1487" s="23"/>
      <c r="Y1487" s="23"/>
      <c r="Z1487" s="56"/>
      <c r="AA1487" s="24"/>
      <c r="AB1487" s="19"/>
      <c r="AC1487" s="19"/>
      <c r="AD1487" s="15" t="e">
        <f ca="1">IF(AND($D1487&lt;&gt;"",COUNTIF(OFFSET(UFS!$E$2,MATCH($D1487&amp;"",UFS!$A$2:$A$175,0)-1,0,COUNTIF(UFS!$A$2:$A$175,$D1487&amp;""),1),M1487)&gt;0),"Valide","Invalide")</f>
        <v>#N/A</v>
      </c>
      <c r="AH1487" s="15" t="str">
        <f t="shared" si="23"/>
        <v/>
      </c>
    </row>
    <row r="1488" spans="1:34" s="15" customFormat="1" ht="62.7" hidden="1" customHeight="1" x14ac:dyDescent="0.3">
      <c r="A1488" s="42">
        <v>1489</v>
      </c>
      <c r="B1488" s="19"/>
      <c r="C1488" s="19"/>
      <c r="D1488" s="20"/>
      <c r="E1488" s="20"/>
      <c r="F1488" s="21"/>
      <c r="G1488" s="38"/>
      <c r="H1488" s="39"/>
      <c r="I1488" s="39"/>
      <c r="J1488" s="21"/>
      <c r="K1488" s="21"/>
      <c r="L1488" s="21"/>
      <c r="M1488" s="21"/>
      <c r="N1488" s="21"/>
      <c r="O1488" s="20"/>
      <c r="P1488" s="19"/>
      <c r="Q1488" s="39"/>
      <c r="R1488" s="19"/>
      <c r="S1488" s="21"/>
      <c r="T1488" s="21"/>
      <c r="U1488" s="39"/>
      <c r="V1488" s="21"/>
      <c r="W1488" s="54"/>
      <c r="X1488" s="23"/>
      <c r="Y1488" s="23"/>
      <c r="Z1488" s="56"/>
      <c r="AA1488" s="24"/>
      <c r="AB1488" s="19"/>
      <c r="AC1488" s="19"/>
      <c r="AD1488" s="15" t="e">
        <f ca="1">IF(AND($D1488&lt;&gt;"",COUNTIF(OFFSET(UFS!$E$2,MATCH($D1488&amp;"",UFS!$A$2:$A$175,0)-1,0,COUNTIF(UFS!$A$2:$A$175,$D1488&amp;""),1),M1488)&gt;0),"Valide","Invalide")</f>
        <v>#N/A</v>
      </c>
      <c r="AH1488" s="15" t="str">
        <f t="shared" si="23"/>
        <v/>
      </c>
    </row>
    <row r="1489" spans="1:34" s="15" customFormat="1" ht="52.2" hidden="1" customHeight="1" x14ac:dyDescent="0.3">
      <c r="A1489" s="42">
        <v>1490</v>
      </c>
      <c r="B1489" s="19"/>
      <c r="C1489" s="19"/>
      <c r="D1489" s="20"/>
      <c r="E1489" s="20"/>
      <c r="F1489" s="21"/>
      <c r="G1489" s="38"/>
      <c r="H1489" s="39"/>
      <c r="I1489" s="39"/>
      <c r="J1489" s="21"/>
      <c r="K1489" s="21"/>
      <c r="L1489" s="21"/>
      <c r="M1489" s="21"/>
      <c r="N1489" s="21"/>
      <c r="O1489" s="20"/>
      <c r="P1489" s="19"/>
      <c r="Q1489" s="39"/>
      <c r="R1489" s="19"/>
      <c r="S1489" s="21"/>
      <c r="T1489" s="21"/>
      <c r="U1489" s="39"/>
      <c r="V1489" s="21"/>
      <c r="W1489" s="54"/>
      <c r="X1489" s="23"/>
      <c r="Y1489" s="23"/>
      <c r="Z1489" s="56"/>
      <c r="AA1489" s="24"/>
      <c r="AB1489" s="19"/>
      <c r="AC1489" s="19"/>
      <c r="AD1489" s="15" t="e">
        <f ca="1">IF(AND($D1489&lt;&gt;"",COUNTIF(OFFSET(UFS!$E$2,MATCH($D1489&amp;"",UFS!$A$2:$A$175,0)-1,0,COUNTIF(UFS!$A$2:$A$175,$D1489&amp;""),1),M1489)&gt;0),"Valide","Invalide")</f>
        <v>#N/A</v>
      </c>
      <c r="AH1489" s="15" t="str">
        <f t="shared" si="23"/>
        <v/>
      </c>
    </row>
    <row r="1490" spans="1:34" s="15" customFormat="1" ht="49.95" hidden="1" customHeight="1" x14ac:dyDescent="0.3">
      <c r="A1490" s="42">
        <v>1491</v>
      </c>
      <c r="B1490" s="19"/>
      <c r="C1490" s="19"/>
      <c r="D1490" s="20"/>
      <c r="E1490" s="20"/>
      <c r="F1490" s="21"/>
      <c r="G1490" s="38"/>
      <c r="H1490" s="39"/>
      <c r="I1490" s="39"/>
      <c r="J1490" s="21"/>
      <c r="K1490" s="21"/>
      <c r="L1490" s="21"/>
      <c r="M1490" s="21"/>
      <c r="N1490" s="21"/>
      <c r="O1490" s="20"/>
      <c r="P1490" s="19"/>
      <c r="Q1490" s="39"/>
      <c r="R1490" s="19"/>
      <c r="S1490" s="21"/>
      <c r="T1490" s="21"/>
      <c r="U1490" s="39"/>
      <c r="V1490" s="21"/>
      <c r="W1490" s="54"/>
      <c r="X1490" s="23"/>
      <c r="Y1490" s="23"/>
      <c r="Z1490" s="56"/>
      <c r="AA1490" s="24"/>
      <c r="AB1490" s="19"/>
      <c r="AC1490" s="19"/>
      <c r="AD1490" s="15" t="e">
        <f ca="1">IF(AND($D1490&lt;&gt;"",COUNTIF(OFFSET(UFS!$E$2,MATCH($D1490&amp;"",UFS!$A$2:$A$175,0)-1,0,COUNTIF(UFS!$A$2:$A$175,$D1490&amp;""),1),M1490)&gt;0),"Valide","Invalide")</f>
        <v>#N/A</v>
      </c>
      <c r="AH1490" s="15" t="str">
        <f t="shared" si="23"/>
        <v/>
      </c>
    </row>
    <row r="1491" spans="1:34" s="15" customFormat="1" ht="58.2" hidden="1" customHeight="1" x14ac:dyDescent="0.3">
      <c r="A1491" s="42">
        <v>1492</v>
      </c>
      <c r="B1491" s="19"/>
      <c r="C1491" s="19"/>
      <c r="D1491" s="20"/>
      <c r="E1491" s="20"/>
      <c r="F1491" s="21"/>
      <c r="G1491" s="38"/>
      <c r="H1491" s="39"/>
      <c r="I1491" s="39"/>
      <c r="J1491" s="21"/>
      <c r="K1491" s="21"/>
      <c r="L1491" s="21"/>
      <c r="M1491" s="21"/>
      <c r="N1491" s="21"/>
      <c r="O1491" s="20"/>
      <c r="P1491" s="19"/>
      <c r="Q1491" s="39"/>
      <c r="R1491" s="19"/>
      <c r="S1491" s="21"/>
      <c r="T1491" s="21"/>
      <c r="U1491" s="39"/>
      <c r="V1491" s="21"/>
      <c r="W1491" s="54"/>
      <c r="X1491" s="23"/>
      <c r="Y1491" s="23"/>
      <c r="Z1491" s="56"/>
      <c r="AA1491" s="24"/>
      <c r="AB1491" s="19"/>
      <c r="AC1491" s="19"/>
      <c r="AD1491" s="15" t="e">
        <f ca="1">IF(AND($D1491&lt;&gt;"",COUNTIF(OFFSET(UFS!$E$2,MATCH($D1491&amp;"",UFS!$A$2:$A$175,0)-1,0,COUNTIF(UFS!$A$2:$A$175,$D1491&amp;""),1),M1491)&gt;0),"Valide","Invalide")</f>
        <v>#N/A</v>
      </c>
      <c r="AH1491" s="15" t="str">
        <f t="shared" si="23"/>
        <v/>
      </c>
    </row>
    <row r="1492" spans="1:34" s="15" customFormat="1" ht="46.2" hidden="1" customHeight="1" x14ac:dyDescent="0.3">
      <c r="A1492" s="42">
        <v>1493</v>
      </c>
      <c r="B1492" s="19"/>
      <c r="C1492" s="19"/>
      <c r="D1492" s="20"/>
      <c r="E1492" s="20"/>
      <c r="F1492" s="21"/>
      <c r="G1492" s="38"/>
      <c r="H1492" s="39"/>
      <c r="I1492" s="39"/>
      <c r="J1492" s="21"/>
      <c r="K1492" s="21"/>
      <c r="L1492" s="21"/>
      <c r="M1492" s="21"/>
      <c r="N1492" s="21"/>
      <c r="O1492" s="20"/>
      <c r="P1492" s="19"/>
      <c r="Q1492" s="39"/>
      <c r="R1492" s="19"/>
      <c r="S1492" s="21"/>
      <c r="T1492" s="21"/>
      <c r="U1492" s="39"/>
      <c r="V1492" s="21"/>
      <c r="W1492" s="54"/>
      <c r="X1492" s="23"/>
      <c r="Y1492" s="23"/>
      <c r="Z1492" s="56"/>
      <c r="AA1492" s="24"/>
      <c r="AB1492" s="19"/>
      <c r="AC1492" s="19"/>
      <c r="AD1492" s="15" t="e">
        <f ca="1">IF(AND($D1492&lt;&gt;"",COUNTIF(OFFSET(UFS!$E$2,MATCH($D1492&amp;"",UFS!$A$2:$A$175,0)-1,0,COUNTIF(UFS!$A$2:$A$175,$D1492&amp;""),1),M1492)&gt;0),"Valide","Invalide")</f>
        <v>#N/A</v>
      </c>
      <c r="AH1492" s="15" t="str">
        <f t="shared" si="23"/>
        <v/>
      </c>
    </row>
    <row r="1493" spans="1:34" s="15" customFormat="1" ht="49.95" hidden="1" customHeight="1" x14ac:dyDescent="0.3">
      <c r="A1493" s="42">
        <v>1494</v>
      </c>
      <c r="B1493" s="19"/>
      <c r="C1493" s="19"/>
      <c r="D1493" s="20"/>
      <c r="E1493" s="20"/>
      <c r="F1493" s="21"/>
      <c r="G1493" s="38"/>
      <c r="H1493" s="39"/>
      <c r="I1493" s="39"/>
      <c r="J1493" s="21"/>
      <c r="K1493" s="21"/>
      <c r="L1493" s="21"/>
      <c r="M1493" s="21"/>
      <c r="N1493" s="21"/>
      <c r="O1493" s="20"/>
      <c r="P1493" s="19"/>
      <c r="Q1493" s="39"/>
      <c r="R1493" s="19"/>
      <c r="S1493" s="21"/>
      <c r="T1493" s="21"/>
      <c r="U1493" s="39"/>
      <c r="V1493" s="21"/>
      <c r="W1493" s="54"/>
      <c r="X1493" s="23"/>
      <c r="Y1493" s="23"/>
      <c r="Z1493" s="56"/>
      <c r="AA1493" s="24"/>
      <c r="AB1493" s="19"/>
      <c r="AC1493" s="19"/>
      <c r="AD1493" s="15" t="e">
        <f ca="1">IF(AND($D1493&lt;&gt;"",COUNTIF(OFFSET(UFS!$E$2,MATCH($D1493&amp;"",UFS!$A$2:$A$175,0)-1,0,COUNTIF(UFS!$A$2:$A$175,$D1493&amp;""),1),M1493)&gt;0),"Valide","Invalide")</f>
        <v>#N/A</v>
      </c>
      <c r="AH1493" s="15" t="str">
        <f t="shared" si="23"/>
        <v/>
      </c>
    </row>
    <row r="1494" spans="1:34" s="15" customFormat="1" ht="73.95" hidden="1" customHeight="1" x14ac:dyDescent="0.3">
      <c r="A1494" s="42">
        <v>1495</v>
      </c>
      <c r="B1494" s="19"/>
      <c r="C1494" s="19"/>
      <c r="D1494" s="20"/>
      <c r="E1494" s="20"/>
      <c r="F1494" s="21"/>
      <c r="G1494" s="38"/>
      <c r="H1494" s="39"/>
      <c r="I1494" s="39"/>
      <c r="J1494" s="21"/>
      <c r="K1494" s="21"/>
      <c r="L1494" s="21"/>
      <c r="M1494" s="21"/>
      <c r="N1494" s="21"/>
      <c r="O1494" s="20"/>
      <c r="P1494" s="19"/>
      <c r="Q1494" s="39"/>
      <c r="R1494" s="19"/>
      <c r="S1494" s="21"/>
      <c r="T1494" s="21"/>
      <c r="U1494" s="39"/>
      <c r="V1494" s="21"/>
      <c r="W1494" s="54"/>
      <c r="X1494" s="23"/>
      <c r="Y1494" s="23"/>
      <c r="Z1494" s="56"/>
      <c r="AA1494" s="24"/>
      <c r="AB1494" s="19"/>
      <c r="AC1494" s="19"/>
      <c r="AD1494" s="15" t="e">
        <f ca="1">IF(AND($D1494&lt;&gt;"",COUNTIF(OFFSET(UFS!$E$2,MATCH($D1494&amp;"",UFS!$A$2:$A$175,0)-1,0,COUNTIF(UFS!$A$2:$A$175,$D1494&amp;""),1),M1494)&gt;0),"Valide","Invalide")</f>
        <v>#N/A</v>
      </c>
      <c r="AH1494" s="15" t="str">
        <f t="shared" si="23"/>
        <v/>
      </c>
    </row>
    <row r="1495" spans="1:34" s="15" customFormat="1" ht="50.7" hidden="1" customHeight="1" x14ac:dyDescent="0.3">
      <c r="A1495" s="42">
        <v>1496</v>
      </c>
      <c r="B1495" s="19"/>
      <c r="C1495" s="19"/>
      <c r="D1495" s="20"/>
      <c r="E1495" s="20"/>
      <c r="F1495" s="21"/>
      <c r="G1495" s="38"/>
      <c r="H1495" s="39"/>
      <c r="I1495" s="39"/>
      <c r="J1495" s="21"/>
      <c r="K1495" s="21"/>
      <c r="L1495" s="21"/>
      <c r="M1495" s="21"/>
      <c r="N1495" s="21"/>
      <c r="O1495" s="20"/>
      <c r="P1495" s="19"/>
      <c r="Q1495" s="39"/>
      <c r="R1495" s="19"/>
      <c r="S1495" s="21"/>
      <c r="T1495" s="21"/>
      <c r="U1495" s="39"/>
      <c r="V1495" s="21"/>
      <c r="W1495" s="54"/>
      <c r="X1495" s="23"/>
      <c r="Y1495" s="23"/>
      <c r="Z1495" s="56"/>
      <c r="AA1495" s="24"/>
      <c r="AB1495" s="19"/>
      <c r="AC1495" s="19"/>
      <c r="AD1495" s="15" t="e">
        <f ca="1">IF(AND($D1495&lt;&gt;"",COUNTIF(OFFSET(UFS!$E$2,MATCH($D1495&amp;"",UFS!$A$2:$A$175,0)-1,0,COUNTIF(UFS!$A$2:$A$175,$D1495&amp;""),1),M1495)&gt;0),"Valide","Invalide")</f>
        <v>#N/A</v>
      </c>
      <c r="AH1495" s="15" t="str">
        <f t="shared" si="23"/>
        <v/>
      </c>
    </row>
    <row r="1496" spans="1:34" s="15" customFormat="1" ht="47.7" hidden="1" customHeight="1" x14ac:dyDescent="0.3">
      <c r="A1496" s="42">
        <v>1497</v>
      </c>
      <c r="B1496" s="19"/>
      <c r="C1496" s="19"/>
      <c r="D1496" s="20"/>
      <c r="E1496" s="20"/>
      <c r="F1496" s="21"/>
      <c r="G1496" s="38"/>
      <c r="H1496" s="39"/>
      <c r="I1496" s="39"/>
      <c r="J1496" s="21"/>
      <c r="K1496" s="21"/>
      <c r="L1496" s="21"/>
      <c r="M1496" s="21"/>
      <c r="N1496" s="21"/>
      <c r="O1496" s="20"/>
      <c r="P1496" s="19"/>
      <c r="Q1496" s="39"/>
      <c r="R1496" s="19"/>
      <c r="S1496" s="21"/>
      <c r="T1496" s="21"/>
      <c r="U1496" s="39"/>
      <c r="V1496" s="21"/>
      <c r="W1496" s="54"/>
      <c r="X1496" s="23"/>
      <c r="Y1496" s="23"/>
      <c r="Z1496" s="56"/>
      <c r="AA1496" s="24"/>
      <c r="AB1496" s="19"/>
      <c r="AC1496" s="19"/>
      <c r="AD1496" s="15" t="e">
        <f ca="1">IF(AND($D1496&lt;&gt;"",COUNTIF(OFFSET(UFS!$E$2,MATCH($D1496&amp;"",UFS!$A$2:$A$175,0)-1,0,COUNTIF(UFS!$A$2:$A$175,$D1496&amp;""),1),M1496)&gt;0),"Valide","Invalide")</f>
        <v>#N/A</v>
      </c>
      <c r="AH1496" s="15" t="str">
        <f t="shared" si="23"/>
        <v/>
      </c>
    </row>
    <row r="1497" spans="1:34" s="15" customFormat="1" ht="54.6" hidden="1" customHeight="1" x14ac:dyDescent="0.3">
      <c r="A1497" s="42">
        <v>1498</v>
      </c>
      <c r="B1497" s="19"/>
      <c r="C1497" s="19"/>
      <c r="D1497" s="20"/>
      <c r="E1497" s="20"/>
      <c r="F1497" s="21"/>
      <c r="G1497" s="38"/>
      <c r="H1497" s="39"/>
      <c r="I1497" s="39"/>
      <c r="J1497" s="21"/>
      <c r="K1497" s="21"/>
      <c r="L1497" s="21"/>
      <c r="M1497" s="21"/>
      <c r="N1497" s="21"/>
      <c r="O1497" s="20"/>
      <c r="P1497" s="19"/>
      <c r="Q1497" s="39"/>
      <c r="R1497" s="19"/>
      <c r="S1497" s="21"/>
      <c r="T1497" s="21"/>
      <c r="U1497" s="39"/>
      <c r="V1497" s="21"/>
      <c r="W1497" s="54"/>
      <c r="X1497" s="23"/>
      <c r="Y1497" s="23"/>
      <c r="Z1497" s="56"/>
      <c r="AA1497" s="24"/>
      <c r="AB1497" s="19"/>
      <c r="AC1497" s="19"/>
      <c r="AH1497" s="15" t="str">
        <f t="shared" si="23"/>
        <v/>
      </c>
    </row>
    <row r="1498" spans="1:34" s="15" customFormat="1" ht="39.6" hidden="1" customHeight="1" x14ac:dyDescent="0.3">
      <c r="A1498" s="43">
        <v>1499</v>
      </c>
      <c r="B1498" s="25"/>
      <c r="C1498" s="25"/>
      <c r="D1498" s="26"/>
      <c r="E1498" s="25"/>
      <c r="F1498" s="27"/>
      <c r="G1498" s="40"/>
      <c r="H1498" s="40"/>
      <c r="I1498" s="40"/>
      <c r="J1498" s="27"/>
      <c r="K1498" s="27"/>
      <c r="L1498" s="27"/>
      <c r="M1498" s="27"/>
      <c r="N1498" s="27"/>
      <c r="O1498" s="26"/>
      <c r="P1498" s="25"/>
      <c r="Q1498" s="40"/>
      <c r="R1498" s="25"/>
      <c r="S1498" s="27"/>
      <c r="T1498" s="27"/>
      <c r="U1498" s="40"/>
      <c r="V1498" s="27"/>
      <c r="W1498" s="55"/>
      <c r="X1498" s="23"/>
      <c r="Y1498" s="28"/>
      <c r="Z1498" s="57"/>
      <c r="AA1498" s="29"/>
      <c r="AB1498" s="25"/>
      <c r="AC1498" s="25"/>
      <c r="AH1498" s="15" t="str">
        <f t="shared" si="23"/>
        <v/>
      </c>
    </row>
    <row r="1499" spans="1:34" s="15" customFormat="1" ht="37.950000000000003" hidden="1" customHeight="1" x14ac:dyDescent="0.3">
      <c r="A1499" s="120">
        <v>1500</v>
      </c>
      <c r="B1499" s="87"/>
      <c r="C1499" s="87"/>
      <c r="D1499" s="123"/>
      <c r="E1499" s="87"/>
      <c r="F1499" s="87"/>
      <c r="G1499" s="93"/>
      <c r="H1499" s="93"/>
      <c r="I1499" s="93"/>
      <c r="J1499" s="87"/>
      <c r="K1499" s="87"/>
      <c r="L1499" s="87"/>
      <c r="M1499" s="87"/>
      <c r="N1499" s="87"/>
      <c r="O1499" s="87"/>
      <c r="P1499" s="87"/>
      <c r="Q1499" s="87"/>
      <c r="R1499" s="87"/>
      <c r="S1499" s="87"/>
      <c r="T1499" s="87"/>
      <c r="U1499" s="87"/>
      <c r="V1499" s="87"/>
      <c r="W1499" s="87"/>
      <c r="X1499" s="87"/>
      <c r="Y1499" s="87"/>
      <c r="Z1499" s="93"/>
      <c r="AA1499" s="87"/>
      <c r="AB1499" s="87"/>
      <c r="AC1499" s="87"/>
      <c r="AH1499" s="15" t="str">
        <f t="shared" si="23"/>
        <v/>
      </c>
    </row>
    <row r="1500" spans="1:34" s="14" customFormat="1" ht="30" hidden="1" customHeight="1" x14ac:dyDescent="0.3">
      <c r="A1500" s="87"/>
      <c r="B1500" s="19" t="s">
        <v>18</v>
      </c>
      <c r="C1500" s="19" t="s">
        <v>11</v>
      </c>
      <c r="D1500" s="20" t="s">
        <v>200</v>
      </c>
      <c r="E1500" s="20" t="s">
        <v>96</v>
      </c>
      <c r="F1500" s="21" t="s">
        <v>80</v>
      </c>
      <c r="G1500" s="38" t="s">
        <v>169</v>
      </c>
      <c r="H1500" s="39"/>
      <c r="I1500" s="39" t="s">
        <v>1039</v>
      </c>
      <c r="J1500" s="21" t="s">
        <v>144</v>
      </c>
      <c r="K1500" s="21" t="s">
        <v>145</v>
      </c>
      <c r="L1500" s="21" t="s">
        <v>203</v>
      </c>
      <c r="M1500" s="21" t="s">
        <v>109</v>
      </c>
      <c r="N1500" s="21" t="s">
        <v>109</v>
      </c>
      <c r="O1500" s="20" t="s">
        <v>3766</v>
      </c>
      <c r="P1500" s="45" t="s">
        <v>3767</v>
      </c>
      <c r="Q1500" s="39" t="s">
        <v>3768</v>
      </c>
      <c r="R1500" s="53">
        <v>1212.0999999999999</v>
      </c>
      <c r="S1500" s="21">
        <v>0.2</v>
      </c>
      <c r="T1500" s="21">
        <v>1454.52</v>
      </c>
      <c r="U1500" s="44" t="s">
        <v>3769</v>
      </c>
      <c r="V1500" s="22">
        <v>45819</v>
      </c>
      <c r="W1500" s="54" t="s">
        <v>91</v>
      </c>
      <c r="X1500" s="23"/>
      <c r="Y1500" s="23" t="s">
        <v>92</v>
      </c>
      <c r="Z1500" s="56" t="s">
        <v>928</v>
      </c>
      <c r="AA1500" s="24">
        <v>854558</v>
      </c>
      <c r="AB1500" s="19"/>
      <c r="AC1500" s="49" t="s">
        <v>161</v>
      </c>
      <c r="AD1500" s="14" t="e">
        <f ca="1">IF(AND($D1500&lt;&gt;"",COUNTIF(OFFSET(UFS!$E$2,MATCH($D1500&amp;"",UFS!$A$2:$A$175,0)-1,0,COUNTIF(UFS!$A$2:$A$175,$D1500&amp;""),1),M1500)&gt;0),"Valide","Invalide")</f>
        <v>#N/A</v>
      </c>
      <c r="AH1500" s="14" t="str">
        <f t="shared" si="23"/>
        <v>En attente</v>
      </c>
    </row>
    <row r="1501" spans="1:34" ht="24.75" hidden="1" customHeight="1" x14ac:dyDescent="0.3">
      <c r="B1501" s="121" t="s">
        <v>26</v>
      </c>
      <c r="C1501" s="121" t="s">
        <v>11</v>
      </c>
      <c r="D1501" s="124" t="s">
        <v>1076</v>
      </c>
      <c r="E1501" s="124" t="s">
        <v>96</v>
      </c>
      <c r="F1501" s="126" t="s">
        <v>80</v>
      </c>
      <c r="G1501" s="128" t="s">
        <v>169</v>
      </c>
      <c r="H1501" s="129"/>
      <c r="I1501" s="129" t="s">
        <v>1320</v>
      </c>
      <c r="J1501" s="126" t="s">
        <v>144</v>
      </c>
      <c r="K1501" s="126" t="s">
        <v>145</v>
      </c>
      <c r="L1501" s="126" t="s">
        <v>120</v>
      </c>
      <c r="M1501" s="126" t="s">
        <v>1077</v>
      </c>
      <c r="N1501" s="126" t="s">
        <v>165</v>
      </c>
      <c r="O1501" s="124" t="s">
        <v>3770</v>
      </c>
      <c r="P1501" s="132">
        <v>45729</v>
      </c>
      <c r="Q1501" s="129" t="s">
        <v>3771</v>
      </c>
      <c r="R1501" s="121">
        <v>11687.19</v>
      </c>
      <c r="S1501" s="126">
        <v>0.2</v>
      </c>
      <c r="T1501" s="126">
        <v>14024.628000000001</v>
      </c>
      <c r="U1501" s="117" t="s">
        <v>3772</v>
      </c>
      <c r="V1501" s="136">
        <v>45743</v>
      </c>
      <c r="W1501" s="137" t="s">
        <v>91</v>
      </c>
      <c r="X1501" s="138"/>
      <c r="Y1501" s="138" t="s">
        <v>92</v>
      </c>
      <c r="Z1501" s="141" t="s">
        <v>446</v>
      </c>
      <c r="AA1501" s="142">
        <v>849341</v>
      </c>
      <c r="AB1501" s="121"/>
      <c r="AC1501" s="143" t="s">
        <v>94</v>
      </c>
      <c r="AD1501" t="str">
        <f ca="1">IF(AND($D1501&lt;&gt;"",COUNTIF(OFFSET(UFS!$E$2,MATCH($D1501&amp;"",UFS!$A$2:$A$175,0)-1,0,COUNTIF(UFS!$A$2:$A$175,$D1501&amp;""),1),M1501)&gt;0),"Valide","Invalide")</f>
        <v>Valide</v>
      </c>
    </row>
    <row r="1502" spans="1:34" ht="20.25" hidden="1" customHeight="1" x14ac:dyDescent="0.3">
      <c r="B1502" s="155"/>
      <c r="C1502" s="155"/>
    </row>
    <row r="1504" spans="1:34" ht="15.6" customHeight="1" x14ac:dyDescent="0.3">
      <c r="C1504" s="121"/>
    </row>
    <row r="1506" spans="17:27" x14ac:dyDescent="0.3">
      <c r="Q1506" s="39"/>
    </row>
    <row r="1513" spans="17:27" x14ac:dyDescent="0.3">
      <c r="AA1513" t="s">
        <v>3773</v>
      </c>
    </row>
  </sheetData>
  <sheetProtection selectLockedCells="1"/>
  <autoFilter ref="A1:AD1502" xr:uid="{00000000-0001-0000-0000-000000000000}">
    <filterColumn colId="1">
      <filters>
        <filter val="Phillipe DOMERCQ"/>
      </filters>
    </filterColumn>
    <filterColumn colId="28">
      <filters blank="1">
        <filter val="Non"/>
      </filters>
    </filterColumn>
  </autoFilter>
  <sortState xmlns:xlrd2="http://schemas.microsoft.com/office/spreadsheetml/2017/richdata2" ref="M47:M1513">
    <sortCondition ref="M1:M1513"/>
  </sortState>
  <phoneticPr fontId="16" type="noConversion"/>
  <conditionalFormatting sqref="H2:H163 H167:H322 H325:H335 H337:H834 H837:H1499">
    <cfRule type="expression" priority="7">
      <formula>AND(C2&lt;&gt;"",H2="")</formula>
    </cfRule>
  </conditionalFormatting>
  <conditionalFormatting sqref="M1:M141 M143:M284 M286:M332 M335:M1048576">
    <cfRule type="expression" priority="13">
      <formula>$Z2="Invalide"</formula>
    </cfRule>
  </conditionalFormatting>
  <conditionalFormatting sqref="M334">
    <cfRule type="expression" priority="27">
      <formula>$Z334="Invalide"</formula>
    </cfRule>
  </conditionalFormatting>
  <conditionalFormatting sqref="I333">
    <cfRule type="expression" priority="6">
      <formula>AND(D333&lt;&gt;"",I333="")</formula>
    </cfRule>
  </conditionalFormatting>
  <conditionalFormatting sqref="I331">
    <cfRule type="expression" priority="5">
      <formula>AND(D331&lt;&gt;"",I331="")</formula>
    </cfRule>
  </conditionalFormatting>
  <conditionalFormatting sqref="M142">
    <cfRule type="expression" priority="35">
      <formula>$Z286="Invalide"</formula>
    </cfRule>
  </conditionalFormatting>
  <conditionalFormatting sqref="M285">
    <cfRule type="expression" priority="36">
      <formula>#REF!="Invalide"</formula>
    </cfRule>
  </conditionalFormatting>
  <conditionalFormatting sqref="N410">
    <cfRule type="expression" priority="3">
      <formula>$Z411="Invalide"</formula>
    </cfRule>
  </conditionalFormatting>
  <conditionalFormatting sqref="H540:H543">
    <cfRule type="expression" priority="1">
      <formula>AND(B540&lt;&gt;"",H540="")</formula>
    </cfRule>
  </conditionalFormatting>
  <conditionalFormatting sqref="H835:H836">
    <cfRule type="expression" priority="38">
      <formula>AND(C834&lt;&gt;"",H835="")</formula>
    </cfRule>
  </conditionalFormatting>
  <dataValidations count="931">
    <dataValidation type="list" allowBlank="1" showInputMessage="1" showErrorMessage="1" sqref="E2:E14 E185:E186 E199:E200 E249 E323:E324 E335 E338:E339 E368 E390 E410 E412 E416 E449 E453 E464 E488 E503:E506 E522:E523 E529 E536:E537 E547:E548 E575 E577:E579 E590 E605 E610:E611 E620 E624 E627:E628 E674:E677 D682 E729 E737:E738 E748:E750 E797 E805:E806 E808 E814:E815 E820 E833 E837 E839 E847:E848 E855 E862:E864 E877:E878 E881:E884 E888:E889 E913 E915 E959 E1008:E1010 E1035 E1037 E1071 E1085 E1087:E1088 E1107:E1109 E1123:E1500" xr:uid="{3EE921A4-AEF7-4EFF-A16C-F4C3CCED08C8}">
      <formula1>"Classe 6,Classe 2,Fictif"</formula1>
    </dataValidation>
    <dataValidation type="list" allowBlank="1" showInputMessage="1" showErrorMessage="1" sqref="B2:B15 B30 B108 B146:B147 B185:B186 B199:B200 B249 B323:B324 B335 B337:B339 B390 B412 B464 B449 B453 B488 B503:B506 B522:B523 B529 B536:B537 B547:B548 B575 B577 B579 B590 B610:B611 B620 B624 B627:B628 B674:B677 B703:B710 B729 B737:B738 B748:B750 B797 B805:B806 B808 B814:B815 B818 B820 B833 B837 B839 B847:B848 B855 B862:B864 B877:B878 B881:B884 B888:B889 B910:B917 B919:B922 B926 B928:B931 B935 B938 B940 B945:B949 B951:B952 B954:B955 B959:B961 B964:B973 B976:B982 B1496:B1500 B984:B1011 B1018:B1019 B1021:B1029 B1033:B1038 B1041:B1043 B1045 B1047:B1053 B1055:B1056 B933 B1058:B1062 B1065:B1066 B1068 B1070:B1071 B1073:B1074 B1076:B1080 B1084:B1090 B1092:B1102 B1105:B1109 B1112:B1116 B1118:B1119 B1121 B1123:B1494" xr:uid="{EF4993FA-591C-44FB-AEE1-8F6411AB9FD1}">
      <formula1>"Augustin CARPINTEIRO,Christophe DARRET,Didier PAQUIN,Emmanuel MINGANT,Fabrice TABIA,Franck BRESSAN,Jean-Christophe HONART,Margaux CHEVALIER,Michel ALEVEQUE,Otmane BELHAJ,Pascal EPIS,Phillipe BRAS,Phillipe DOMERCQ,Remy MERONI,Samir GALOUL"</formula1>
    </dataValidation>
    <dataValidation type="list" allowBlank="1" showInputMessage="1" showErrorMessage="1" sqref="G2" xr:uid="{18EB5526-DAAC-4301-919A-D8815162B9E4}">
      <formula1>"615222 - Classe 6 Travaux Pôle,615223 - Classe 6 Travaux Hors Pôle"</formula1>
    </dataValidation>
    <dataValidation type="list" allowBlank="1" showInputMessage="1" showErrorMessage="1" sqref="G3" xr:uid="{8EEBC060-279F-4B09-85A9-E9BC0A62DDCF}">
      <formula1>ValidList_G3</formula1>
    </dataValidation>
    <dataValidation type="list" allowBlank="1" showInputMessage="1" showErrorMessage="1" sqref="G4" xr:uid="{D9939A33-338A-412D-8681-0598A1C948C5}">
      <formula1>ValidList_G4</formula1>
    </dataValidation>
    <dataValidation type="list" allowBlank="1" showInputMessage="1" showErrorMessage="1" sqref="G5" xr:uid="{C4419119-1F27-4CAC-8EA0-6C0636401B56}">
      <formula1>ValidList_G5</formula1>
    </dataValidation>
    <dataValidation type="list" allowBlank="1" showInputMessage="1" showErrorMessage="1" sqref="H5" xr:uid="{509EB985-9BE8-4116-B66B-402A66575720}">
      <formula1>ValidList_H5</formula1>
    </dataValidation>
    <dataValidation type="list" allowBlank="1" showInputMessage="1" showErrorMessage="1" sqref="G11" xr:uid="{6A26843E-FED3-4E02-BE03-3797D507B9D8}">
      <formula1>ValidList_G11</formula1>
    </dataValidation>
    <dataValidation type="list" allowBlank="1" showInputMessage="1" showErrorMessage="1" sqref="G6" xr:uid="{3C98D128-7DFD-4861-9C22-558FE4F28585}">
      <formula1>ValidList_G6</formula1>
    </dataValidation>
    <dataValidation type="list" allowBlank="1" showInputMessage="1" showErrorMessage="1" sqref="H6" xr:uid="{455A7A53-8CBD-4CEE-9631-AD602A55CD57}">
      <formula1>ValidList_H6</formula1>
    </dataValidation>
    <dataValidation type="list" allowBlank="1" showInputMessage="1" showErrorMessage="1" sqref="G7" xr:uid="{648007F3-743E-4CAD-889D-F0AA04DC3DA3}">
      <formula1>ValidList_G7</formula1>
    </dataValidation>
    <dataValidation type="list" allowBlank="1" showInputMessage="1" showErrorMessage="1" sqref="H7" xr:uid="{2364C866-60A6-4309-916D-100A9E45BCED}">
      <formula1>ValidList_H7</formula1>
    </dataValidation>
    <dataValidation type="list" allowBlank="1" showInputMessage="1" showErrorMessage="1" sqref="G8" xr:uid="{09E42653-E12C-4E57-9D75-B747CE4E2C20}">
      <formula1>ValidList_G8</formula1>
    </dataValidation>
    <dataValidation type="list" allowBlank="1" showInputMessage="1" showErrorMessage="1" sqref="H8" xr:uid="{5675035C-7653-4609-9556-C62ADA573A80}">
      <formula1>ValidList_H8</formula1>
    </dataValidation>
    <dataValidation type="list" allowBlank="1" showInputMessage="1" showErrorMessage="1" sqref="G9" xr:uid="{D220889B-9EEB-48B8-8D09-E5E689E61D51}">
      <formula1>ValidList_G9</formula1>
    </dataValidation>
    <dataValidation type="list" allowBlank="1" showInputMessage="1" showErrorMessage="1" sqref="H9" xr:uid="{1EB0C953-90E0-4D82-8654-E380730F30D7}">
      <formula1>ValidList_H9</formula1>
    </dataValidation>
    <dataValidation type="list" allowBlank="1" showInputMessage="1" showErrorMessage="1" sqref="G10" xr:uid="{10EB1C8D-CD13-4DCC-8FFE-DF6BC7B2D06B}">
      <formula1>ValidList_G10</formula1>
    </dataValidation>
    <dataValidation type="list" allowBlank="1" showInputMessage="1" showErrorMessage="1" sqref="H10" xr:uid="{B85EBE06-121B-4304-B8E8-A7E2499568F0}">
      <formula1>ValidList_H10</formula1>
    </dataValidation>
    <dataValidation type="list" allowBlank="1" showInputMessage="1" showErrorMessage="1" sqref="G12" xr:uid="{31299CCB-DB07-45FB-9C30-401BBD426359}">
      <formula1>ValidList_G12</formula1>
    </dataValidation>
    <dataValidation type="list" allowBlank="1" showInputMessage="1" showErrorMessage="1" sqref="G13" xr:uid="{24F0749A-5254-4AB3-AF72-88134B666FEC}">
      <formula1>ValidList_G13</formula1>
    </dataValidation>
    <dataValidation type="list" allowBlank="1" showInputMessage="1" showErrorMessage="1" sqref="G16" xr:uid="{CDFB9FBF-EEA5-4AC5-B4C2-E61E9E428175}">
      <formula1>ValidList_G16</formula1>
    </dataValidation>
    <dataValidation type="list" allowBlank="1" showInputMessage="1" showErrorMessage="1" sqref="G17" xr:uid="{9710ACA0-C8EE-438A-B71F-C7EFE3E90FD7}">
      <formula1>ValidList_G17</formula1>
    </dataValidation>
    <dataValidation type="list" allowBlank="1" showInputMessage="1" showErrorMessage="1" sqref="H17" xr:uid="{8381D666-137B-4DEC-A023-6F25CB24AF70}">
      <formula1>ValidList_H17</formula1>
    </dataValidation>
    <dataValidation type="list" allowBlank="1" showInputMessage="1" showErrorMessage="1" sqref="G20" xr:uid="{981CA7FE-3E2F-4D49-8CB9-2F8F62217C3B}">
      <formula1>ValidList_G20</formula1>
    </dataValidation>
    <dataValidation type="list" allowBlank="1" showInputMessage="1" showErrorMessage="1" sqref="G18" xr:uid="{BB2E16DB-B523-4352-8058-0FFDD1C5D3BD}">
      <formula1>ValidList_G18</formula1>
    </dataValidation>
    <dataValidation type="list" allowBlank="1" showInputMessage="1" showErrorMessage="1" sqref="G19" xr:uid="{8A5B60F2-B0DE-451E-AB80-77D42DEE6CD9}">
      <formula1>ValidList_G19</formula1>
    </dataValidation>
    <dataValidation type="list" allowBlank="1" showInputMessage="1" showErrorMessage="1" sqref="G21" xr:uid="{01D4E528-754B-4FCD-9DB1-C874A4549B1A}">
      <formula1>ValidList_G21</formula1>
    </dataValidation>
    <dataValidation type="list" allowBlank="1" showInputMessage="1" showErrorMessage="1" sqref="G22" xr:uid="{4C0DFD94-52B1-445F-A701-71D4BACFE6AD}">
      <formula1>ValidList_G22</formula1>
    </dataValidation>
    <dataValidation type="list" allowBlank="1" showInputMessage="1" showErrorMessage="1" sqref="G23" xr:uid="{3269BAD4-F54C-4186-AD0D-7DAF273BB155}">
      <formula1>ValidList_G23</formula1>
    </dataValidation>
    <dataValidation type="list" allowBlank="1" showInputMessage="1" showErrorMessage="1" sqref="G24" xr:uid="{81DDBB96-29D8-40DC-AE9B-779C5A4BC876}">
      <formula1>ValidList_G24</formula1>
    </dataValidation>
    <dataValidation type="list" allowBlank="1" showInputMessage="1" showErrorMessage="1" sqref="H24" xr:uid="{2A034A94-2C2A-4A27-92FC-E277B6D0B8C6}">
      <formula1>ValidList_H24</formula1>
    </dataValidation>
    <dataValidation type="list" allowBlank="1" showInputMessage="1" showErrorMessage="1" sqref="G25" xr:uid="{94CDFFA7-84FC-4C68-8CF0-B06FEC924302}">
      <formula1>ValidList_G25</formula1>
    </dataValidation>
    <dataValidation type="list" allowBlank="1" showInputMessage="1" showErrorMessage="1" sqref="G26" xr:uid="{79FA47EA-F6AD-47DA-AED9-DFCB692109B9}">
      <formula1>ValidList_G26</formula1>
    </dataValidation>
    <dataValidation type="list" allowBlank="1" showInputMessage="1" showErrorMessage="1" sqref="G33" xr:uid="{03808CF3-C6B9-48C3-8CE7-4669BAABA371}">
      <formula1>ValidList_G33</formula1>
    </dataValidation>
    <dataValidation type="list" allowBlank="1" showInputMessage="1" showErrorMessage="1" sqref="G34" xr:uid="{F2C7D7DC-62DF-403E-AECC-4CDB01A33B8D}">
      <formula1>ValidList_G34</formula1>
    </dataValidation>
    <dataValidation type="list" allowBlank="1" showInputMessage="1" showErrorMessage="1" sqref="G35" xr:uid="{810DAFD5-496C-41DA-BE5A-D98FEBF417E5}">
      <formula1>ValidList_G35</formula1>
    </dataValidation>
    <dataValidation type="list" allowBlank="1" showInputMessage="1" showErrorMessage="1" sqref="G36" xr:uid="{1B08D1A6-75DD-46E2-AAE2-6AB93DB41CB1}">
      <formula1>ValidList_G36</formula1>
    </dataValidation>
    <dataValidation type="list" allowBlank="1" showInputMessage="1" showErrorMessage="1" sqref="G37" xr:uid="{2276812E-3113-4516-9184-AC324DDDFADB}">
      <formula1>ValidList_G37</formula1>
    </dataValidation>
    <dataValidation type="list" allowBlank="1" showInputMessage="1" showErrorMessage="1" sqref="G38" xr:uid="{4A0CCDB0-9779-4D8B-9F08-B238E0FD3C4F}">
      <formula1>ValidList_G38</formula1>
    </dataValidation>
    <dataValidation type="list" allowBlank="1" showInputMessage="1" showErrorMessage="1" sqref="G39" xr:uid="{1AFDC9CE-713C-4757-853D-E349243BED66}">
      <formula1>ValidList_G39</formula1>
    </dataValidation>
    <dataValidation type="list" allowBlank="1" showInputMessage="1" showErrorMessage="1" sqref="G42" xr:uid="{1489B585-D7DC-4192-8494-90060E32E409}">
      <formula1>ValidList_G42</formula1>
    </dataValidation>
    <dataValidation type="list" allowBlank="1" showInputMessage="1" showErrorMessage="1" sqref="G43" xr:uid="{40423264-F197-40B7-8D31-395558AF2005}">
      <formula1>ValidList_G43</formula1>
    </dataValidation>
    <dataValidation type="list" allowBlank="1" showInputMessage="1" showErrorMessage="1" sqref="G44" xr:uid="{ED7A93ED-1D02-401E-80FA-E064EC95A49A}">
      <formula1>ValidList_G44</formula1>
    </dataValidation>
    <dataValidation type="list" allowBlank="1" showInputMessage="1" showErrorMessage="1" sqref="G45" xr:uid="{58E2278B-BC91-44F1-A755-3CDC639E7EE8}">
      <formula1>ValidList_G45</formula1>
    </dataValidation>
    <dataValidation type="list" allowBlank="1" showInputMessage="1" showErrorMessage="1" sqref="G31" xr:uid="{38B60894-85C3-4D1A-9046-656A8B60B342}">
      <formula1>ValidList_G31</formula1>
    </dataValidation>
    <dataValidation type="list" allowBlank="1" showInputMessage="1" showErrorMessage="1" sqref="G51" xr:uid="{B675DB0F-EFA6-46C8-ABF2-9B4C83807E76}">
      <formula1>ValidList_G51</formula1>
    </dataValidation>
    <dataValidation type="list" allowBlank="1" showInputMessage="1" showErrorMessage="1" sqref="G32" xr:uid="{3F3DADEE-7B47-4B27-AB5C-0DA8B1D81E84}">
      <formula1>ValidList_G32</formula1>
    </dataValidation>
    <dataValidation type="list" allowBlank="1" showInputMessage="1" showErrorMessage="1" sqref="G48" xr:uid="{AD420D03-A1AC-4E31-A1FA-072EE377709E}">
      <formula1>ValidList_G48</formula1>
    </dataValidation>
    <dataValidation type="list" allowBlank="1" showInputMessage="1" showErrorMessage="1" sqref="G49" xr:uid="{B130DED2-7D5E-4064-9E84-2E40C6076381}">
      <formula1>ValidList_G49</formula1>
    </dataValidation>
    <dataValidation type="list" allowBlank="1" showInputMessage="1" showErrorMessage="1" sqref="G50" xr:uid="{36FD24E1-0FC7-44AD-A79D-4C26A694AF68}">
      <formula1>ValidList_G50</formula1>
    </dataValidation>
    <dataValidation type="list" allowBlank="1" showInputMessage="1" showErrorMessage="1" sqref="G52" xr:uid="{2C0CC4CA-ADAB-41F0-A984-BA21E298F010}">
      <formula1>ValidList_G52</formula1>
    </dataValidation>
    <dataValidation type="list" allowBlank="1" showInputMessage="1" showErrorMessage="1" sqref="G27" xr:uid="{F5894847-7FAD-45EA-A42E-D904791C8E21}">
      <formula1>ValidList_G27</formula1>
    </dataValidation>
    <dataValidation type="list" allowBlank="1" showInputMessage="1" showErrorMessage="1" sqref="G59" xr:uid="{922086BA-A8A3-4F1D-9DE2-735C6D36A017}">
      <formula1>ValidList_G59</formula1>
    </dataValidation>
    <dataValidation type="list" allowBlank="1" showInputMessage="1" showErrorMessage="1" sqref="G60" xr:uid="{320AC9DB-80C2-4369-9C83-F794A3BF257F}">
      <formula1>ValidList_G60</formula1>
    </dataValidation>
    <dataValidation type="list" allowBlank="1" showInputMessage="1" showErrorMessage="1" sqref="G71" xr:uid="{42483DFA-6FEE-46D9-8958-B475189E0A64}">
      <formula1>ValidList_G71</formula1>
    </dataValidation>
    <dataValidation type="list" allowBlank="1" showInputMessage="1" showErrorMessage="1" sqref="G77:G78" xr:uid="{AEB618A6-3348-41C6-8EBB-FB5F440FD0E0}">
      <formula1>ValidList_G77</formula1>
    </dataValidation>
    <dataValidation type="list" allowBlank="1" showInputMessage="1" showErrorMessage="1" sqref="G73" xr:uid="{5315E871-0790-4A10-8FE4-46EDE1B4CBD2}">
      <formula1>ValidList_G73</formula1>
    </dataValidation>
    <dataValidation type="list" allowBlank="1" showInputMessage="1" showErrorMessage="1" sqref="G74" xr:uid="{9E035891-5A84-4361-9BCA-55CC3045CE10}">
      <formula1>ValidList_G74</formula1>
    </dataValidation>
    <dataValidation type="list" allowBlank="1" showInputMessage="1" showErrorMessage="1" sqref="G75" xr:uid="{A8763EB1-5679-487D-A0C7-1F5E2747CE93}">
      <formula1>ValidList_G75</formula1>
    </dataValidation>
    <dataValidation type="list" allowBlank="1" showInputMessage="1" showErrorMessage="1" sqref="G76" xr:uid="{E118F4F4-81A7-4D4B-8A4B-B8B0B9D2B60F}">
      <formula1>ValidList_G76</formula1>
    </dataValidation>
    <dataValidation type="list" allowBlank="1" showInputMessage="1" showErrorMessage="1" sqref="G79" xr:uid="{A6529ABD-A766-485F-8F01-600C808EB8D9}">
      <formula1>ValidList_G79</formula1>
    </dataValidation>
    <dataValidation type="list" allowBlank="1" showInputMessage="1" showErrorMessage="1" sqref="G80" xr:uid="{121B08D5-A22D-44AB-AABD-06993C5829FA}">
      <formula1>ValidList_G80</formula1>
    </dataValidation>
    <dataValidation type="list" allowBlank="1" showInputMessage="1" showErrorMessage="1" sqref="H80" xr:uid="{8D454C5B-C4C5-44F4-90C3-E343A5AF4298}">
      <formula1>ValidList_H80</formula1>
    </dataValidation>
    <dataValidation type="list" allowBlank="1" showInputMessage="1" showErrorMessage="1" sqref="G81" xr:uid="{69016231-ADC2-4DA6-B2AF-350773179E4C}">
      <formula1>ValidList_G81</formula1>
    </dataValidation>
    <dataValidation type="list" allowBlank="1" showInputMessage="1" showErrorMessage="1" sqref="G82" xr:uid="{001603C2-9606-45C8-8AC6-30A2CB7A271B}">
      <formula1>ValidList_G82</formula1>
    </dataValidation>
    <dataValidation type="list" allowBlank="1" showInputMessage="1" showErrorMessage="1" sqref="G83" xr:uid="{13F9DB93-1B98-4B64-B8CC-677B298D23BD}">
      <formula1>ValidList_G83</formula1>
    </dataValidation>
    <dataValidation type="list" allowBlank="1" showInputMessage="1" showErrorMessage="1" sqref="G84" xr:uid="{0A12B7F0-C18E-48D0-9522-801A63805D1E}">
      <formula1>ValidList_G84</formula1>
    </dataValidation>
    <dataValidation type="list" allowBlank="1" showInputMessage="1" showErrorMessage="1" sqref="G85" xr:uid="{58E79777-27A2-4162-B24D-DEE85F09AD88}">
      <formula1>ValidList_G85</formula1>
    </dataValidation>
    <dataValidation type="list" allowBlank="1" showInputMessage="1" showErrorMessage="1" sqref="G91" xr:uid="{2515C5EB-3D2B-4EB7-A5C2-75B454F6E39C}">
      <formula1>ValidList_G91</formula1>
    </dataValidation>
    <dataValidation type="list" allowBlank="1" showInputMessage="1" showErrorMessage="1" sqref="G92" xr:uid="{606227D5-2D2D-4B64-9FAB-7CF4B5DB383E}">
      <formula1>ValidList_G92</formula1>
    </dataValidation>
    <dataValidation type="list" allowBlank="1" showInputMessage="1" showErrorMessage="1" sqref="H92" xr:uid="{F7185F6F-3504-46C4-8E6E-69B005D6E185}">
      <formula1>ValidList_H92</formula1>
    </dataValidation>
    <dataValidation type="list" allowBlank="1" showInputMessage="1" showErrorMessage="1" sqref="G93" xr:uid="{A4C8EFB9-AB87-4A9E-A29F-F38BB769F37E}">
      <formula1>ValidList_G93</formula1>
    </dataValidation>
    <dataValidation type="list" allowBlank="1" showInputMessage="1" showErrorMessage="1" sqref="G94" xr:uid="{32CBD9C6-C6B0-4A36-8817-398C0098CAFA}">
      <formula1>ValidList_G94</formula1>
    </dataValidation>
    <dataValidation type="list" allowBlank="1" showInputMessage="1" showErrorMessage="1" sqref="G95" xr:uid="{2A09211E-A52E-42BD-9552-594F75A3E99C}">
      <formula1>ValidList_G95</formula1>
    </dataValidation>
    <dataValidation type="list" allowBlank="1" showInputMessage="1" showErrorMessage="1" sqref="H95" xr:uid="{A965C658-4BE9-4620-B1FF-34B42328C84F}">
      <formula1>ValidList_H95</formula1>
    </dataValidation>
    <dataValidation type="list" allowBlank="1" showInputMessage="1" showErrorMessage="1" sqref="H96" xr:uid="{FC9C89CA-EBE3-4133-9FF7-095C23C6FCFE}">
      <formula1>ValidList_H96</formula1>
    </dataValidation>
    <dataValidation type="list" allowBlank="1" showInputMessage="1" showErrorMessage="1" sqref="G101" xr:uid="{440A4DC6-611C-4153-B55A-1CEC8CA2A1B3}">
      <formula1>ValidList_G101</formula1>
    </dataValidation>
    <dataValidation type="list" allowBlank="1" showInputMessage="1" showErrorMessage="1" sqref="H101" xr:uid="{5F690163-4C30-4EDF-B259-0BD6E146E4BA}">
      <formula1>ValidList_H101</formula1>
    </dataValidation>
    <dataValidation type="list" allowBlank="1" showInputMessage="1" showErrorMessage="1" sqref="G102" xr:uid="{BA02C2FB-62AE-417B-A761-8BA1443EAEF2}">
      <formula1>ValidList_G102</formula1>
    </dataValidation>
    <dataValidation type="list" allowBlank="1" showInputMessage="1" showErrorMessage="1" sqref="G103" xr:uid="{FFE96BEA-029E-498B-B6BA-4C95E0B2EE5A}">
      <formula1>ValidList_G103</formula1>
    </dataValidation>
    <dataValidation type="list" allowBlank="1" showInputMessage="1" showErrorMessage="1" sqref="G104" xr:uid="{1A1FE2ED-F760-4369-AF2F-8945DBC5DFC4}">
      <formula1>ValidList_G104</formula1>
    </dataValidation>
    <dataValidation type="list" allowBlank="1" showInputMessage="1" showErrorMessage="1" sqref="H104" xr:uid="{9D284EA9-F050-4C95-9015-98810599B9C5}">
      <formula1>ValidList_H104</formula1>
    </dataValidation>
    <dataValidation type="list" allowBlank="1" showInputMessage="1" showErrorMessage="1" sqref="G105" xr:uid="{C622BB8D-0FE3-4E54-9F54-00591A1FFCE8}">
      <formula1>ValidList_G105</formula1>
    </dataValidation>
    <dataValidation type="list" allowBlank="1" showInputMessage="1" showErrorMessage="1" sqref="H105" xr:uid="{F9D9DF34-C790-4E45-B5B6-756A6C53A5E5}">
      <formula1>ValidList_H105</formula1>
    </dataValidation>
    <dataValidation type="list" allowBlank="1" showInputMessage="1" showErrorMessage="1" sqref="G106" xr:uid="{254C18D3-26F1-4603-85CA-4A472610E870}">
      <formula1>ValidList_G106</formula1>
    </dataValidation>
    <dataValidation type="list" allowBlank="1" showInputMessage="1" showErrorMessage="1" sqref="G107" xr:uid="{F676667B-2EED-42BF-B0C6-4DEDE0D2B71C}">
      <formula1>ValidList_G107</formula1>
    </dataValidation>
    <dataValidation type="list" allowBlank="1" showInputMessage="1" showErrorMessage="1" sqref="G108" xr:uid="{0DD4F872-7ADC-4882-942C-B01DF4A94FB1}">
      <formula1>ValidList_G108</formula1>
    </dataValidation>
    <dataValidation type="list" allowBlank="1" showInputMessage="1" showErrorMessage="1" sqref="G110" xr:uid="{D8B0BA27-04AD-46A5-AC7E-AB347F2EF708}">
      <formula1>ValidList_G110</formula1>
    </dataValidation>
    <dataValidation type="list" allowBlank="1" showInputMessage="1" showErrorMessage="1" sqref="G111" xr:uid="{2A652F9B-5E43-4948-9DAF-2DEA129EA42C}">
      <formula1>ValidList_G111</formula1>
    </dataValidation>
    <dataValidation type="list" allowBlank="1" showInputMessage="1" showErrorMessage="1" sqref="H111" xr:uid="{5AC265F3-11EB-44AC-ACB6-1CC0C14339B9}">
      <formula1>ValidList_H111</formula1>
    </dataValidation>
    <dataValidation type="list" allowBlank="1" showInputMessage="1" showErrorMessage="1" sqref="G112" xr:uid="{BEB30B0C-C703-462E-A5BE-0EE2358F3AA1}">
      <formula1>ValidList_G112</formula1>
    </dataValidation>
    <dataValidation type="list" allowBlank="1" showInputMessage="1" showErrorMessage="1" sqref="H112" xr:uid="{6E5ABF36-F1F6-4988-BACB-96740FCEDFE5}">
      <formula1>ValidList_H112</formula1>
    </dataValidation>
    <dataValidation type="list" allowBlank="1" showInputMessage="1" showErrorMessage="1" sqref="G114" xr:uid="{C8D1726C-BD18-459F-B4E9-09EF917B824D}">
      <formula1>ValidList_G114</formula1>
    </dataValidation>
    <dataValidation type="list" allowBlank="1" showInputMessage="1" showErrorMessage="1" sqref="G115" xr:uid="{A7703D7C-9D16-44E0-97B5-05C11EDE610E}">
      <formula1>ValidList_G115</formula1>
    </dataValidation>
    <dataValidation type="list" allowBlank="1" showInputMessage="1" showErrorMessage="1" sqref="G113" xr:uid="{1EA077C2-B8BE-47D3-AB85-D39232311C94}">
      <formula1>ValidList_G113</formula1>
    </dataValidation>
    <dataValidation type="list" allowBlank="1" showInputMessage="1" showErrorMessage="1" sqref="G116" xr:uid="{9EF64247-012C-4BCA-859F-2DE56C81C0DB}">
      <formula1>ValidList_G116</formula1>
    </dataValidation>
    <dataValidation type="list" allowBlank="1" showInputMessage="1" showErrorMessage="1" sqref="G117" xr:uid="{B64038B0-6D9B-426D-B718-AB94F217B161}">
      <formula1>ValidList_G117</formula1>
    </dataValidation>
    <dataValidation type="list" allowBlank="1" showInputMessage="1" showErrorMessage="1" sqref="G118" xr:uid="{AA83C208-2A87-4B13-BC28-FC8123143127}">
      <formula1>ValidList_G118</formula1>
    </dataValidation>
    <dataValidation type="list" allowBlank="1" showInputMessage="1" showErrorMessage="1" sqref="G119" xr:uid="{89069E77-BD8E-4D55-92C3-42CB33AD249C}">
      <formula1>ValidList_G119</formula1>
    </dataValidation>
    <dataValidation type="list" allowBlank="1" showInputMessage="1" showErrorMessage="1" sqref="H119" xr:uid="{044C1712-11F1-49F0-8854-14DA0777BA51}">
      <formula1>ValidList_H119</formula1>
    </dataValidation>
    <dataValidation type="list" allowBlank="1" showInputMessage="1" showErrorMessage="1" sqref="G121" xr:uid="{FD2626AC-CE36-480A-A4AF-D99D17B515E6}">
      <formula1>ValidList_G121</formula1>
    </dataValidation>
    <dataValidation type="list" allowBlank="1" showInputMessage="1" showErrorMessage="1" sqref="H121" xr:uid="{63DCDB1D-A23C-4147-A844-249326DB1A3F}">
      <formula1>ValidList_H121</formula1>
    </dataValidation>
    <dataValidation type="list" allowBlank="1" showInputMessage="1" showErrorMessage="1" sqref="G122" xr:uid="{8FB6D6EF-ADFC-46F3-9A85-5556E7C1F23B}">
      <formula1>ValidList_G122</formula1>
    </dataValidation>
    <dataValidation type="list" allowBlank="1" showInputMessage="1" showErrorMessage="1" sqref="G123" xr:uid="{B06779BE-C629-4D70-BE7A-984D26DFF586}">
      <formula1>ValidList_G123</formula1>
    </dataValidation>
    <dataValidation type="list" allowBlank="1" showInputMessage="1" showErrorMessage="1" sqref="H123" xr:uid="{B148D0AA-D5D7-4B68-87D6-8E24AD69F8B0}">
      <formula1>ValidList_H123</formula1>
    </dataValidation>
    <dataValidation type="list" allowBlank="1" showInputMessage="1" showErrorMessage="1" sqref="G124" xr:uid="{E90F70EE-CFC5-4318-839B-8427A4054606}">
      <formula1>ValidList_G124</formula1>
    </dataValidation>
    <dataValidation type="list" allowBlank="1" showInputMessage="1" showErrorMessage="1" sqref="H124" xr:uid="{D644CBB9-AEAC-4078-BC9E-98BB34148BC0}">
      <formula1>ValidList_H124</formula1>
    </dataValidation>
    <dataValidation type="list" allowBlank="1" showInputMessage="1" showErrorMessage="1" sqref="G126" xr:uid="{F3DBF337-54C5-4C4C-AB3D-8EB2AB5DFF0F}">
      <formula1>ValidList_G126</formula1>
    </dataValidation>
    <dataValidation type="list" allowBlank="1" showInputMessage="1" showErrorMessage="1" sqref="G127" xr:uid="{86E065DD-1B86-4232-8E5B-5E23A3EA5EA3}">
      <formula1>ValidList_G127</formula1>
    </dataValidation>
    <dataValidation type="list" allowBlank="1" showInputMessage="1" showErrorMessage="1" sqref="G128" xr:uid="{D38D6E14-4E70-4FD5-B2A8-68AC2332BAF1}">
      <formula1>ValidList_G128</formula1>
    </dataValidation>
    <dataValidation type="list" allowBlank="1" showInputMessage="1" showErrorMessage="1" sqref="H128" xr:uid="{80BA0267-14AF-42D6-A321-6DF39AC29A0C}">
      <formula1>ValidList_H128</formula1>
    </dataValidation>
    <dataValidation type="list" allowBlank="1" showInputMessage="1" showErrorMessage="1" sqref="G130" xr:uid="{62938686-C554-4459-9DD2-BFA7DC4A9865}">
      <formula1>ValidList_G130</formula1>
    </dataValidation>
    <dataValidation type="list" allowBlank="1" showInputMessage="1" showErrorMessage="1" sqref="G131" xr:uid="{889AD1CD-FF70-4DE9-B14C-99F6E8E97601}">
      <formula1>ValidList_G131</formula1>
    </dataValidation>
    <dataValidation type="list" allowBlank="1" showInputMessage="1" showErrorMessage="1" sqref="G135" xr:uid="{1E5975A9-AFEB-4F45-BA36-04CAA3C170E6}">
      <formula1>ValidList_G135</formula1>
    </dataValidation>
    <dataValidation type="list" allowBlank="1" showInputMessage="1" showErrorMessage="1" sqref="G136" xr:uid="{0ECAD1CD-0B7C-4FF4-8B34-DAF468BBEF67}">
      <formula1>ValidList_G136</formula1>
    </dataValidation>
    <dataValidation type="list" allowBlank="1" showInputMessage="1" showErrorMessage="1" sqref="H136" xr:uid="{7216C17C-DD5B-4250-8DDA-3DD79416CE21}">
      <formula1>ValidList_H136</formula1>
    </dataValidation>
    <dataValidation type="list" allowBlank="1" showInputMessage="1" showErrorMessage="1" sqref="G143" xr:uid="{89C100D0-5BCF-43E5-A174-A03CB026916E}">
      <formula1>ValidList_G143</formula1>
    </dataValidation>
    <dataValidation type="list" allowBlank="1" showInputMessage="1" showErrorMessage="1" sqref="G144" xr:uid="{D40DB92F-6F61-4488-A322-6AFAC042BA23}">
      <formula1>ValidList_G144</formula1>
    </dataValidation>
    <dataValidation type="list" allowBlank="1" showInputMessage="1" showErrorMessage="1" sqref="G145" xr:uid="{C73514DB-BFCF-4F9E-91EF-186FB144D5F2}">
      <formula1>ValidList_G145</formula1>
    </dataValidation>
    <dataValidation type="list" allowBlank="1" showInputMessage="1" showErrorMessage="1" sqref="G148" xr:uid="{1DEF75FE-8A14-416E-AD8C-894FD1159955}">
      <formula1>ValidList_G148</formula1>
    </dataValidation>
    <dataValidation type="list" allowBlank="1" showInputMessage="1" showErrorMessage="1" sqref="G149" xr:uid="{23515C23-5EE7-4FE6-AD5F-4A4D8A6E4F58}">
      <formula1>ValidList_G149</formula1>
    </dataValidation>
    <dataValidation type="list" allowBlank="1" showInputMessage="1" showErrorMessage="1" sqref="H149" xr:uid="{1012E713-AAE8-42EF-B21C-5AD442DCEE54}">
      <formula1>ValidList_H149</formula1>
    </dataValidation>
    <dataValidation type="list" allowBlank="1" showInputMessage="1" showErrorMessage="1" sqref="G150" xr:uid="{22AC46C0-2E25-41F3-A831-D5676AAD6B19}">
      <formula1>ValidList_G150</formula1>
    </dataValidation>
    <dataValidation type="list" allowBlank="1" showInputMessage="1" showErrorMessage="1" sqref="G151" xr:uid="{284D5EC5-5078-476D-8608-3ACCCA6CA0F1}">
      <formula1>ValidList_G151</formula1>
    </dataValidation>
    <dataValidation type="list" allowBlank="1" showInputMessage="1" showErrorMessage="1" sqref="H151" xr:uid="{F51ECAC6-962B-4103-944F-0D60249020B1}">
      <formula1>ValidList_H151</formula1>
    </dataValidation>
    <dataValidation type="list" allowBlank="1" showInputMessage="1" showErrorMessage="1" sqref="H127" xr:uid="{C1728F02-BEBC-4F6E-9EEC-CCFA4C692DEE}">
      <formula1>ValidList_H127</formula1>
    </dataValidation>
    <dataValidation type="list" allowBlank="1" showInputMessage="1" showErrorMessage="1" sqref="G153" xr:uid="{04444026-43A3-4FB9-B3D7-CFFC6986848B}">
      <formula1>ValidList_G153</formula1>
    </dataValidation>
    <dataValidation type="list" allowBlank="1" showInputMessage="1" showErrorMessage="1" sqref="G154" xr:uid="{D5B99F90-49EB-45B5-A257-86A7A214AB93}">
      <formula1>ValidList_G154</formula1>
    </dataValidation>
    <dataValidation type="list" allowBlank="1" showInputMessage="1" showErrorMessage="1" sqref="G156" xr:uid="{22C44BB6-242F-43EF-B2DB-9DBE94872B27}">
      <formula1>ValidList_G156</formula1>
    </dataValidation>
    <dataValidation type="list" allowBlank="1" showInputMessage="1" showErrorMessage="1" sqref="G157" xr:uid="{644538EF-95F9-4AF1-BD23-1BD595585885}">
      <formula1>ValidList_G157</formula1>
    </dataValidation>
    <dataValidation type="list" allowBlank="1" showInputMessage="1" showErrorMessage="1" sqref="H157" xr:uid="{E103532E-B60F-4721-A0D9-03423AC30AB2}">
      <formula1>ValidList_H157</formula1>
    </dataValidation>
    <dataValidation type="list" allowBlank="1" showInputMessage="1" showErrorMessage="1" sqref="G146" xr:uid="{6A953634-2088-4397-9E06-800F69FCFC41}">
      <formula1>ValidList_G146</formula1>
    </dataValidation>
    <dataValidation type="list" allowBlank="1" showInputMessage="1" showErrorMessage="1" sqref="G147 G185:G186 G199:G200 G249 G390" xr:uid="{ED2A2166-C884-401E-8926-4C5F38952F20}">
      <formula1>ValidList_G147</formula1>
    </dataValidation>
    <dataValidation type="list" allowBlank="1" showInputMessage="1" showErrorMessage="1" sqref="G155" xr:uid="{033F6197-CA0D-4A67-B6D4-A19CC8C4903F}">
      <formula1>ValidList_G155</formula1>
    </dataValidation>
    <dataValidation type="list" allowBlank="1" showInputMessage="1" showErrorMessage="1" sqref="G158" xr:uid="{8D04133B-E72E-4A40-BB56-AA99D9E25C68}">
      <formula1>ValidList_G158</formula1>
    </dataValidation>
    <dataValidation type="list" allowBlank="1" showInputMessage="1" showErrorMessage="1" sqref="G159" xr:uid="{D1F12CD7-16D1-4E7D-87EF-9B22C6DFD94E}">
      <formula1>ValidList_G159</formula1>
    </dataValidation>
    <dataValidation type="list" allowBlank="1" showInputMessage="1" showErrorMessage="1" sqref="G160" xr:uid="{7C19A7A9-A665-4A2F-B544-0F9063AD5009}">
      <formula1>ValidList_G160</formula1>
    </dataValidation>
    <dataValidation type="list" allowBlank="1" showInputMessage="1" showErrorMessage="1" sqref="G161" xr:uid="{124286C9-1267-4F8D-B965-92CD40F818C3}">
      <formula1>ValidList_G161</formula1>
    </dataValidation>
    <dataValidation type="list" allowBlank="1" showInputMessage="1" showErrorMessage="1" sqref="G162" xr:uid="{EF92CFD3-3C43-411E-97F4-0B6CAAF55C75}">
      <formula1>ValidList_G162</formula1>
    </dataValidation>
    <dataValidation type="list" allowBlank="1" showInputMessage="1" showErrorMessage="1" sqref="G163" xr:uid="{DCF8FE0A-BEB8-4C69-B3E9-B9584C9A7980}">
      <formula1>ValidList_G163</formula1>
    </dataValidation>
    <dataValidation type="list" allowBlank="1" showInputMessage="1" showErrorMessage="1" sqref="H164:H166 G164" xr:uid="{EBE5EAA5-CE9A-48DB-BD05-869DC21B83C7}">
      <formula1>ValidList_G164</formula1>
    </dataValidation>
    <dataValidation type="list" allowBlank="1" showInputMessage="1" showErrorMessage="1" sqref="G165" xr:uid="{A6FFAD67-DC18-497A-85B8-DE0D51C36757}">
      <formula1>ValidList_G165</formula1>
    </dataValidation>
    <dataValidation type="list" allowBlank="1" showInputMessage="1" showErrorMessage="1" sqref="G167" xr:uid="{78DF6E15-A183-431E-9F9B-77D6E5385514}">
      <formula1>ValidList_G167</formula1>
    </dataValidation>
    <dataValidation type="list" allowBlank="1" showInputMessage="1" showErrorMessage="1" sqref="G168" xr:uid="{7E959FBC-7079-41DF-B2A1-C1AA1733FC8F}">
      <formula1>ValidList_G168</formula1>
    </dataValidation>
    <dataValidation type="list" allowBlank="1" showInputMessage="1" showErrorMessage="1" sqref="H169" xr:uid="{721D41C1-B910-4164-8B1A-F93F4BBFD1AA}">
      <formula1>ValidList_H169</formula1>
    </dataValidation>
    <dataValidation type="list" allowBlank="1" showInputMessage="1" showErrorMessage="1" sqref="G174" xr:uid="{0D1A28E0-CDF6-4055-95C4-43B3617CA86E}">
      <formula1>ValidList_G174</formula1>
    </dataValidation>
    <dataValidation type="list" allowBlank="1" showInputMessage="1" showErrorMessage="1" sqref="H174" xr:uid="{22A3DA92-55C8-4B61-A9D2-F8A34D1CBAD1}">
      <formula1>ValidList_H174</formula1>
    </dataValidation>
    <dataValidation type="list" allowBlank="1" showInputMessage="1" showErrorMessage="1" sqref="G175" xr:uid="{84F68E81-362C-409E-BF2F-D91E52D89ADE}">
      <formula1>ValidList_G175</formula1>
    </dataValidation>
    <dataValidation type="list" allowBlank="1" showInputMessage="1" showErrorMessage="1" sqref="H175" xr:uid="{D24F0263-C423-4C50-B791-695F335D15A7}">
      <formula1>ValidList_H175</formula1>
    </dataValidation>
    <dataValidation type="list" allowBlank="1" showInputMessage="1" showErrorMessage="1" sqref="G176" xr:uid="{A55237DE-D40D-460B-AA48-BF532E084747}">
      <formula1>ValidList_G176</formula1>
    </dataValidation>
    <dataValidation type="list" allowBlank="1" showInputMessage="1" showErrorMessage="1" sqref="H176 H207" xr:uid="{48E1E1D6-C9BE-4837-A7C9-227D7A112475}">
      <formula1>ValidList_H176</formula1>
    </dataValidation>
    <dataValidation type="list" allowBlank="1" showInputMessage="1" showErrorMessage="1" sqref="G177" xr:uid="{C41E4315-3B2B-4E31-A51C-6C20F713E4E1}">
      <formula1>ValidList_G177</formula1>
    </dataValidation>
    <dataValidation type="list" allowBlank="1" showInputMessage="1" showErrorMessage="1" sqref="G179" xr:uid="{19BDB5A8-8962-4892-A0BA-75BFF37F5B30}">
      <formula1>ValidList_G179</formula1>
    </dataValidation>
    <dataValidation type="list" allowBlank="1" showInputMessage="1" showErrorMessage="1" sqref="G180" xr:uid="{69A50203-695E-4243-ADB2-1345D391C61E}">
      <formula1>ValidList_G180</formula1>
    </dataValidation>
    <dataValidation type="list" allowBlank="1" showInputMessage="1" showErrorMessage="1" sqref="G181" xr:uid="{565FA43F-9C08-4489-A9DE-2FCB159274B8}">
      <formula1>ValidList_G181</formula1>
    </dataValidation>
    <dataValidation type="list" allowBlank="1" showInputMessage="1" showErrorMessage="1" sqref="G182" xr:uid="{729CA777-495A-46CC-9D81-8766C84A86EF}">
      <formula1>ValidList_G182</formula1>
    </dataValidation>
    <dataValidation type="list" allowBlank="1" showInputMessage="1" showErrorMessage="1" sqref="H182" xr:uid="{BDE57DC4-3C38-4FB9-8F0E-9DF16158B42A}">
      <formula1>ValidList_H182</formula1>
    </dataValidation>
    <dataValidation type="list" allowBlank="1" showInputMessage="1" showErrorMessage="1" sqref="G183" xr:uid="{724CC886-D274-408E-BA64-F19227DB55C2}">
      <formula1>ValidList_G183</formula1>
    </dataValidation>
    <dataValidation type="list" allowBlank="1" showInputMessage="1" showErrorMessage="1" sqref="G184" xr:uid="{51A3B1FA-E6C0-45FF-B262-80245A40B16D}">
      <formula1>ValidList_G184</formula1>
    </dataValidation>
    <dataValidation type="list" allowBlank="1" showInputMessage="1" showErrorMessage="1" sqref="H184" xr:uid="{7A0462F8-D3B1-4767-A973-DC64F643AB2F}">
      <formula1>ValidList_H184</formula1>
    </dataValidation>
    <dataValidation type="list" allowBlank="1" showInputMessage="1" showErrorMessage="1" sqref="G166" xr:uid="{868EEC99-B75B-40E0-A05F-EE223FC26164}">
      <formula1>ValidList_G166</formula1>
    </dataValidation>
    <dataValidation type="list" allowBlank="1" showInputMessage="1" showErrorMessage="1" sqref="G187" xr:uid="{E0FE4F01-4569-405B-9498-A85563264142}">
      <formula1>ValidList_G187</formula1>
    </dataValidation>
    <dataValidation type="list" allowBlank="1" showInputMessage="1" showErrorMessage="1" sqref="H187" xr:uid="{E030E045-A9B6-4562-9303-811F61BFCD6A}">
      <formula1>ValidList_H187</formula1>
    </dataValidation>
    <dataValidation type="list" allowBlank="1" showInputMessage="1" showErrorMessage="1" sqref="G192" xr:uid="{0C4EBF73-D5B2-4D5A-B581-C54239D1D737}">
      <formula1>ValidList_G192</formula1>
    </dataValidation>
    <dataValidation type="list" allowBlank="1" showInputMessage="1" showErrorMessage="1" sqref="G193" xr:uid="{1C276DCE-4A76-464E-8821-1B8D3E8FC062}">
      <formula1>ValidList_G193</formula1>
    </dataValidation>
    <dataValidation type="list" allowBlank="1" showInputMessage="1" showErrorMessage="1" sqref="G195" xr:uid="{C58C85DA-FFEC-4F59-95F7-231E5F4B42B9}">
      <formula1>ValidList_G195</formula1>
    </dataValidation>
    <dataValidation type="list" allowBlank="1" showInputMessage="1" showErrorMessage="1" sqref="G196" xr:uid="{2F34EA28-E7A6-424C-832F-C9F43BC3B8D7}">
      <formula1>ValidList_G196</formula1>
    </dataValidation>
    <dataValidation type="list" allowBlank="1" showInputMessage="1" showErrorMessage="1" sqref="H196" xr:uid="{C8D49ACB-E842-4C6F-87DA-1AE6A7432D15}">
      <formula1>ValidList_H196</formula1>
    </dataValidation>
    <dataValidation type="list" allowBlank="1" showInputMessage="1" showErrorMessage="1" sqref="G197" xr:uid="{80B25D4D-9D44-4EE3-9FC6-1A1D946326F6}">
      <formula1>ValidList_G197</formula1>
    </dataValidation>
    <dataValidation type="list" allowBlank="1" showInputMessage="1" showErrorMessage="1" sqref="G194" xr:uid="{1AF98410-AE8C-4DCF-9205-DB278DEAFCDC}">
      <formula1>ValidList_G194</formula1>
    </dataValidation>
    <dataValidation type="list" allowBlank="1" showInputMessage="1" showErrorMessage="1" sqref="G198" xr:uid="{707B9C8B-1C40-4450-8C59-E6145762A864}">
      <formula1>ValidList_G198</formula1>
    </dataValidation>
    <dataValidation type="list" allowBlank="1" showInputMessage="1" showErrorMessage="1" sqref="H198" xr:uid="{9B7C0BCC-BC16-47E4-B045-1A0589B8C5F3}">
      <formula1>ValidList_H198</formula1>
    </dataValidation>
    <dataValidation type="list" allowBlank="1" showInputMessage="1" showErrorMessage="1" sqref="G202" xr:uid="{418F5B77-BEE1-4E08-9ACC-562113D620F7}">
      <formula1>ValidList_G202</formula1>
    </dataValidation>
    <dataValidation type="list" allowBlank="1" showInputMessage="1" showErrorMessage="1" sqref="G203" xr:uid="{91E0BC9B-A094-4614-9DA5-5EF91C1DF67F}">
      <formula1>ValidList_G203</formula1>
    </dataValidation>
    <dataValidation type="list" allowBlank="1" showInputMessage="1" showErrorMessage="1" sqref="G207" xr:uid="{01C9F09E-4AC6-41B2-AD68-99AA3794B7F5}">
      <formula1>ValidList_G207</formula1>
    </dataValidation>
    <dataValidation type="list" allowBlank="1" showInputMessage="1" showErrorMessage="1" sqref="G204" xr:uid="{1BDDAF02-0C43-49B3-BC77-88AD8A2E0393}">
      <formula1>ValidList_G204</formula1>
    </dataValidation>
    <dataValidation type="list" allowBlank="1" showInputMessage="1" showErrorMessage="1" sqref="H204" xr:uid="{44162477-713B-4625-8F06-898BC14D6360}">
      <formula1>ValidList_H204</formula1>
    </dataValidation>
    <dataValidation type="list" allowBlank="1" showInputMessage="1" showErrorMessage="1" sqref="G205" xr:uid="{7B5228EA-1756-40C6-887F-FB66DB4C23D5}">
      <formula1>ValidList_G205</formula1>
    </dataValidation>
    <dataValidation type="list" allowBlank="1" showInputMessage="1" showErrorMessage="1" sqref="H205" xr:uid="{8E218390-15A4-4553-9DDC-563DD0960223}">
      <formula1>ValidList_H205</formula1>
    </dataValidation>
    <dataValidation type="list" allowBlank="1" showInputMessage="1" showErrorMessage="1" sqref="G206" xr:uid="{C2A1F587-C543-4A11-BC2B-9E813EFD94AA}">
      <formula1>ValidList_G206</formula1>
    </dataValidation>
    <dataValidation type="list" allowBlank="1" showInputMessage="1" showErrorMessage="1" sqref="G208" xr:uid="{AFDD99B4-6C09-485C-A633-CB8E7E4FBE76}">
      <formula1>ValidList_G208</formula1>
    </dataValidation>
    <dataValidation type="list" allowBlank="1" showInputMessage="1" showErrorMessage="1" sqref="G210" xr:uid="{4DAEA23B-3964-4FF3-A6BA-BF55C4669696}">
      <formula1>ValidList_G210</formula1>
    </dataValidation>
    <dataValidation type="list" allowBlank="1" showInputMessage="1" showErrorMessage="1" sqref="G209" xr:uid="{81B53CF7-C274-46F2-BF0B-A0BC10FF0FA7}">
      <formula1>ValidList_G209</formula1>
    </dataValidation>
    <dataValidation type="list" allowBlank="1" showInputMessage="1" showErrorMessage="1" sqref="G216" xr:uid="{6E8C571E-9FA5-4E7C-8354-009639A757F8}">
      <formula1>ValidList_G216</formula1>
    </dataValidation>
    <dataValidation type="list" allowBlank="1" showInputMessage="1" showErrorMessage="1" sqref="G217" xr:uid="{3DDD8DEA-20A5-443B-83C4-F1792F883406}">
      <formula1>ValidList_G217</formula1>
    </dataValidation>
    <dataValidation type="list" allowBlank="1" showInputMessage="1" showErrorMessage="1" sqref="G218" xr:uid="{5A24B8B8-963E-433E-BAE5-85B2E9ECD13E}">
      <formula1>ValidList_G218</formula1>
    </dataValidation>
    <dataValidation type="list" allowBlank="1" showInputMessage="1" showErrorMessage="1" sqref="G219" xr:uid="{7552C082-6BA2-4F6F-8456-92B2661D84E6}">
      <formula1>ValidList_G219</formula1>
    </dataValidation>
    <dataValidation type="list" allowBlank="1" showInputMessage="1" showErrorMessage="1" sqref="G220" xr:uid="{F35EA006-4CEB-4C6F-9453-3EF84472F04E}">
      <formula1>ValidList_G220</formula1>
    </dataValidation>
    <dataValidation type="list" allowBlank="1" showInputMessage="1" showErrorMessage="1" sqref="G221" xr:uid="{7CDB873C-28A6-4895-83B9-81EF8329BB84}">
      <formula1>ValidList_G221</formula1>
    </dataValidation>
    <dataValidation type="list" allowBlank="1" showInputMessage="1" showErrorMessage="1" sqref="G222" xr:uid="{514D2349-161F-439C-99C0-CA4183679FEF}">
      <formula1>ValidList_G222</formula1>
    </dataValidation>
    <dataValidation type="list" allowBlank="1" showInputMessage="1" showErrorMessage="1" sqref="G223" xr:uid="{8ECEFDAA-E441-4881-AD5A-C5C02B72C0A5}">
      <formula1>ValidList_G223</formula1>
    </dataValidation>
    <dataValidation type="list" allowBlank="1" showInputMessage="1" showErrorMessage="1" sqref="G225" xr:uid="{99BAC415-D48A-4853-81C5-D1137FB2C65E}">
      <formula1>ValidList_G225</formula1>
    </dataValidation>
    <dataValidation type="list" allowBlank="1" showInputMessage="1" showErrorMessage="1" sqref="G226" xr:uid="{C96504F6-EA13-4E55-B863-7512B967C926}">
      <formula1>ValidList_G226</formula1>
    </dataValidation>
    <dataValidation type="list" allowBlank="1" showInputMessage="1" showErrorMessage="1" sqref="G235" xr:uid="{6C025E0F-5DEE-4C47-AC6B-34A0DDD7EDA6}">
      <formula1>ValidList_G235</formula1>
    </dataValidation>
    <dataValidation type="list" allowBlank="1" showInputMessage="1" showErrorMessage="1" sqref="G236" xr:uid="{AE4D9D24-5FCD-4744-9600-96D3D8A847C4}">
      <formula1>ValidList_G236</formula1>
    </dataValidation>
    <dataValidation type="list" allowBlank="1" showInputMessage="1" showErrorMessage="1" sqref="G238" xr:uid="{A983656A-877B-44B1-8C5E-F02DE86AF663}">
      <formula1>ValidList_G238</formula1>
    </dataValidation>
    <dataValidation type="list" allowBlank="1" showInputMessage="1" showErrorMessage="1" sqref="G239" xr:uid="{58821B9D-FC0D-4D8F-8F1F-68D68CA1A91F}">
      <formula1>ValidList_G239</formula1>
    </dataValidation>
    <dataValidation type="list" allowBlank="1" showInputMessage="1" showErrorMessage="1" sqref="G240" xr:uid="{4B71EBC9-D1E9-473C-9AE5-30601196C338}">
      <formula1>ValidList_G240</formula1>
    </dataValidation>
    <dataValidation type="list" allowBlank="1" showInputMessage="1" showErrorMessage="1" sqref="G241" xr:uid="{DA276030-4E81-431C-9BDF-20E867786326}">
      <formula1>ValidList_G241</formula1>
    </dataValidation>
    <dataValidation type="list" allowBlank="1" showInputMessage="1" showErrorMessage="1" sqref="G242" xr:uid="{AEBA8CE8-E61E-45BE-86CA-A6F8657A7FF2}">
      <formula1>ValidList_G242</formula1>
    </dataValidation>
    <dataValidation type="list" allowBlank="1" showInputMessage="1" showErrorMessage="1" sqref="G243" xr:uid="{7D2A82A7-B9BA-4022-83E9-38B767B4B252}">
      <formula1>ValidList_G243</formula1>
    </dataValidation>
    <dataValidation type="list" allowBlank="1" showInputMessage="1" showErrorMessage="1" sqref="G244" xr:uid="{39CAB047-B564-472B-AB68-85A4868FE476}">
      <formula1>ValidList_G244</formula1>
    </dataValidation>
    <dataValidation type="list" allowBlank="1" showInputMessage="1" showErrorMessage="1" sqref="G245" xr:uid="{6737FE60-470A-423F-A0B8-5D50FAA12721}">
      <formula1>ValidList_G245</formula1>
    </dataValidation>
    <dataValidation type="list" allowBlank="1" showInputMessage="1" showErrorMessage="1" sqref="G246" xr:uid="{3988CA97-B586-49E2-90D2-9E6F26BF990C}">
      <formula1>ValidList_G246</formula1>
    </dataValidation>
    <dataValidation type="list" allowBlank="1" showInputMessage="1" showErrorMessage="1" sqref="G247" xr:uid="{305E1FE2-6B24-47DC-8215-1847D2283F52}">
      <formula1>ValidList_G247</formula1>
    </dataValidation>
    <dataValidation type="list" allowBlank="1" showInputMessage="1" showErrorMessage="1" sqref="G248" xr:uid="{8FED5469-FC42-4F72-8D3C-E26FDC708344}">
      <formula1>ValidList_G248</formula1>
    </dataValidation>
    <dataValidation type="list" allowBlank="1" showInputMessage="1" showErrorMessage="1" sqref="G201" xr:uid="{50F7916D-F41C-4537-AC6C-A86B63DA582D}">
      <formula1>ValidList_G249</formula1>
    </dataValidation>
    <dataValidation type="list" allowBlank="1" showInputMessage="1" showErrorMessage="1" sqref="G253" xr:uid="{44001F9F-00A1-43A2-B0B3-2FFE589BB67F}">
      <formula1>ValidList_G253</formula1>
    </dataValidation>
    <dataValidation type="list" allowBlank="1" showInputMessage="1" showErrorMessage="1" sqref="G254" xr:uid="{6BD8554C-E70D-480A-9FA6-0C8B75214674}">
      <formula1>ValidList_G254</formula1>
    </dataValidation>
    <dataValidation type="list" allowBlank="1" showInputMessage="1" showErrorMessage="1" sqref="G268" xr:uid="{1D57075A-BC10-4760-AEAC-81D500CF4A58}">
      <formula1>ValidList_G268</formula1>
    </dataValidation>
    <dataValidation type="list" allowBlank="1" showInputMessage="1" showErrorMessage="1" sqref="G269" xr:uid="{B4E7E31D-8C04-4193-972F-18AA0E36B418}">
      <formula1>ValidList_G269</formula1>
    </dataValidation>
    <dataValidation type="list" allowBlank="1" showInputMessage="1" showErrorMessage="1" sqref="G270" xr:uid="{BF8E35B9-BFF3-41A4-847F-247A7DAD1156}">
      <formula1>ValidList_G270</formula1>
    </dataValidation>
    <dataValidation type="list" allowBlank="1" showInputMessage="1" showErrorMessage="1" sqref="G272" xr:uid="{727021CF-CE2A-474A-9F76-45E324813282}">
      <formula1>ValidList_G272</formula1>
    </dataValidation>
    <dataValidation type="list" allowBlank="1" showInputMessage="1" showErrorMessage="1" sqref="G273" xr:uid="{D83CB23F-1396-49D6-88C8-87A008B1A25A}">
      <formula1>ValidList_G273</formula1>
    </dataValidation>
    <dataValidation type="list" allowBlank="1" showInputMessage="1" showErrorMessage="1" sqref="G274" xr:uid="{86608C47-3CC6-41E9-B8B7-2467E5222CE3}">
      <formula1>ValidList_G274</formula1>
    </dataValidation>
    <dataValidation type="list" allowBlank="1" showInputMessage="1" showErrorMessage="1" sqref="G275" xr:uid="{0FF8230B-F24D-42B3-BE29-96EBB845CBF9}">
      <formula1>ValidList_G275</formula1>
    </dataValidation>
    <dataValidation type="list" allowBlank="1" showInputMessage="1" showErrorMessage="1" sqref="H275" xr:uid="{7BE4C799-7221-48C9-B76D-3C160870CDD8}">
      <formula1>ValidList_H275</formula1>
    </dataValidation>
    <dataValidation type="list" allowBlank="1" showInputMessage="1" showErrorMessage="1" sqref="G276" xr:uid="{A3A0CEF5-5D02-42EB-8121-7543612B1C38}">
      <formula1>ValidList_G276</formula1>
    </dataValidation>
    <dataValidation type="list" allowBlank="1" showInputMessage="1" showErrorMessage="1" sqref="H276" xr:uid="{19D7FA67-7A6D-43D1-88CD-4237A1F9A376}">
      <formula1>ValidList_H276</formula1>
    </dataValidation>
    <dataValidation type="list" allowBlank="1" showInputMessage="1" showErrorMessage="1" sqref="G280" xr:uid="{01A90F01-5C56-406B-AFC8-5D9A55915201}">
      <formula1>ValidList_G280</formula1>
    </dataValidation>
    <dataValidation type="list" allowBlank="1" showInputMessage="1" showErrorMessage="1" sqref="G282" xr:uid="{B9F6F086-FD1F-4F07-8881-9F0262F3C083}">
      <formula1>ValidList_G282</formula1>
    </dataValidation>
    <dataValidation type="list" allowBlank="1" showInputMessage="1" showErrorMessage="1" sqref="G283" xr:uid="{D7341625-5880-41B6-8E8E-EC8C2486F568}">
      <formula1>ValidList_G283</formula1>
    </dataValidation>
    <dataValidation type="list" allowBlank="1" showInputMessage="1" showErrorMessage="1" sqref="G284" xr:uid="{C7A79C92-3BEC-42CA-B6AF-0E2057399F7A}">
      <formula1>ValidList_G284</formula1>
    </dataValidation>
    <dataValidation type="list" allowBlank="1" showInputMessage="1" showErrorMessage="1" sqref="G285" xr:uid="{1CF24EB5-56F1-4A28-817A-E89EDC617BEC}">
      <formula1>ValidList_G285</formula1>
    </dataValidation>
    <dataValidation type="list" allowBlank="1" showInputMessage="1" showErrorMessage="1" sqref="G286" xr:uid="{75ECE33E-710E-43B4-BB4B-B939070AF502}">
      <formula1>ValidList_G286</formula1>
    </dataValidation>
    <dataValidation type="list" allowBlank="1" showInputMessage="1" showErrorMessage="1" sqref="G287" xr:uid="{2242DA06-D3FF-49CD-B687-C64EDF5C5D72}">
      <formula1>ValidList_G287</formula1>
    </dataValidation>
    <dataValidation type="list" allowBlank="1" showInputMessage="1" showErrorMessage="1" sqref="G292" xr:uid="{ADFFAB81-9AC2-4039-8E7A-AC4536EA5A97}">
      <formula1>ValidList_G292</formula1>
    </dataValidation>
    <dataValidation type="list" allowBlank="1" showInputMessage="1" showErrorMessage="1" sqref="G293" xr:uid="{41CC45A2-4626-4F85-8186-DB1B9BB9BB2A}">
      <formula1>ValidList_G293</formula1>
    </dataValidation>
    <dataValidation type="list" allowBlank="1" showInputMessage="1" showErrorMessage="1" sqref="G294" xr:uid="{5DAEEBF9-1639-45CD-BA69-2902E85F7695}">
      <formula1>ValidList_G294</formula1>
    </dataValidation>
    <dataValidation type="list" allowBlank="1" showInputMessage="1" showErrorMessage="1" sqref="G295" xr:uid="{96D6A4F6-0600-4C35-B75A-D0FCFAFBC607}">
      <formula1>ValidList_G295</formula1>
    </dataValidation>
    <dataValidation type="list" allowBlank="1" showInputMessage="1" showErrorMessage="1" sqref="H295" xr:uid="{681B8DC3-C8B5-469C-8C92-859A539699D5}">
      <formula1>ValidList_H295</formula1>
    </dataValidation>
    <dataValidation type="list" allowBlank="1" showInputMessage="1" showErrorMessage="1" sqref="G296" xr:uid="{616CCCFA-7E64-4D6A-900D-72D62549DD7B}">
      <formula1>ValidList_G296</formula1>
    </dataValidation>
    <dataValidation type="list" allowBlank="1" showInputMessage="1" showErrorMessage="1" sqref="G297" xr:uid="{8570D93A-F0B5-40BC-964F-A1E28DD6C4D0}">
      <formula1>ValidList_G297</formula1>
    </dataValidation>
    <dataValidation type="list" allowBlank="1" showInputMessage="1" showErrorMessage="1" sqref="H297" xr:uid="{B1B8E044-7B68-4367-A124-329B3B2FE689}">
      <formula1>ValidList_H297</formula1>
    </dataValidation>
    <dataValidation type="list" allowBlank="1" showInputMessage="1" showErrorMessage="1" sqref="G298" xr:uid="{2DFB9ECC-BDD7-48B0-A8DD-7974FDFAF337}">
      <formula1>ValidList_G298</formula1>
    </dataValidation>
    <dataValidation type="list" allowBlank="1" showInputMessage="1" showErrorMessage="1" sqref="H298" xr:uid="{6680F638-85B4-4F06-A1DA-DB4DA7DBF1CF}">
      <formula1>ValidList_H298</formula1>
    </dataValidation>
    <dataValidation type="list" allowBlank="1" showInputMessage="1" showErrorMessage="1" sqref="G299" xr:uid="{6F421702-34F7-464E-BB7B-EF89850E1A5D}">
      <formula1>ValidList_G299</formula1>
    </dataValidation>
    <dataValidation type="list" allowBlank="1" showInputMessage="1" showErrorMessage="1" sqref="G300" xr:uid="{67316368-4843-44DD-898E-144A237842F5}">
      <formula1>ValidList_G300</formula1>
    </dataValidation>
    <dataValidation type="list" allowBlank="1" showInputMessage="1" showErrorMessage="1" sqref="G301 G538" xr:uid="{D79D4CEB-D0DF-4FEE-A9EF-C5A3C10A7DC8}">
      <formula1>ValidList_G301</formula1>
    </dataValidation>
    <dataValidation type="list" allowBlank="1" showInputMessage="1" showErrorMessage="1" sqref="G302" xr:uid="{DB9958FE-9BD9-4F49-A1FA-458BFF6AFA67}">
      <formula1>ValidList_G302</formula1>
    </dataValidation>
    <dataValidation type="list" allowBlank="1" showInputMessage="1" showErrorMessage="1" sqref="H302" xr:uid="{D4438EF5-BBF0-437A-ADD5-0D16BE21D94A}">
      <formula1>ValidList_H302</formula1>
    </dataValidation>
    <dataValidation type="list" allowBlank="1" showInputMessage="1" showErrorMessage="1" sqref="G303" xr:uid="{52704DDE-BC11-4615-9749-2E0DC662F2CF}">
      <formula1>ValidList_G303</formula1>
    </dataValidation>
    <dataValidation type="list" allowBlank="1" showInputMessage="1" showErrorMessage="1" sqref="H303" xr:uid="{BCFC15FB-4570-4586-87AA-6D9A478F6AAE}">
      <formula1>ValidList_H303</formula1>
    </dataValidation>
    <dataValidation type="list" allowBlank="1" showInputMessage="1" showErrorMessage="1" sqref="G304" xr:uid="{C92452C8-B2D0-4E67-A6E9-390A2E15CF4D}">
      <formula1>ValidList_G304</formula1>
    </dataValidation>
    <dataValidation type="list" allowBlank="1" showInputMessage="1" showErrorMessage="1" sqref="H304" xr:uid="{77A76BAB-0492-45AF-B2C1-061952AECA40}">
      <formula1>ValidList_H304</formula1>
    </dataValidation>
    <dataValidation type="list" allowBlank="1" showInputMessage="1" showErrorMessage="1" sqref="G305" xr:uid="{EC07B82D-E86B-43B7-8666-481D769F226D}">
      <formula1>ValidList_G305</formula1>
    </dataValidation>
    <dataValidation type="list" allowBlank="1" showInputMessage="1" showErrorMessage="1" sqref="H305" xr:uid="{F3DA9E99-C611-4496-A5A7-0167B0935EA3}">
      <formula1>ValidList_H305</formula1>
    </dataValidation>
    <dataValidation type="list" allowBlank="1" showInputMessage="1" showErrorMessage="1" sqref="G306" xr:uid="{7FE0EEC5-4D24-4B1F-B460-670FA5CFDFD4}">
      <formula1>ValidList_G306</formula1>
    </dataValidation>
    <dataValidation type="list" allowBlank="1" showInputMessage="1" showErrorMessage="1" sqref="H306" xr:uid="{30AA010F-7B0F-4243-BE40-5CC410820F79}">
      <formula1>ValidList_H306</formula1>
    </dataValidation>
    <dataValidation type="list" allowBlank="1" showInputMessage="1" showErrorMessage="1" sqref="G310" xr:uid="{C0811CCC-A0B2-4D2D-B84E-958DC2DB3DF7}">
      <formula1>ValidList_G310</formula1>
    </dataValidation>
    <dataValidation type="list" allowBlank="1" showInputMessage="1" showErrorMessage="1" sqref="G311" xr:uid="{53119EBA-5A99-4370-8983-92B7EE33BFF9}">
      <formula1>ValidList_G311</formula1>
    </dataValidation>
    <dataValidation type="list" allowBlank="1" showInputMessage="1" showErrorMessage="1" sqref="H310" xr:uid="{A0BADD97-C1C3-4782-BC55-4C71C7F98075}">
      <formula1>ValidList_H310</formula1>
    </dataValidation>
    <dataValidation type="list" allowBlank="1" showInputMessage="1" showErrorMessage="1" sqref="G312" xr:uid="{F43FE29F-3600-4923-82E1-D51CE6D6AD7E}">
      <formula1>ValidList_G312</formula1>
    </dataValidation>
    <dataValidation type="list" allowBlank="1" showInputMessage="1" showErrorMessage="1" sqref="H312" xr:uid="{086FEC70-6E3C-4C70-987F-106D32727F33}">
      <formula1>ValidList_H312</formula1>
    </dataValidation>
    <dataValidation type="list" allowBlank="1" showInputMessage="1" showErrorMessage="1" sqref="G313" xr:uid="{E9D163A2-D33C-4BAD-9D68-B1404C12A3E3}">
      <formula1>ValidList_G313</formula1>
    </dataValidation>
    <dataValidation type="list" allowBlank="1" showInputMessage="1" showErrorMessage="1" sqref="G314" xr:uid="{80A4051E-7E0B-49CF-A200-9C6FA865CB6D}">
      <formula1>ValidList_G314</formula1>
    </dataValidation>
    <dataValidation type="list" allowBlank="1" showInputMessage="1" showErrorMessage="1" sqref="G315" xr:uid="{9BB39E00-78B8-4CFA-9402-52E85A6FF814}">
      <formula1>ValidList_G315</formula1>
    </dataValidation>
    <dataValidation type="list" allowBlank="1" showInputMessage="1" showErrorMessage="1" sqref="G316" xr:uid="{5859DC3D-EF95-4EAC-A6C8-6B6183D17ED2}">
      <formula1>ValidList_G316</formula1>
    </dataValidation>
    <dataValidation type="list" allowBlank="1" showInputMessage="1" showErrorMessage="1" sqref="G317" xr:uid="{AE08857B-80BF-4A0B-9E65-2EB17BF6073C}">
      <formula1>ValidList_G317</formula1>
    </dataValidation>
    <dataValidation type="list" allowBlank="1" showInputMessage="1" showErrorMessage="1" sqref="G320" xr:uid="{A91AF2A4-FF75-448A-BCA8-5DFC92C8251D}">
      <formula1>ValidList_G320</formula1>
    </dataValidation>
    <dataValidation type="list" allowBlank="1" showInputMessage="1" showErrorMessage="1" sqref="G318" xr:uid="{58CACA74-7C7E-417C-92C7-C679DD24FDA5}">
      <formula1>ValidList_G318</formula1>
    </dataValidation>
    <dataValidation type="list" allowBlank="1" showInputMessage="1" showErrorMessage="1" sqref="G319" xr:uid="{7852E9E9-CC8B-4D67-B3BD-0B84B01B575A}">
      <formula1>ValidList_G319</formula1>
    </dataValidation>
    <dataValidation type="list" allowBlank="1" showInputMessage="1" showErrorMessage="1" sqref="G321" xr:uid="{6DBBC7AA-470D-4246-93B2-B814A30AD4D1}">
      <formula1>ValidList_G321</formula1>
    </dataValidation>
    <dataValidation type="list" allowBlank="1" showInputMessage="1" showErrorMessage="1" sqref="G322" xr:uid="{80F97266-577D-41C1-9F62-7FF4194459F4}">
      <formula1>ValidList_G322</formula1>
    </dataValidation>
    <dataValidation type="list" allowBlank="1" showInputMessage="1" showErrorMessage="1" sqref="G325" xr:uid="{C5E73C01-FF91-4E7D-815D-9A1DA5429F9B}">
      <formula1>ValidList_G325</formula1>
    </dataValidation>
    <dataValidation type="list" allowBlank="1" showInputMessage="1" showErrorMessage="1" sqref="G327" xr:uid="{DFA0BEC9-68E4-4364-9279-AE493DF28B31}">
      <formula1>ValidList_G327</formula1>
    </dataValidation>
    <dataValidation type="list" allowBlank="1" showInputMessage="1" showErrorMessage="1" sqref="G328" xr:uid="{F04608B0-EFDC-4063-997D-A66B9CE8101E}">
      <formula1>ValidList_G328</formula1>
    </dataValidation>
    <dataValidation type="list" allowBlank="1" showInputMessage="1" showErrorMessage="1" sqref="H328" xr:uid="{30C36186-AE2D-4C1E-BFAE-D9EFE3975247}">
      <formula1>ValidList_H328</formula1>
    </dataValidation>
    <dataValidation type="list" allowBlank="1" showInputMessage="1" showErrorMessage="1" sqref="G329" xr:uid="{14790FB2-F319-4B3D-B0A1-301D18944A8B}">
      <formula1>ValidList_G329</formula1>
    </dataValidation>
    <dataValidation type="list" allowBlank="1" showInputMessage="1" showErrorMessage="1" sqref="G330" xr:uid="{D5A5EFEB-4E97-4BF8-900D-52BFA8B6473F}">
      <formula1>ValidList_G330</formula1>
    </dataValidation>
    <dataValidation type="list" allowBlank="1" showInputMessage="1" showErrorMessage="1" sqref="G332" xr:uid="{1A2F933F-74C0-4DFE-9FB4-A0C90336D5AB}">
      <formula1>ValidList_G332</formula1>
    </dataValidation>
    <dataValidation type="list" allowBlank="1" showInputMessage="1" showErrorMessage="1" sqref="G333" xr:uid="{AC60C561-2C88-43A7-B1D4-09053C0209C5}">
      <formula1>ValidList_G333</formula1>
    </dataValidation>
    <dataValidation type="list" allowBlank="1" showInputMessage="1" showErrorMessage="1" sqref="G335" xr:uid="{BC6FA2C1-F9DB-4D84-B99A-35D68A7AD755}">
      <formula1>ValidList_G335</formula1>
    </dataValidation>
    <dataValidation type="list" allowBlank="1" showInputMessage="1" showErrorMessage="1" sqref="G334" xr:uid="{83D1D311-2620-40E0-BF13-55E88FFBD6D8}">
      <formula1>ValidList_G334</formula1>
    </dataValidation>
    <dataValidation type="list" allowBlank="1" showInputMessage="1" showErrorMessage="1" sqref="H333 I1064 I1043 I1073 I1086 I1113" xr:uid="{3C077035-3A8A-42A5-9761-D67ABFD27AC7}">
      <formula1>DropdownList</formula1>
    </dataValidation>
    <dataValidation type="list" allowBlank="1" showInputMessage="1" showErrorMessage="1" sqref="W2:W335 W337:W1500" xr:uid="{1CEFFA66-47A0-49D6-B9F6-7E35167FE565}">
      <formula1>"Soumis,Refusé"</formula1>
    </dataValidation>
    <dataValidation type="list" allowBlank="1" showInputMessage="1" showErrorMessage="1" sqref="G340" xr:uid="{B73C722C-A98A-4E16-9DDD-41FD0C9C3CC5}">
      <formula1>ValidList_G340</formula1>
    </dataValidation>
    <dataValidation type="list" allowBlank="1" showInputMessage="1" showErrorMessage="1" sqref="G341" xr:uid="{B2B27AAD-0015-49BD-B5B9-FB6736B576EF}">
      <formula1>ValidList_G341</formula1>
    </dataValidation>
    <dataValidation type="list" allowBlank="1" showInputMessage="1" showErrorMessage="1" sqref="G342" xr:uid="{1D6143FC-5C08-4216-B6C8-581FB2004CD2}">
      <formula1>ValidList_G342</formula1>
    </dataValidation>
    <dataValidation type="list" allowBlank="1" showInputMessage="1" showErrorMessage="1" sqref="G331" xr:uid="{AC689805-BE47-4C64-B0EB-4667239F0DED}">
      <formula1>ValidList_G331</formula1>
    </dataValidation>
    <dataValidation type="list" allowBlank="1" showInputMessage="1" showErrorMessage="1" sqref="G346" xr:uid="{EAAB38AC-8CB7-421B-91B5-E137C85F1DE8}">
      <formula1>ValidList_G346</formula1>
    </dataValidation>
    <dataValidation type="list" allowBlank="1" showInputMessage="1" showErrorMessage="1" sqref="G347" xr:uid="{412E2DD4-CCFB-493E-ACE2-F1D59181CD88}">
      <formula1>ValidList_G347</formula1>
    </dataValidation>
    <dataValidation type="list" allowBlank="1" showInputMessage="1" showErrorMessage="1" sqref="H347" xr:uid="{3AC16A7D-2ECC-47CD-93C4-B45F09D97DA0}">
      <formula1>ValidList_H347</formula1>
    </dataValidation>
    <dataValidation type="list" allowBlank="1" showInputMessage="1" showErrorMessage="1" sqref="G348" xr:uid="{4284E5D5-0651-4038-8B12-23B9BF8A5079}">
      <formula1>ValidList_G348</formula1>
    </dataValidation>
    <dataValidation type="list" allowBlank="1" showInputMessage="1" showErrorMessage="1" sqref="G349" xr:uid="{0DDC4234-7A91-4A29-B8E2-E447458D63F9}">
      <formula1>ValidList_G349</formula1>
    </dataValidation>
    <dataValidation type="list" allowBlank="1" showInputMessage="1" showErrorMessage="1" sqref="G351" xr:uid="{02E8AF76-DA5F-4199-A618-CA74CD1B59FB}">
      <formula1>ValidList_G351</formula1>
    </dataValidation>
    <dataValidation type="list" allowBlank="1" showInputMessage="1" showErrorMessage="1" sqref="H351" xr:uid="{71EDA375-064B-4CEE-8671-C0E566674144}">
      <formula1>ValidList_H351</formula1>
    </dataValidation>
    <dataValidation type="list" allowBlank="1" showInputMessage="1" showErrorMessage="1" sqref="G337" xr:uid="{71924520-CF78-48FD-AD30-ACC199AF4ECC}">
      <formula1>ValidList_G337</formula1>
    </dataValidation>
    <dataValidation type="list" allowBlank="1" showInputMessage="1" showErrorMessage="1" sqref="G352" xr:uid="{C94D8798-552E-4883-941C-51AD41C48176}">
      <formula1>ValidList_G352</formula1>
    </dataValidation>
    <dataValidation type="list" allowBlank="1" showInputMessage="1" showErrorMessage="1" sqref="H352" xr:uid="{A8065DD0-25C1-4F57-8B0F-146504EADBF8}">
      <formula1>ValidList_H352</formula1>
    </dataValidation>
    <dataValidation type="list" allowBlank="1" showInputMessage="1" showErrorMessage="1" sqref="G353" xr:uid="{1905D7AD-73B9-4104-B552-9650F68B5F7B}">
      <formula1>ValidList_G353</formula1>
    </dataValidation>
    <dataValidation type="list" allowBlank="1" showInputMessage="1" showErrorMessage="1" sqref="H353" xr:uid="{9FA359AF-EB55-4742-86D6-1AC50E227656}">
      <formula1>ValidList_H353</formula1>
    </dataValidation>
    <dataValidation type="list" allowBlank="1" showInputMessage="1" showErrorMessage="1" sqref="G354" xr:uid="{680CA296-375B-456E-B576-F8D95E64E049}">
      <formula1>ValidList_G354</formula1>
    </dataValidation>
    <dataValidation type="list" allowBlank="1" showInputMessage="1" showErrorMessage="1" sqref="H354" xr:uid="{97D0631B-AE40-4493-BAAF-580A1DA605AB}">
      <formula1>ValidList_H354</formula1>
    </dataValidation>
    <dataValidation type="list" allowBlank="1" showInputMessage="1" showErrorMessage="1" sqref="G359" xr:uid="{5E13316B-D2D4-4927-92B5-648241A029F8}">
      <formula1>ValidList_G359</formula1>
    </dataValidation>
    <dataValidation type="list" allowBlank="1" showInputMessage="1" showErrorMessage="1" sqref="G355" xr:uid="{3D745D5E-08A7-41E9-BE49-ED2BCC1D3BC0}">
      <formula1>ValidList_G355</formula1>
    </dataValidation>
    <dataValidation type="list" allowBlank="1" showInputMessage="1" showErrorMessage="1" sqref="H355" xr:uid="{55650B3C-CFB8-469E-93E8-63833C7E3DD9}">
      <formula1>ValidList_H355</formula1>
    </dataValidation>
    <dataValidation type="list" allowBlank="1" showInputMessage="1" showErrorMessage="1" sqref="G356" xr:uid="{F8EC2FA2-9594-48FC-8E21-B4948853111C}">
      <formula1>ValidList_G356</formula1>
    </dataValidation>
    <dataValidation type="list" allowBlank="1" showInputMessage="1" showErrorMessage="1" sqref="G357" xr:uid="{8EF99801-B62C-4D96-B7CD-86BAD84C9ABD}">
      <formula1>ValidList_G357</formula1>
    </dataValidation>
    <dataValidation type="list" allowBlank="1" showInputMessage="1" showErrorMessage="1" sqref="G358" xr:uid="{E170AF5D-1131-4A87-9946-1A651E35B894}">
      <formula1>ValidList_G358</formula1>
    </dataValidation>
    <dataValidation type="list" allowBlank="1" showInputMessage="1" showErrorMessage="1" sqref="H358" xr:uid="{DFFBB2A6-404D-4C14-AF77-850518868AC1}">
      <formula1>ValidList_H358</formula1>
    </dataValidation>
    <dataValidation type="list" allowBlank="1" showInputMessage="1" showErrorMessage="1" sqref="G360" xr:uid="{8D1F278A-C750-4DEC-A2C2-C71FFEDC2F7A}">
      <formula1>ValidList_G360</formula1>
    </dataValidation>
    <dataValidation type="list" allowBlank="1" showInputMessage="1" showErrorMessage="1" sqref="G361" xr:uid="{14A21FE4-D35E-4FC7-AC6F-95076A5617FE}">
      <formula1>ValidList_G361</formula1>
    </dataValidation>
    <dataValidation type="list" allowBlank="1" showInputMessage="1" showErrorMessage="1" sqref="H361" xr:uid="{6ED75CA6-5F87-40A9-A6D7-379C7624A1BC}">
      <formula1>ValidList_H361</formula1>
    </dataValidation>
    <dataValidation type="list" allowBlank="1" showInputMessage="1" showErrorMessage="1" sqref="G362" xr:uid="{80868FA2-3C40-4100-904A-6049929F2185}">
      <formula1>ValidList_G362</formula1>
    </dataValidation>
    <dataValidation type="list" allowBlank="1" showInputMessage="1" showErrorMessage="1" sqref="G363" xr:uid="{A98A7098-27E9-4E03-8486-61A39C93D552}">
      <formula1>ValidList_G363</formula1>
    </dataValidation>
    <dataValidation type="list" allowBlank="1" showInputMessage="1" showErrorMessage="1" sqref="H363" xr:uid="{BCB15573-6DC9-448A-AF39-69419F74F24B}">
      <formula1>ValidList_H363</formula1>
    </dataValidation>
    <dataValidation type="list" allowBlank="1" showInputMessage="1" showErrorMessage="1" sqref="G365" xr:uid="{A46607FB-8601-4063-9107-C2CDC28C58B3}">
      <formula1>ValidList_G365</formula1>
    </dataValidation>
    <dataValidation type="list" allowBlank="1" showInputMessage="1" showErrorMessage="1" sqref="H365" xr:uid="{A0470DCB-0AAC-47CF-B1B3-2AFC87B04ED1}">
      <formula1>ValidList_H365</formula1>
    </dataValidation>
    <dataValidation type="list" allowBlank="1" showInputMessage="1" showErrorMessage="1" sqref="G366" xr:uid="{6058EFFF-C49B-484C-9C01-6FFCDB2EDD14}">
      <formula1>ValidList_G366</formula1>
    </dataValidation>
    <dataValidation type="list" allowBlank="1" showInputMessage="1" showErrorMessage="1" sqref="G367" xr:uid="{352E0031-F053-462E-9EA5-DC06E279BCF6}">
      <formula1>ValidList_G367</formula1>
    </dataValidation>
    <dataValidation type="list" allowBlank="1" showInputMessage="1" showErrorMessage="1" sqref="G364" xr:uid="{5B9F77DF-FCDA-4FC2-8CA0-7B99448DFE74}">
      <formula1>ValidList_G364</formula1>
    </dataValidation>
    <dataValidation type="list" allowBlank="1" showInputMessage="1" showErrorMessage="1" sqref="G370" xr:uid="{41691FE4-D06E-4483-A8B3-8C9A11FFF97B}">
      <formula1>ValidList_G370</formula1>
    </dataValidation>
    <dataValidation type="list" allowBlank="1" showInputMessage="1" showErrorMessage="1" sqref="G371" xr:uid="{5CA81F98-7A3D-454B-9425-521DDB30CDE9}">
      <formula1>ValidList_G371</formula1>
    </dataValidation>
    <dataValidation type="list" allowBlank="1" showInputMessage="1" showErrorMessage="1" sqref="G372" xr:uid="{BA4AF14C-B380-423C-8385-3F6997CEACB8}">
      <formula1>ValidList_G372</formula1>
    </dataValidation>
    <dataValidation type="list" allowBlank="1" showInputMessage="1" showErrorMessage="1" sqref="G373" xr:uid="{A15DCDCF-8F66-4D1B-A1E1-C87289A536B9}">
      <formula1>ValidList_G373</formula1>
    </dataValidation>
    <dataValidation type="list" allowBlank="1" showInputMessage="1" showErrorMessage="1" sqref="G374" xr:uid="{3EE80A63-4062-4441-BEA4-170B50905EEA}">
      <formula1>ValidList_G374</formula1>
    </dataValidation>
    <dataValidation type="list" allowBlank="1" showInputMessage="1" showErrorMessage="1" sqref="G375" xr:uid="{84B5704A-D9B1-485E-BC63-9C5A84EE5005}">
      <formula1>ValidList_G375</formula1>
    </dataValidation>
    <dataValidation type="list" allowBlank="1" showInputMessage="1" showErrorMessage="1" sqref="H380" xr:uid="{F075B380-2040-46EF-8D79-BF4A1971B77A}">
      <formula1>ValidList_H380</formula1>
    </dataValidation>
    <dataValidation type="list" allowBlank="1" showInputMessage="1" showErrorMessage="1" sqref="G381" xr:uid="{A1C5149C-7994-49B2-A4B7-88443C7240EE}">
      <formula1>ValidList_G381</formula1>
    </dataValidation>
    <dataValidation type="list" allowBlank="1" showInputMessage="1" showErrorMessage="1" sqref="H381" xr:uid="{A87EB44F-4622-44B9-BEC4-DB14E9347062}">
      <formula1>ValidList_H381</formula1>
    </dataValidation>
    <dataValidation type="list" allowBlank="1" showInputMessage="1" showErrorMessage="1" sqref="G382" xr:uid="{E91793A4-968B-4DBE-8CFE-1348B1CC3180}">
      <formula1>ValidList_G382</formula1>
    </dataValidation>
    <dataValidation type="list" allowBlank="1" showInputMessage="1" showErrorMessage="1" sqref="H382" xr:uid="{73D21960-63EA-48B6-8D85-DDEFC9B3B945}">
      <formula1>ValidList_H382</formula1>
    </dataValidation>
    <dataValidation type="list" allowBlank="1" showInputMessage="1" showErrorMessage="1" sqref="G384" xr:uid="{1A93F888-9334-4157-82A0-7D71198D7082}">
      <formula1>ValidList_G384</formula1>
    </dataValidation>
    <dataValidation type="list" allowBlank="1" showInputMessage="1" showErrorMessage="1" sqref="G385" xr:uid="{E6C32E4A-FA43-49B2-AAB9-EAF4BCC9AD4C}">
      <formula1>ValidList_G385</formula1>
    </dataValidation>
    <dataValidation type="list" allowBlank="1" showInputMessage="1" showErrorMessage="1" sqref="G387" xr:uid="{CD06F961-C80B-4D57-9DFF-F43F7A180250}">
      <formula1>ValidList_G387</formula1>
    </dataValidation>
    <dataValidation type="list" allowBlank="1" showInputMessage="1" showErrorMessage="1" sqref="G389" xr:uid="{E16AD103-F5D9-4083-A965-123FA9C42C73}">
      <formula1>ValidList_G389</formula1>
    </dataValidation>
    <dataValidation type="list" allowBlank="1" showInputMessage="1" showErrorMessage="1" sqref="H389" xr:uid="{F820A4B7-0E25-404D-8D11-6F62421CC469}">
      <formula1>ValidList_H389</formula1>
    </dataValidation>
    <dataValidation type="list" allowBlank="1" showInputMessage="1" showErrorMessage="1" sqref="G391" xr:uid="{09EAAC0E-CFAF-4067-8678-56E21735CAC3}">
      <formula1>ValidList_G391</formula1>
    </dataValidation>
    <dataValidation type="list" allowBlank="1" showInputMessage="1" showErrorMessage="1" sqref="G392" xr:uid="{CB2B5963-B907-4701-A5EE-63B534A620A3}">
      <formula1>ValidList_G392</formula1>
    </dataValidation>
    <dataValidation type="list" allowBlank="1" showInputMessage="1" showErrorMessage="1" sqref="H392" xr:uid="{74BFBA1A-63A9-406C-89FC-BC22CA3DE0F7}">
      <formula1>ValidList_H392</formula1>
    </dataValidation>
    <dataValidation type="list" allowBlank="1" showInputMessage="1" showErrorMessage="1" sqref="G393" xr:uid="{5B573B41-2F65-43F4-971D-C57D3D04E807}">
      <formula1>ValidList_G393</formula1>
    </dataValidation>
    <dataValidation type="list" allowBlank="1" showInputMessage="1" showErrorMessage="1" sqref="H393" xr:uid="{2364E70B-8939-4AFF-954A-96471ED77E6D}">
      <formula1>ValidList_H393</formula1>
    </dataValidation>
    <dataValidation type="list" allowBlank="1" showInputMessage="1" showErrorMessage="1" sqref="G394" xr:uid="{2C1B12D8-B60C-441A-8EB4-96484D5948E1}">
      <formula1>ValidList_G394</formula1>
    </dataValidation>
    <dataValidation type="list" allowBlank="1" showInputMessage="1" showErrorMessage="1" sqref="H394" xr:uid="{2D26A8DA-6470-4BF4-B62E-E07FA2B74802}">
      <formula1>ValidList_H394</formula1>
    </dataValidation>
    <dataValidation type="list" allowBlank="1" showInputMessage="1" showErrorMessage="1" sqref="G395" xr:uid="{8FAC2B18-929D-4CED-BA57-8ABBEB8C344F}">
      <formula1>ValidList_G395</formula1>
    </dataValidation>
    <dataValidation type="list" allowBlank="1" showInputMessage="1" showErrorMessage="1" sqref="H395" xr:uid="{945040F8-CBB5-47FC-AF50-2BD9505CB291}">
      <formula1>ValidList_H395</formula1>
    </dataValidation>
    <dataValidation type="list" allowBlank="1" showInputMessage="1" showErrorMessage="1" sqref="G396" xr:uid="{8C674B69-5955-48A8-B56F-ACC85D0F6147}">
      <formula1>ValidList_G396</formula1>
    </dataValidation>
    <dataValidation type="list" allowBlank="1" showInputMessage="1" showErrorMessage="1" sqref="H396" xr:uid="{2E7048F2-4F1A-4BCF-BBB3-B55395F5F1CD}">
      <formula1>ValidList_H396</formula1>
    </dataValidation>
    <dataValidation type="list" allowBlank="1" showInputMessage="1" showErrorMessage="1" sqref="G397" xr:uid="{92E12D4A-53FB-41A9-8F6B-8789E9BD88D2}">
      <formula1>ValidList_G397</formula1>
    </dataValidation>
    <dataValidation type="list" allowBlank="1" showInputMessage="1" showErrorMessage="1" sqref="G398" xr:uid="{E40A508A-86C7-4391-83CD-4919634CDA28}">
      <formula1>ValidList_G398</formula1>
    </dataValidation>
    <dataValidation type="list" allowBlank="1" showInputMessage="1" showErrorMessage="1" sqref="G399" xr:uid="{F2697698-114E-4191-B706-944D418D93D7}">
      <formula1>ValidList_G399</formula1>
    </dataValidation>
    <dataValidation type="list" allowBlank="1" showInputMessage="1" showErrorMessage="1" sqref="G400" xr:uid="{68AC911F-1BC8-4201-958A-FBACBBEC6B74}">
      <formula1>ValidList_G400</formula1>
    </dataValidation>
    <dataValidation type="list" allowBlank="1" showInputMessage="1" showErrorMessage="1" sqref="G401" xr:uid="{F98D6350-E7FF-4DA5-A985-9AFFED5E7B08}">
      <formula1>ValidList_G401</formula1>
    </dataValidation>
    <dataValidation type="list" allowBlank="1" showInputMessage="1" showErrorMessage="1" sqref="G402" xr:uid="{2104E5A4-EACC-4ADB-8EB7-1F3E75B617EF}">
      <formula1>ValidList_G402</formula1>
    </dataValidation>
    <dataValidation type="list" allowBlank="1" showInputMessage="1" showErrorMessage="1" sqref="G403" xr:uid="{C368BCFB-9792-484C-BDE1-5A50506241C0}">
      <formula1>ValidList_G403</formula1>
    </dataValidation>
    <dataValidation type="list" allowBlank="1" showInputMessage="1" showErrorMessage="1" sqref="G404" xr:uid="{ED1134BF-96B1-47ED-9F48-1524A53455EF}">
      <formula1>ValidList_G404</formula1>
    </dataValidation>
    <dataValidation type="list" allowBlank="1" showInputMessage="1" showErrorMessage="1" sqref="G408" xr:uid="{45D0742F-50C8-47D6-8226-D8CC44722FA2}">
      <formula1>ValidList_G408</formula1>
    </dataValidation>
    <dataValidation type="list" allowBlank="1" showInputMessage="1" showErrorMessage="1" sqref="G409" xr:uid="{D33AB23A-C3B9-44B2-A541-E9EFB2E7764B}">
      <formula1>ValidList_G409</formula1>
    </dataValidation>
    <dataValidation type="list" allowBlank="1" showInputMessage="1" showErrorMessage="1" sqref="H409" xr:uid="{5506095D-A74D-4505-B803-3CE4457D4102}">
      <formula1>ValidList_H409</formula1>
    </dataValidation>
    <dataValidation type="list" allowBlank="1" showInputMessage="1" showErrorMessage="1" sqref="G413" xr:uid="{C8939706-A228-4F78-A650-D7A875DBB0B7}">
      <formula1>ValidList_G413</formula1>
    </dataValidation>
    <dataValidation type="list" allowBlank="1" showInputMessage="1" showErrorMessage="1" sqref="G417" xr:uid="{166EE4F3-5385-4744-9BC4-7BFA7EBF4E16}">
      <formula1>ValidList_G417</formula1>
    </dataValidation>
    <dataValidation type="list" allowBlank="1" showInputMessage="1" showErrorMessage="1" sqref="G418" xr:uid="{DFF31F69-D71E-4333-8E83-4937880DEE90}">
      <formula1>ValidList_G418</formula1>
    </dataValidation>
    <dataValidation type="list" allowBlank="1" showInputMessage="1" showErrorMessage="1" sqref="H418" xr:uid="{688ED105-276E-4858-84FE-91CAC0E53159}">
      <formula1>ValidList_H418</formula1>
    </dataValidation>
    <dataValidation type="list" allowBlank="1" showInputMessage="1" showErrorMessage="1" sqref="G419" xr:uid="{84B15B1D-B22D-447C-A9AA-252A614C9C98}">
      <formula1>ValidList_G419</formula1>
    </dataValidation>
    <dataValidation type="list" allowBlank="1" showInputMessage="1" showErrorMessage="1" sqref="G420" xr:uid="{B32CEF1D-D73C-46A2-A973-BB4542AC49E8}">
      <formula1>ValidList_G420</formula1>
    </dataValidation>
    <dataValidation type="list" allowBlank="1" showInputMessage="1" showErrorMessage="1" sqref="H420" xr:uid="{577A3316-65BF-4332-A99A-20BA57B61A07}">
      <formula1>ValidList_H420</formula1>
    </dataValidation>
    <dataValidation type="list" allowBlank="1" showInputMessage="1" showErrorMessage="1" sqref="G425" xr:uid="{F64E4B34-E91F-4C24-BC39-471E883A2299}">
      <formula1>ValidList_G425</formula1>
    </dataValidation>
    <dataValidation type="list" allowBlank="1" showInputMessage="1" showErrorMessage="1" sqref="G426" xr:uid="{2D7649EC-8141-4EF1-A724-D1ADE1D4EF9A}">
      <formula1>ValidList_G426</formula1>
    </dataValidation>
    <dataValidation type="list" allowBlank="1" showInputMessage="1" showErrorMessage="1" sqref="G421" xr:uid="{D2C92D30-5CF4-4B29-8FD5-3B0F106DEB18}">
      <formula1>ValidList_G421</formula1>
    </dataValidation>
    <dataValidation type="list" allowBlank="1" showInputMessage="1" showErrorMessage="1" sqref="G429" xr:uid="{6EAFB955-7C8D-44A3-BC12-15DBDD122A9B}">
      <formula1>ValidList_G429</formula1>
    </dataValidation>
    <dataValidation type="list" allowBlank="1" showInputMessage="1" showErrorMessage="1" sqref="G430" xr:uid="{F7DFC482-E89F-40DD-A9A4-91BA866EBDAE}">
      <formula1>ValidList_G430</formula1>
    </dataValidation>
    <dataValidation type="list" allowBlank="1" showInputMessage="1" showErrorMessage="1" sqref="H430" xr:uid="{CF23327F-DFA7-420D-BCA9-570C15AD2433}">
      <formula1>ValidList_H430</formula1>
    </dataValidation>
    <dataValidation type="list" allowBlank="1" showInputMessage="1" showErrorMessage="1" sqref="G431 G590 G592" xr:uid="{F956772A-F128-410A-B048-6B4F4C149842}">
      <formula1>ValidList_G431</formula1>
    </dataValidation>
    <dataValidation type="list" allowBlank="1" showInputMessage="1" showErrorMessage="1" sqref="H431 H590" xr:uid="{EB477CB0-91E3-4AD5-B581-4DCF80ADD106}">
      <formula1>ValidList_H431</formula1>
    </dataValidation>
    <dataValidation type="list" allowBlank="1" showInputMessage="1" showErrorMessage="1" sqref="G432" xr:uid="{104487A0-2DAC-471B-B4B4-74D08E55D6C4}">
      <formula1>ValidList_G432</formula1>
    </dataValidation>
    <dataValidation type="list" allowBlank="1" showInputMessage="1" showErrorMessage="1" sqref="H432" xr:uid="{EF5FEEC4-2C7E-46C2-8E7B-8A82D1DF38D9}">
      <formula1>ValidList_H432</formula1>
    </dataValidation>
    <dataValidation type="list" allowBlank="1" showInputMessage="1" showErrorMessage="1" sqref="G433" xr:uid="{BDA70CDA-EE25-48BD-BDFF-901ACE0F7CE7}">
      <formula1>ValidList_G433</formula1>
    </dataValidation>
    <dataValidation type="list" allowBlank="1" showInputMessage="1" showErrorMessage="1" sqref="H433" xr:uid="{3E3FB6FC-8CB3-43AF-8132-FCF9D8739952}">
      <formula1>ValidList_H433</formula1>
    </dataValidation>
    <dataValidation type="list" allowBlank="1" showInputMessage="1" showErrorMessage="1" sqref="G428" xr:uid="{CF6944FF-532C-4679-9D6C-880749597D39}">
      <formula1>ValidList_G428</formula1>
    </dataValidation>
    <dataValidation type="list" allowBlank="1" showInputMessage="1" showErrorMessage="1" sqref="G436" xr:uid="{FA8978FE-058E-451B-888D-AAF8073858C3}">
      <formula1>ValidList_G436</formula1>
    </dataValidation>
    <dataValidation type="list" allowBlank="1" showInputMessage="1" showErrorMessage="1" sqref="G437" xr:uid="{5B9E7D59-E3CE-4E0E-8103-09261DBE6F33}">
      <formula1>ValidList_G437</formula1>
    </dataValidation>
    <dataValidation type="list" allowBlank="1" showInputMessage="1" showErrorMessage="1" sqref="G438" xr:uid="{EA19338F-5F3B-428B-B52C-9F308315965B}">
      <formula1>ValidList_G438</formula1>
    </dataValidation>
    <dataValidation type="list" allowBlank="1" showInputMessage="1" showErrorMessage="1" sqref="G439" xr:uid="{83EE0028-E2B1-493A-8CD5-642758995896}">
      <formula1>ValidList_G439</formula1>
    </dataValidation>
    <dataValidation type="list" allowBlank="1" showInputMessage="1" showErrorMessage="1" sqref="G440" xr:uid="{E23E141D-8BD4-412D-A01E-EF1832DB6B2F}">
      <formula1>ValidList_G440</formula1>
    </dataValidation>
    <dataValidation type="list" allowBlank="1" showInputMessage="1" showErrorMessage="1" sqref="G441" xr:uid="{6AB6F17B-ED5E-4DE5-9EFF-87EDEAAEAEAB}">
      <formula1>ValidList_G441</formula1>
    </dataValidation>
    <dataValidation type="list" allowBlank="1" showInputMessage="1" showErrorMessage="1" sqref="G442" xr:uid="{BB407256-FE0B-48F7-BA27-CCD573B81ACC}">
      <formula1>ValidList_G442</formula1>
    </dataValidation>
    <dataValidation type="list" allowBlank="1" showInputMessage="1" showErrorMessage="1" sqref="G443" xr:uid="{458A144F-CEB2-48C8-8B67-0A8804DDAACF}">
      <formula1>ValidList_G443</formula1>
    </dataValidation>
    <dataValidation type="list" allowBlank="1" showInputMessage="1" showErrorMessage="1" sqref="H443" xr:uid="{FB558D28-253A-4FB9-A083-0C68F58D2375}">
      <formula1>ValidList_H443</formula1>
    </dataValidation>
    <dataValidation type="list" allowBlank="1" showInputMessage="1" showErrorMessage="1" sqref="G444" xr:uid="{D6C84C66-F591-48DC-99DC-956A13522F87}">
      <formula1>ValidList_G444</formula1>
    </dataValidation>
    <dataValidation type="list" allowBlank="1" showInputMessage="1" showErrorMessage="1" sqref="G445" xr:uid="{88C20505-9D94-481C-AC90-9F03AEFFB585}">
      <formula1>ValidList_G445</formula1>
    </dataValidation>
    <dataValidation type="list" allowBlank="1" showInputMessage="1" showErrorMessage="1" sqref="H445" xr:uid="{3FC5DA0E-7F04-4CA4-A77F-721B88EE68B5}">
      <formula1>ValidList_H445</formula1>
    </dataValidation>
    <dataValidation type="list" allowBlank="1" showInputMessage="1" showErrorMessage="1" sqref="G446" xr:uid="{88C69E2C-7934-4491-A392-785FC1F785EE}">
      <formula1>ValidList_G446</formula1>
    </dataValidation>
    <dataValidation type="list" allowBlank="1" showInputMessage="1" showErrorMessage="1" sqref="G447" xr:uid="{A2AFE297-5740-43C7-B13E-785F8DA2202C}">
      <formula1>ValidList_G447</formula1>
    </dataValidation>
    <dataValidation type="list" allowBlank="1" showInputMessage="1" showErrorMessage="1" sqref="G448" xr:uid="{A8874900-B153-44D5-AE0E-0E3B57DEFC8F}">
      <formula1>ValidList_G448</formula1>
    </dataValidation>
    <dataValidation type="list" allowBlank="1" showInputMessage="1" showErrorMessage="1" sqref="H448" xr:uid="{4A6F2EDA-8A4F-44E8-93E0-FA43518C5117}">
      <formula1>ValidList_H448</formula1>
    </dataValidation>
    <dataValidation type="list" allowBlank="1" showInputMessage="1" showErrorMessage="1" sqref="G451" xr:uid="{DDC9D175-1D4D-45DB-9F95-4DD7AC033722}">
      <formula1>ValidList_G451</formula1>
    </dataValidation>
    <dataValidation type="list" allowBlank="1" showInputMessage="1" showErrorMessage="1" sqref="H451" xr:uid="{E0E7601B-42A2-4D94-8F53-6233BCA40147}">
      <formula1>ValidList_H451</formula1>
    </dataValidation>
    <dataValidation type="list" allowBlank="1" showInputMessage="1" showErrorMessage="1" sqref="G452" xr:uid="{764836B3-25AF-42D2-AC70-754FE928B720}">
      <formula1>ValidList_G452</formula1>
    </dataValidation>
    <dataValidation type="list" allowBlank="1" showInputMessage="1" showErrorMessage="1" sqref="H452" xr:uid="{61D7A125-D976-4C53-9400-B13D771D6AFD}">
      <formula1>ValidList_H452</formula1>
    </dataValidation>
    <dataValidation type="list" allowBlank="1" showInputMessage="1" showErrorMessage="1" sqref="G455" xr:uid="{0F95F968-CE34-41C7-9E44-A66F0FD99B4E}">
      <formula1>ValidList_G455</formula1>
    </dataValidation>
    <dataValidation type="list" allowBlank="1" showInputMessage="1" showErrorMessage="1" sqref="G454" xr:uid="{E7F57795-A671-42FB-9365-8AE6076B838B}">
      <formula1>ValidList_G454</formula1>
    </dataValidation>
    <dataValidation type="list" allowBlank="1" showInputMessage="1" showErrorMessage="1" sqref="H454" xr:uid="{5A7E2A5A-701F-401D-9D77-BBCD38CD8D12}">
      <formula1>ValidList_H454</formula1>
    </dataValidation>
    <dataValidation type="list" allowBlank="1" showInputMessage="1" showErrorMessage="1" sqref="G456" xr:uid="{DFC82747-67BB-4800-B6BA-578C03B7AAB5}">
      <formula1>ValidList_G456</formula1>
    </dataValidation>
    <dataValidation type="list" allowBlank="1" showInputMessage="1" showErrorMessage="1" sqref="H456" xr:uid="{FA2BDD8C-0082-4FB6-AD5D-BB5D6BBF18C1}">
      <formula1>ValidList_H456</formula1>
    </dataValidation>
    <dataValidation type="list" allowBlank="1" showInputMessage="1" showErrorMessage="1" sqref="G458" xr:uid="{8A07C084-4A54-4AFD-8344-C11E9D9E16E4}">
      <formula1>ValidList_G458</formula1>
    </dataValidation>
    <dataValidation type="list" allowBlank="1" showInputMessage="1" showErrorMessage="1" sqref="H458" xr:uid="{1A2E2868-1742-4B3F-A7CB-58D9F7B70160}">
      <formula1>ValidList_H458</formula1>
    </dataValidation>
    <dataValidation type="list" allowBlank="1" showInputMessage="1" showErrorMessage="1" sqref="G457" xr:uid="{143688E8-328D-4D9E-9A2B-94F328A5969E}">
      <formula1>ValidList_G457</formula1>
    </dataValidation>
    <dataValidation type="list" allowBlank="1" showInputMessage="1" showErrorMessage="1" sqref="H457" xr:uid="{F5CC77C5-C765-4876-86BF-0A21CF7511FE}">
      <formula1>ValidList_H457</formula1>
    </dataValidation>
    <dataValidation type="list" allowBlank="1" showInputMessage="1" showErrorMessage="1" sqref="G459" xr:uid="{41E750BB-D135-4AC6-A66F-2C020992B808}">
      <formula1>ValidList_G459</formula1>
    </dataValidation>
    <dataValidation type="list" allowBlank="1" showInputMessage="1" showErrorMessage="1" sqref="H459" xr:uid="{3B20E661-75D7-46FB-9556-8C54A3DE7892}">
      <formula1>ValidList_H459</formula1>
    </dataValidation>
    <dataValidation type="list" allowBlank="1" showInputMessage="1" showErrorMessage="1" sqref="G460" xr:uid="{8003F189-9C64-431F-A53D-C40604B61701}">
      <formula1>ValidList_G460</formula1>
    </dataValidation>
    <dataValidation type="list" allowBlank="1" showInputMessage="1" showErrorMessage="1" sqref="G461" xr:uid="{2BF9467E-3CD6-48A5-897D-A8FC2C0E0604}">
      <formula1>ValidList_G461</formula1>
    </dataValidation>
    <dataValidation type="list" allowBlank="1" showInputMessage="1" showErrorMessage="1" sqref="H461" xr:uid="{0D850EDF-FE88-4770-AC57-061D98CF3800}">
      <formula1>ValidList_H461</formula1>
    </dataValidation>
    <dataValidation type="list" allowBlank="1" showInputMessage="1" showErrorMessage="1" sqref="G462" xr:uid="{1CE1FB00-9C2B-4C2F-8651-BCF757EFA271}">
      <formula1>ValidList_G462</formula1>
    </dataValidation>
    <dataValidation type="list" allowBlank="1" showInputMessage="1" showErrorMessage="1" sqref="H462" xr:uid="{20712600-8ACA-4B88-A3EA-9EF5F13B9D9D}">
      <formula1>ValidList_H462</formula1>
    </dataValidation>
    <dataValidation type="list" allowBlank="1" showInputMessage="1" showErrorMessage="1" sqref="G463 G497:G498" xr:uid="{0D171FF0-1D6C-4970-A29B-212342989D5B}">
      <formula1>ValidList_G463</formula1>
    </dataValidation>
    <dataValidation type="list" allowBlank="1" showInputMessage="1" showErrorMessage="1" sqref="G465" xr:uid="{148071EF-B066-4122-813B-DEAD0F404177}">
      <formula1>ValidList_G465</formula1>
    </dataValidation>
    <dataValidation type="list" allowBlank="1" showInputMessage="1" showErrorMessage="1" sqref="H465" xr:uid="{7612AF96-0F2F-4F3E-A971-CA198DF8EB08}">
      <formula1>ValidList_H465</formula1>
    </dataValidation>
    <dataValidation type="list" allowBlank="1" showInputMessage="1" showErrorMessage="1" sqref="G466" xr:uid="{24DA2C85-539F-4694-9E6E-DC43BCD23D02}">
      <formula1>ValidList_G466</formula1>
    </dataValidation>
    <dataValidation type="list" allowBlank="1" showInputMessage="1" showErrorMessage="1" sqref="G467" xr:uid="{3F68A3BC-F1CD-49BB-B7B2-6E70712056B2}">
      <formula1>ValidList_G467</formula1>
    </dataValidation>
    <dataValidation type="list" allowBlank="1" showInputMessage="1" showErrorMessage="1" sqref="H467" xr:uid="{39828F31-0F39-473E-B347-8B010CC3845C}">
      <formula1>ValidList_H467</formula1>
    </dataValidation>
    <dataValidation type="list" allowBlank="1" showInputMessage="1" showErrorMessage="1" sqref="G468" xr:uid="{392125D3-4159-41AA-ABDD-4E539FDC91CE}">
      <formula1>ValidList_G468</formula1>
    </dataValidation>
    <dataValidation type="list" allowBlank="1" showInputMessage="1" showErrorMessage="1" sqref="H468" xr:uid="{76F5811A-E47E-4454-8314-46AA545BD72B}">
      <formula1>ValidList_H468</formula1>
    </dataValidation>
    <dataValidation type="list" allowBlank="1" showInputMessage="1" showErrorMessage="1" sqref="G469" xr:uid="{7A2392BC-A992-46CB-994F-05133FA0EA0B}">
      <formula1>ValidList_G469</formula1>
    </dataValidation>
    <dataValidation type="list" allowBlank="1" showInputMessage="1" showErrorMessage="1" sqref="H469" xr:uid="{2A30FB3F-D1E4-4999-A6C6-9210AD56A918}">
      <formula1>ValidList_H469</formula1>
    </dataValidation>
    <dataValidation type="list" allowBlank="1" showInputMessage="1" showErrorMessage="1" sqref="G470" xr:uid="{67CAFB7C-BA84-4621-9A9D-1A38C3C44038}">
      <formula1>ValidList_G470</formula1>
    </dataValidation>
    <dataValidation type="list" allowBlank="1" showInputMessage="1" showErrorMessage="1" sqref="G472" xr:uid="{762122E7-5271-4195-8B63-58757C49FC14}">
      <formula1>ValidList_G472</formula1>
    </dataValidation>
    <dataValidation type="list" allowBlank="1" showInputMessage="1" showErrorMessage="1" sqref="G473" xr:uid="{5E2A72E8-1ADA-4EC1-8586-04D590213CC7}">
      <formula1>ValidList_G473</formula1>
    </dataValidation>
    <dataValidation type="list" allowBlank="1" showInputMessage="1" showErrorMessage="1" sqref="G475" xr:uid="{15ED2A3B-B233-4457-9195-D4B9EA0AE82C}">
      <formula1>ValidList_G475</formula1>
    </dataValidation>
    <dataValidation type="list" allowBlank="1" showInputMessage="1" showErrorMessage="1" sqref="G471" xr:uid="{40F67720-583A-4120-AA3B-1657B5E7EDA1}">
      <formula1>ValidList_G471</formula1>
    </dataValidation>
    <dataValidation type="list" allowBlank="1" showInputMessage="1" showErrorMessage="1" sqref="G476" xr:uid="{03B00967-4333-4BB9-82E3-248598E20833}">
      <formula1>ValidList_G476</formula1>
    </dataValidation>
    <dataValidation type="list" allowBlank="1" showInputMessage="1" showErrorMessage="1" sqref="G477" xr:uid="{9170CCB7-A528-4EFB-BFBB-0070BB92B138}">
      <formula1>ValidList_G477</formula1>
    </dataValidation>
    <dataValidation type="list" allowBlank="1" showInputMessage="1" showErrorMessage="1" sqref="H477" xr:uid="{2B4C1BA5-005E-4AB0-973D-DAF44A73C2FA}">
      <formula1>ValidList_H477</formula1>
    </dataValidation>
    <dataValidation type="list" allowBlank="1" showInputMessage="1" showErrorMessage="1" sqref="G478" xr:uid="{ED7488AB-7367-4172-869E-3439FAE4E608}">
      <formula1>ValidList_G478</formula1>
    </dataValidation>
    <dataValidation type="list" allowBlank="1" showInputMessage="1" showErrorMessage="1" sqref="G479" xr:uid="{6C1F91DF-4323-4951-B2AC-231FD320FF6F}">
      <formula1>ValidList_G479</formula1>
    </dataValidation>
    <dataValidation type="list" allowBlank="1" showInputMessage="1" showErrorMessage="1" sqref="G480" xr:uid="{B8E3D287-7DC4-4ED2-946B-F9DC9FE82053}">
      <formula1>ValidList_G480</formula1>
    </dataValidation>
    <dataValidation type="list" allowBlank="1" showInputMessage="1" showErrorMessage="1" sqref="G481" xr:uid="{50E7B261-1D1D-473C-9D80-32E812297A51}">
      <formula1>ValidList_G481</formula1>
    </dataValidation>
    <dataValidation type="list" allowBlank="1" showInputMessage="1" showErrorMessage="1" sqref="G483" xr:uid="{ED2391DB-C5FA-4A7F-B98B-0DB3B20020C4}">
      <formula1>ValidList_G483</formula1>
    </dataValidation>
    <dataValidation type="list" allowBlank="1" showInputMessage="1" showErrorMessage="1" sqref="H483" xr:uid="{F6F636B5-0BA6-4F54-8665-F38CD0BE37E8}">
      <formula1>ValidList_H483</formula1>
    </dataValidation>
    <dataValidation type="list" allowBlank="1" showInputMessage="1" showErrorMessage="1" sqref="G484" xr:uid="{DC650271-1BBE-440F-B7DE-24326DA3959C}">
      <formula1>ValidList_G484</formula1>
    </dataValidation>
    <dataValidation type="list" allowBlank="1" showInputMessage="1" showErrorMessage="1" sqref="G486" xr:uid="{B78FDB0B-4CAC-45E0-B40F-B575DAFDB79C}">
      <formula1>ValidList_G486</formula1>
    </dataValidation>
    <dataValidation type="list" allowBlank="1" showInputMessage="1" showErrorMessage="1" sqref="H486" xr:uid="{BAE946AA-FA0D-45CA-8361-99D853E31DD7}">
      <formula1>ValidList_H486</formula1>
    </dataValidation>
    <dataValidation type="list" allowBlank="1" showInputMessage="1" showErrorMessage="1" sqref="G487 G759" xr:uid="{265D91C7-D548-4037-AC66-B21AD6E18CFD}">
      <formula1>ValidList_G487</formula1>
    </dataValidation>
    <dataValidation type="list" allowBlank="1" showInputMessage="1" showErrorMessage="1" sqref="G490" xr:uid="{10AEA29E-C331-4D61-864E-7FF940379E12}">
      <formula1>ValidList_G490</formula1>
    </dataValidation>
    <dataValidation type="list" allowBlank="1" showInputMessage="1" showErrorMessage="1" sqref="G491" xr:uid="{2E5B6156-6508-4240-B1A0-62C9626FB6D5}">
      <formula1>ValidList_G491</formula1>
    </dataValidation>
    <dataValidation type="list" allowBlank="1" showInputMessage="1" showErrorMessage="1" sqref="G496" xr:uid="{10FCA1CF-27EC-4533-A83B-4948A2A173B2}">
      <formula1>ValidList_G496</formula1>
    </dataValidation>
    <dataValidation type="list" allowBlank="1" showInputMessage="1" showErrorMessage="1" sqref="G499" xr:uid="{BB001501-8825-4689-86F2-D2DBDED92795}">
      <formula1>ValidList_G499</formula1>
    </dataValidation>
    <dataValidation type="list" allowBlank="1" showInputMessage="1" showErrorMessage="1" sqref="G502" xr:uid="{CA417E2E-6996-4B9C-A428-25A4A4DF5312}">
      <formula1>ValidList_G502</formula1>
    </dataValidation>
    <dataValidation type="list" allowBlank="1" showInputMessage="1" showErrorMessage="1" sqref="G507" xr:uid="{A2685086-1696-4299-A9EB-7449DF41173D}">
      <formula1>ValidList_G507</formula1>
    </dataValidation>
    <dataValidation type="list" allowBlank="1" showInputMessage="1" showErrorMessage="1" sqref="G508" xr:uid="{79DEDAD0-8AF8-4535-B539-5F1268561250}">
      <formula1>ValidList_G508</formula1>
    </dataValidation>
    <dataValidation type="list" allowBlank="1" showInputMessage="1" showErrorMessage="1" sqref="G509" xr:uid="{09D52FB9-8928-480B-9445-E19D0C535242}">
      <formula1>ValidList_G509</formula1>
    </dataValidation>
    <dataValidation type="list" allowBlank="1" showInputMessage="1" showErrorMessage="1" sqref="G510" xr:uid="{5B0F5580-E86D-4807-963A-AF20638A6E49}">
      <formula1>ValidList_G510</formula1>
    </dataValidation>
    <dataValidation type="list" allowBlank="1" showInputMessage="1" showErrorMessage="1" sqref="G511" xr:uid="{A3D5BB16-9774-4883-A9F5-A9AC531B75E9}">
      <formula1>ValidList_G511</formula1>
    </dataValidation>
    <dataValidation type="list" allowBlank="1" showInputMessage="1" showErrorMessage="1" sqref="H511" xr:uid="{1D274844-4EEE-40E5-B6FB-183530CB2658}">
      <formula1>ValidList_H511</formula1>
    </dataValidation>
    <dataValidation type="list" allowBlank="1" showInputMessage="1" showErrorMessage="1" sqref="G512" xr:uid="{6AF5ECFC-60E6-4968-969B-C2AA68EDC00E}">
      <formula1>ValidList_G512</formula1>
    </dataValidation>
    <dataValidation type="list" allowBlank="1" showInputMessage="1" showErrorMessage="1" sqref="G513" xr:uid="{297123FA-6F05-4A8E-89E1-69348A5C1FC8}">
      <formula1>ValidList_G513</formula1>
    </dataValidation>
    <dataValidation type="list" allowBlank="1" showInputMessage="1" showErrorMessage="1" sqref="G515" xr:uid="{E66E5035-626F-428D-BA1F-F9B548419255}">
      <formula1>ValidList_G515</formula1>
    </dataValidation>
    <dataValidation type="list" allowBlank="1" showInputMessage="1" showErrorMessage="1" sqref="G503" xr:uid="{51FC5EFC-BC0C-4261-BFF4-D56DF9CAC3C2}">
      <formula1>ValidList_G503</formula1>
    </dataValidation>
    <dataValidation type="list" allowBlank="1" showInputMessage="1" showErrorMessage="1" sqref="G516" xr:uid="{2FE3C6CB-E662-431E-AC22-84C84938E7BE}">
      <formula1>ValidList_G516</formula1>
    </dataValidation>
    <dataValidation type="list" allowBlank="1" showInputMessage="1" showErrorMessage="1" sqref="G517" xr:uid="{81DD2B6F-0E3A-4DF6-9B11-C4A1A1DC155B}">
      <formula1>ValidList_G517</formula1>
    </dataValidation>
    <dataValidation type="list" allowBlank="1" showInputMessage="1" showErrorMessage="1" sqref="H517" xr:uid="{CC481519-EA3F-4D1C-BCCC-D58FEDFCA0EC}">
      <formula1>ValidList_H517</formula1>
    </dataValidation>
    <dataValidation type="list" allowBlank="1" showInputMessage="1" showErrorMessage="1" sqref="G489" xr:uid="{6D17B7D4-78C6-4B32-88E8-95E8E1E091EC}">
      <formula1>ValidList_G489</formula1>
    </dataValidation>
    <dataValidation type="list" allowBlank="1" showInputMessage="1" showErrorMessage="1" sqref="G518" xr:uid="{604064E6-CA2A-41EC-B82F-DE185DCCE45A}">
      <formula1>ValidList_G518</formula1>
    </dataValidation>
    <dataValidation type="list" allowBlank="1" showInputMessage="1" showErrorMessage="1" sqref="G519" xr:uid="{335672CD-FE33-4CDE-84FB-C92729237386}">
      <formula1>ValidList_G519</formula1>
    </dataValidation>
    <dataValidation type="list" allowBlank="1" showInputMessage="1" showErrorMessage="1" sqref="G520" xr:uid="{C426AC9A-B946-4BDE-8F6A-DBBA479970CF}">
      <formula1>ValidList_G520</formula1>
    </dataValidation>
    <dataValidation type="list" allowBlank="1" showInputMessage="1" showErrorMessage="1" sqref="G521" xr:uid="{9008541B-CEB2-4C9D-B8EB-8C8FBBC0E8D2}">
      <formula1>ValidList_G521</formula1>
    </dataValidation>
    <dataValidation type="list" allowBlank="1" showInputMessage="1" showErrorMessage="1" sqref="G524" xr:uid="{039B987E-85E6-4BD2-930B-34DF81EFB047}">
      <formula1>ValidList_G524</formula1>
    </dataValidation>
    <dataValidation type="list" allowBlank="1" showInputMessage="1" showErrorMessage="1" sqref="G534" xr:uid="{9B7DEA6B-A668-42C0-8959-4A48423F6FB6}">
      <formula1>ValidList_G534</formula1>
    </dataValidation>
    <dataValidation type="list" allowBlank="1" showInputMessage="1" showErrorMessage="1" sqref="G528" xr:uid="{D8E55B13-41AC-459D-BCE0-A9361535EB8A}">
      <formula1>ValidList_G528</formula1>
    </dataValidation>
    <dataValidation type="list" allowBlank="1" showInputMessage="1" showErrorMessage="1" sqref="G535" xr:uid="{8A071AEF-D8C2-42F8-AECC-28FEDC3E18D7}">
      <formula1>ValidList_G535</formula1>
    </dataValidation>
    <dataValidation type="list" allowBlank="1" showInputMessage="1" showErrorMessage="1" sqref="H524" xr:uid="{D693E34F-EC98-470B-A5E6-B6B9AA1E4EBC}">
      <formula1>ValidList_H524</formula1>
    </dataValidation>
    <dataValidation type="list" allowBlank="1" showInputMessage="1" showErrorMessage="1" sqref="G539" xr:uid="{6812BE05-7A76-4F42-9764-C95AC63E183B}">
      <formula1>ValidList_G539</formula1>
    </dataValidation>
    <dataValidation type="list" allowBlank="1" showInputMessage="1" showErrorMessage="1" sqref="H539:H543" xr:uid="{172DFBDA-5672-4A95-B9B7-990D9F1607E7}">
      <formula1>ValidList_H539</formula1>
    </dataValidation>
    <dataValidation type="list" allowBlank="1" showInputMessage="1" showErrorMessage="1" sqref="G544" xr:uid="{DA1F8479-0475-4DE5-92D8-CD368466F662}">
      <formula1>ValidList_G544</formula1>
    </dataValidation>
    <dataValidation type="list" allowBlank="1" showInputMessage="1" showErrorMessage="1" sqref="H544" xr:uid="{A1C74F52-F0E3-402E-A396-010A08ECBE52}">
      <formula1>ValidList_H544</formula1>
    </dataValidation>
    <dataValidation type="list" allowBlank="1" showInputMessage="1" showErrorMessage="1" sqref="G545" xr:uid="{D05645B7-8B57-46AB-BDE0-7B8944A4FC99}">
      <formula1>ValidList_G545</formula1>
    </dataValidation>
    <dataValidation type="list" allowBlank="1" showInputMessage="1" showErrorMessage="1" sqref="G546" xr:uid="{39A1AF9C-17EE-46FC-9BEA-885B0CE57B9E}">
      <formula1>ValidList_G546</formula1>
    </dataValidation>
    <dataValidation type="list" allowBlank="1" showInputMessage="1" showErrorMessage="1" sqref="H546" xr:uid="{0BD5009A-E742-4F94-AA8B-82F274F8316F}">
      <formula1>ValidList_H546</formula1>
    </dataValidation>
    <dataValidation type="list" allowBlank="1" showInputMessage="1" showErrorMessage="1" sqref="G549" xr:uid="{47798BFD-F896-47C0-A6D1-737FBCAFA962}">
      <formula1>ValidList_G549</formula1>
    </dataValidation>
    <dataValidation type="list" allowBlank="1" showInputMessage="1" showErrorMessage="1" sqref="G550" xr:uid="{7A871A45-4287-44D5-9525-9DE6F44414D0}">
      <formula1>ValidList_G550</formula1>
    </dataValidation>
    <dataValidation type="list" allowBlank="1" showInputMessage="1" showErrorMessage="1" sqref="H550" xr:uid="{1B1E0678-D7F4-464D-81C2-3D98156F34AD}">
      <formula1>ValidList_H550</formula1>
    </dataValidation>
    <dataValidation type="list" allowBlank="1" showInputMessage="1" showErrorMessage="1" sqref="G551" xr:uid="{35F111AB-D0D4-4BF1-A694-7A1B0C5AC571}">
      <formula1>ValidList_G551</formula1>
    </dataValidation>
    <dataValidation type="list" allowBlank="1" showInputMessage="1" showErrorMessage="1" sqref="G552" xr:uid="{DCA92371-37A0-465D-AD59-E8BD3907619E}">
      <formula1>ValidList_G552</formula1>
    </dataValidation>
    <dataValidation type="list" allowBlank="1" showInputMessage="1" showErrorMessage="1" sqref="G553" xr:uid="{28BF9691-4041-4759-9A5E-A8221F7631EF}">
      <formula1>ValidList_G553</formula1>
    </dataValidation>
    <dataValidation type="list" allowBlank="1" showInputMessage="1" showErrorMessage="1" sqref="G554" xr:uid="{4A8361AF-DE78-4566-A47E-26786D285253}">
      <formula1>ValidList_G554</formula1>
    </dataValidation>
    <dataValidation type="list" allowBlank="1" showInputMessage="1" showErrorMessage="1" sqref="G555" xr:uid="{769B3830-AE2F-40AD-9049-C64F9FF65F7E}">
      <formula1>ValidList_G555</formula1>
    </dataValidation>
    <dataValidation type="list" allowBlank="1" showInputMessage="1" showErrorMessage="1" sqref="G556 G575 G577 G579" xr:uid="{BDE41DBB-1FC5-47FE-B7DC-09F80DE434DF}">
      <formula1>ValidList_G556</formula1>
    </dataValidation>
    <dataValidation type="list" allowBlank="1" showInputMessage="1" showErrorMessage="1" sqref="H556 H575 H577 H579" xr:uid="{8431C32E-0293-4EF2-B7D6-8ADAF8304200}">
      <formula1>ValidList_H556</formula1>
    </dataValidation>
    <dataValidation type="list" allowBlank="1" showInputMessage="1" showErrorMessage="1" sqref="G533" xr:uid="{F1DDF477-C3ED-41A0-8D51-FA44B70DEBA9}">
      <formula1>ValidList_G533</formula1>
    </dataValidation>
    <dataValidation type="list" allowBlank="1" showInputMessage="1" showErrorMessage="1" sqref="G557" xr:uid="{4DDD77E9-7F86-441A-82C5-91C3F24A791B}">
      <formula1>ValidList_G557</formula1>
    </dataValidation>
    <dataValidation type="list" allowBlank="1" showInputMessage="1" showErrorMessage="1" sqref="G558" xr:uid="{72DEB633-55C1-4D19-97DB-4433A06E521C}">
      <formula1>ValidList_G558</formula1>
    </dataValidation>
    <dataValidation type="list" allowBlank="1" showInputMessage="1" showErrorMessage="1" sqref="G559" xr:uid="{24DCB1F1-E7D1-4CAB-98EA-1C85E248AEC6}">
      <formula1>ValidList_G559</formula1>
    </dataValidation>
    <dataValidation type="list" allowBlank="1" showInputMessage="1" showErrorMessage="1" sqref="G560" xr:uid="{3FC8A462-BE6D-4A69-A71B-E6E630B01DAC}">
      <formula1>ValidList_G560</formula1>
    </dataValidation>
    <dataValidation type="list" allowBlank="1" showInputMessage="1" showErrorMessage="1" sqref="G561" xr:uid="{32370DC7-12E5-489F-A039-ED5CACDEED4D}">
      <formula1>ValidList_G561</formula1>
    </dataValidation>
    <dataValidation type="list" allowBlank="1" showInputMessage="1" showErrorMessage="1" sqref="G562" xr:uid="{EB403706-1547-4374-B340-25344CFB0451}">
      <formula1>ValidList_G562</formula1>
    </dataValidation>
    <dataValidation type="list" allowBlank="1" showInputMessage="1" showErrorMessage="1" sqref="H562" xr:uid="{AA33C590-55FD-43CC-B3CF-5BF9A0AD476A}">
      <formula1>ValidList_H562</formula1>
    </dataValidation>
    <dataValidation type="list" allowBlank="1" showInputMessage="1" showErrorMessage="1" sqref="G565" xr:uid="{BC786FC7-BD04-40AA-8CF9-B3786AA7D1C2}">
      <formula1>ValidList_G565</formula1>
    </dataValidation>
    <dataValidation type="list" allowBlank="1" showInputMessage="1" showErrorMessage="1" sqref="G566" xr:uid="{616BCD5A-7D05-471D-83D8-7246F3AABC80}">
      <formula1>ValidList_G566</formula1>
    </dataValidation>
    <dataValidation type="list" allowBlank="1" showInputMessage="1" showErrorMessage="1" sqref="G567" xr:uid="{855D8463-3028-4969-ACD6-2A1839D91B76}">
      <formula1>ValidList_G567</formula1>
    </dataValidation>
    <dataValidation type="list" allowBlank="1" showInputMessage="1" showErrorMessage="1" sqref="H567" xr:uid="{7ECE3DAE-498F-4C72-AFC9-8495B9963DEE}">
      <formula1>ValidList_H567</formula1>
    </dataValidation>
    <dataValidation type="list" allowBlank="1" showInputMessage="1" showErrorMessage="1" sqref="G568" xr:uid="{1C0E5500-52E7-4414-BF96-CD3A4AAFE7A5}">
      <formula1>ValidList_G568</formula1>
    </dataValidation>
    <dataValidation type="list" allowBlank="1" showInputMessage="1" showErrorMessage="1" sqref="H569" xr:uid="{9D6895D9-E71B-4025-8830-48BF9CF5E522}">
      <formula1>ValidList_H569</formula1>
    </dataValidation>
    <dataValidation type="list" allowBlank="1" showInputMessage="1" showErrorMessage="1" sqref="G574" xr:uid="{D6C266AC-BBE2-40DA-B236-525F9E5E528A}">
      <formula1>ValidList_G574</formula1>
    </dataValidation>
    <dataValidation type="list" allowBlank="1" showInputMessage="1" showErrorMessage="1" sqref="H574" xr:uid="{65C211B8-0BD3-4926-8559-8230BE62639F}">
      <formula1>ValidList_H574</formula1>
    </dataValidation>
    <dataValidation type="list" allowBlank="1" showInputMessage="1" showErrorMessage="1" sqref="G576" xr:uid="{E180DEE9-A837-433E-8764-210828990041}">
      <formula1>ValidList_G576</formula1>
    </dataValidation>
    <dataValidation type="list" allowBlank="1" showInputMessage="1" showErrorMessage="1" sqref="H576" xr:uid="{5168C3AA-FA2A-492C-BD4F-C9F1E7978D22}">
      <formula1>ValidList_H576</formula1>
    </dataValidation>
    <dataValidation type="list" allowBlank="1" showInputMessage="1" showErrorMessage="1" sqref="G580" xr:uid="{05F3B99A-E521-45D7-90A8-9E9E2874AE9B}">
      <formula1>ValidList_G580</formula1>
    </dataValidation>
    <dataValidation type="list" allowBlank="1" showInputMessage="1" showErrorMessage="1" sqref="G581" xr:uid="{B58F4E32-04C6-4904-AD23-C1CAAD4C2070}">
      <formula1>ValidList_G581</formula1>
    </dataValidation>
    <dataValidation type="list" allowBlank="1" showInputMessage="1" showErrorMessage="1" sqref="G582" xr:uid="{F96DC2DB-B297-44A2-9B16-6565A1EC5DDA}">
      <formula1>ValidList_G582</formula1>
    </dataValidation>
    <dataValidation type="list" allowBlank="1" showInputMessage="1" showErrorMessage="1" sqref="G583" xr:uid="{5030E008-355A-4668-A9EA-70EAB841D25F}">
      <formula1>ValidList_G583</formula1>
    </dataValidation>
    <dataValidation type="list" allowBlank="1" showInputMessage="1" showErrorMessage="1" sqref="G584" xr:uid="{08541A83-B42E-4D7C-A396-912D8C4156B1}">
      <formula1>ValidList_G584</formula1>
    </dataValidation>
    <dataValidation type="list" allowBlank="1" showInputMessage="1" showErrorMessage="1" sqref="G585 G609:G611 G620 G624 G627:G628 G674:G677 G729 G737:G738 G748:G750 G797 G805:G806 G808 G814:G815 G820 G833 G837 G839 G847:G848 G855 G862:G864 G877:G878 G881:G884 G888:G889 G913 G915 G918 G959 G1008:G1010 G1035 G1037 G1071 G1085 G1087:G1088 G1107:G1109" xr:uid="{9294479E-7E04-4D92-953C-0DCB97D1CB2D}">
      <formula1>ValidList_G585</formula1>
    </dataValidation>
    <dataValidation type="list" allowBlank="1" showInputMessage="1" showErrorMessage="1" sqref="G586" xr:uid="{3C65956B-A4B3-4153-BD63-6FD56C28942D}">
      <formula1>ValidList_G586</formula1>
    </dataValidation>
    <dataValidation type="list" allowBlank="1" showInputMessage="1" showErrorMessage="1" sqref="H586" xr:uid="{9035C9F4-181A-44D5-8656-E3B2F1C26C4D}">
      <formula1>ValidList_H586</formula1>
    </dataValidation>
    <dataValidation type="list" allowBlank="1" showInputMessage="1" showErrorMessage="1" sqref="G587" xr:uid="{8F0896C3-B3D3-4458-BC26-F0439AC3FBDA}">
      <formula1>ValidList_G587</formula1>
    </dataValidation>
    <dataValidation type="list" allowBlank="1" showInputMessage="1" showErrorMessage="1" sqref="G588" xr:uid="{8EDA03DA-8C7E-464B-9038-C928196B5D99}">
      <formula1>ValidList_G588</formula1>
    </dataValidation>
    <dataValidation type="list" allowBlank="1" showInputMessage="1" showErrorMessage="1" sqref="G589" xr:uid="{58960B59-7F45-4B7A-B693-0FF0E5553A29}">
      <formula1>ValidList_G589</formula1>
    </dataValidation>
    <dataValidation type="list" allowBlank="1" showInputMessage="1" showErrorMessage="1" sqref="H589" xr:uid="{083E9E1A-FBDD-4B60-80B1-33774536886F}">
      <formula1>ValidList_H589</formula1>
    </dataValidation>
    <dataValidation type="list" allowBlank="1" showInputMessage="1" showErrorMessage="1" sqref="G594" xr:uid="{F2442824-6AD1-4191-ADAB-479127F8DBB0}">
      <formula1>ValidList_G594</formula1>
    </dataValidation>
    <dataValidation type="list" allowBlank="1" showInputMessage="1" showErrorMessage="1" sqref="G595" xr:uid="{E5FF07B5-5ABF-4547-A571-80F2C38E51CA}">
      <formula1>ValidList_G595</formula1>
    </dataValidation>
    <dataValidation type="list" allowBlank="1" showInputMessage="1" showErrorMessage="1" sqref="G596" xr:uid="{45CF15B3-53C6-431A-83F9-EC40D42F888F}">
      <formula1>ValidList_G596</formula1>
    </dataValidation>
    <dataValidation type="list" allowBlank="1" showInputMessage="1" showErrorMessage="1" sqref="G597" xr:uid="{60B86123-FD25-497B-AFEB-D8303C1D17E3}">
      <formula1>ValidList_G597</formula1>
    </dataValidation>
    <dataValidation type="list" allowBlank="1" showInputMessage="1" showErrorMessage="1" sqref="G603" xr:uid="{D7E8F672-FE37-447B-B6BF-FEE314C839EE}">
      <formula1>ValidList_G603</formula1>
    </dataValidation>
    <dataValidation type="list" allowBlank="1" showInputMessage="1" showErrorMessage="1" sqref="G604" xr:uid="{B1891846-1311-458E-99EC-9A6BFA122814}">
      <formula1>ValidList_G604</formula1>
    </dataValidation>
    <dataValidation type="list" allowBlank="1" showInputMessage="1" showErrorMessage="1" sqref="H604" xr:uid="{EEAD7950-D082-45A8-82A9-FE32708E8D4E}">
      <formula1>ValidList_H604</formula1>
    </dataValidation>
    <dataValidation type="list" allowBlank="1" showInputMessage="1" showErrorMessage="1" sqref="G606" xr:uid="{96BE06C3-1CCA-44F0-B8E6-B107192D625E}">
      <formula1>ValidList_G606</formula1>
    </dataValidation>
    <dataValidation type="list" allowBlank="1" showInputMessage="1" showErrorMessage="1" sqref="H606" xr:uid="{97FEF59E-1972-46AE-8FFA-151DCD326657}">
      <formula1>ValidList_H606</formula1>
    </dataValidation>
    <dataValidation type="list" allowBlank="1" showInputMessage="1" showErrorMessage="1" sqref="G607" xr:uid="{B37260BD-9761-43EA-8B48-910763A0BF82}">
      <formula1>ValidList_G607</formula1>
    </dataValidation>
    <dataValidation type="list" allowBlank="1" showInputMessage="1" showErrorMessage="1" sqref="G608" xr:uid="{F3BC10BF-D995-4EC3-9242-74F77EDBDAF7}">
      <formula1>ValidList_G608</formula1>
    </dataValidation>
    <dataValidation type="list" allowBlank="1" showInputMessage="1" showErrorMessage="1" sqref="G612" xr:uid="{9765F603-7C93-4719-9C85-1CC0BED8CD2B}">
      <formula1>ValidList_G612</formula1>
    </dataValidation>
    <dataValidation type="list" allowBlank="1" showInputMessage="1" showErrorMessage="1" sqref="G613" xr:uid="{6E3FDC0D-ABA0-45AD-AFD7-C8BE7B2E09E9}">
      <formula1>ValidList_G613</formula1>
    </dataValidation>
    <dataValidation type="list" allowBlank="1" showInputMessage="1" showErrorMessage="1" sqref="G615" xr:uid="{942A6045-D7FA-44C5-BEB5-F22F9ABF70B1}">
      <formula1>ValidList_G615</formula1>
    </dataValidation>
    <dataValidation type="list" allowBlank="1" showInputMessage="1" showErrorMessage="1" sqref="G616" xr:uid="{816C0A59-E278-4F85-87C0-1610D4CCB50F}">
      <formula1>ValidList_G616</formula1>
    </dataValidation>
    <dataValidation type="list" allowBlank="1" showInputMessage="1" showErrorMessage="1" sqref="H616" xr:uid="{1959B4BD-D59F-4E85-873F-5AAA9F21514A}">
      <formula1>ValidList_H616</formula1>
    </dataValidation>
    <dataValidation type="list" allowBlank="1" showInputMessage="1" showErrorMessage="1" sqref="G617" xr:uid="{2734EF54-6036-4CB8-B99E-868B7F0DE143}">
      <formula1>ValidList_G617</formula1>
    </dataValidation>
    <dataValidation type="list" allowBlank="1" showInputMessage="1" showErrorMessage="1" sqref="G619" xr:uid="{93DE70AC-414C-4C71-9A23-89B86832D128}">
      <formula1>ValidList_G619</formula1>
    </dataValidation>
    <dataValidation type="list" allowBlank="1" showInputMessage="1" showErrorMessage="1" sqref="G625" xr:uid="{AC7431BF-F4F5-45B3-B270-E6852980D640}">
      <formula1>ValidList_G625</formula1>
    </dataValidation>
    <dataValidation type="list" allowBlank="1" showInputMessage="1" showErrorMessage="1" sqref="G629" xr:uid="{1386723B-969C-455C-A5EA-437CBF9B0FB9}">
      <formula1>ValidList_G629</formula1>
    </dataValidation>
    <dataValidation type="list" allowBlank="1" showInputMessage="1" showErrorMessage="1" sqref="G630" xr:uid="{1364FFB1-C998-4A8D-A720-36AD95E34255}">
      <formula1>ValidList_G630</formula1>
    </dataValidation>
    <dataValidation type="list" allowBlank="1" showInputMessage="1" showErrorMessage="1" sqref="G631" xr:uid="{DC5B94EC-51BD-48EA-BA05-654E6112BD77}">
      <formula1>ValidList_G631</formula1>
    </dataValidation>
    <dataValidation type="list" allowBlank="1" showInputMessage="1" showErrorMessage="1" sqref="H631" xr:uid="{391B9E97-AC6B-43E5-B4C0-E1D686890DDF}">
      <formula1>ValidList_H631</formula1>
    </dataValidation>
    <dataValidation type="list" allowBlank="1" showInputMessage="1" showErrorMessage="1" sqref="G632:G633" xr:uid="{B1BA183C-1836-4EBC-981D-8BA3BFD25622}">
      <formula1>ValidList_G632</formula1>
    </dataValidation>
    <dataValidation type="list" allowBlank="1" showInputMessage="1" showErrorMessage="1" sqref="G634" xr:uid="{1141D829-254C-4170-ACEB-9788A3719767}">
      <formula1>ValidList_G634</formula1>
    </dataValidation>
    <dataValidation type="list" allowBlank="1" showInputMessage="1" showErrorMessage="1" sqref="H634" xr:uid="{B2C15A80-D7FB-4D9B-8D24-96F95F176F73}">
      <formula1>ValidList_H634</formula1>
    </dataValidation>
    <dataValidation type="list" allowBlank="1" showInputMessage="1" showErrorMessage="1" sqref="G637" xr:uid="{7A156EF4-051A-4C52-BAC9-E4DA241C5229}">
      <formula1>ValidList_G637</formula1>
    </dataValidation>
    <dataValidation type="list" allowBlank="1" showInputMessage="1" showErrorMessage="1" sqref="H637" xr:uid="{B87BD307-7F2B-42F5-944D-735D1A3D5F7D}">
      <formula1>ValidList_H637</formula1>
    </dataValidation>
    <dataValidation type="list" allowBlank="1" showInputMessage="1" showErrorMessage="1" sqref="G646" xr:uid="{EA635DEB-DA9A-4AE1-93B1-14CD25603E2B}">
      <formula1>ValidList_G646</formula1>
    </dataValidation>
    <dataValidation type="list" allowBlank="1" showInputMessage="1" showErrorMessage="1" sqref="H646" xr:uid="{6ACF0189-F4C3-434B-A891-7B37F6932266}">
      <formula1>ValidList_H646</formula1>
    </dataValidation>
    <dataValidation type="list" allowBlank="1" showInputMessage="1" showErrorMessage="1" sqref="G645" xr:uid="{68538456-0366-44CE-A1E6-18603D42D604}">
      <formula1>ValidList_G645</formula1>
    </dataValidation>
    <dataValidation type="list" allowBlank="1" showInputMessage="1" showErrorMessage="1" sqref="G591" xr:uid="{37901E75-9D1C-41A9-9409-72F27C8399C0}">
      <formula1>ValidList_G591</formula1>
    </dataValidation>
    <dataValidation type="list" allowBlank="1" showInputMessage="1" showErrorMessage="1" sqref="G647" xr:uid="{341B22FA-6FA4-44F3-ABA6-D9AE9FADB41E}">
      <formula1>ValidList_G647</formula1>
    </dataValidation>
    <dataValidation type="list" allowBlank="1" showInputMessage="1" showErrorMessage="1" sqref="H647" xr:uid="{87501E56-0CC2-444A-8406-F8E90809436E}">
      <formula1>ValidList_H647</formula1>
    </dataValidation>
    <dataValidation type="list" allowBlank="1" showInputMessage="1" showErrorMessage="1" sqref="G648" xr:uid="{2059AA35-E1CB-4E56-AA1B-51A892475599}">
      <formula1>ValidList_G648</formula1>
    </dataValidation>
    <dataValidation type="list" allowBlank="1" showInputMessage="1" showErrorMessage="1" sqref="H648" xr:uid="{F60477B6-0D03-4A5E-BBC1-35529C37C688}">
      <formula1>ValidList_H648</formula1>
    </dataValidation>
    <dataValidation type="list" allowBlank="1" showInputMessage="1" showErrorMessage="1" sqref="G649" xr:uid="{8DAC9D99-AB78-4165-9617-9564FD4E76F9}">
      <formula1>ValidList_G649</formula1>
    </dataValidation>
    <dataValidation type="list" allowBlank="1" showInputMessage="1" showErrorMessage="1" sqref="G650" xr:uid="{C562A57E-3A10-4819-8559-9AAD662D9250}">
      <formula1>ValidList_G650</formula1>
    </dataValidation>
    <dataValidation type="list" allowBlank="1" showInputMessage="1" showErrorMessage="1" sqref="G651" xr:uid="{4C12F659-0A8B-42C3-A431-9C68C8090456}">
      <formula1>ValidList_G651</formula1>
    </dataValidation>
    <dataValidation type="list" allowBlank="1" showInputMessage="1" showErrorMessage="1" sqref="G652" xr:uid="{7FD1F33D-F4AE-4CA8-BF5F-C2FDA029220F}">
      <formula1>ValidList_G652</formula1>
    </dataValidation>
    <dataValidation type="list" allowBlank="1" showInputMessage="1" showErrorMessage="1" sqref="G653" xr:uid="{0602A63F-8C4A-4D1C-927F-052A539F78DA}">
      <formula1>ValidList_G653</formula1>
    </dataValidation>
    <dataValidation type="list" allowBlank="1" showInputMessage="1" showErrorMessage="1" sqref="G654" xr:uid="{B9326177-9C50-4DCB-855B-B04F09313A0D}">
      <formula1>ValidList_G654</formula1>
    </dataValidation>
    <dataValidation type="list" allowBlank="1" showInputMessage="1" showErrorMessage="1" sqref="G655" xr:uid="{35DC257F-5E5F-4C59-AA1A-3497850984E6}">
      <formula1>ValidList_G655</formula1>
    </dataValidation>
    <dataValidation type="list" allowBlank="1" showInputMessage="1" showErrorMessage="1" sqref="G656" xr:uid="{7F5208B1-00A8-44A3-BEA8-D5635EB2BAFC}">
      <formula1>ValidList_G656</formula1>
    </dataValidation>
    <dataValidation type="list" allowBlank="1" showInputMessage="1" showErrorMessage="1" sqref="H656" xr:uid="{C3F7031E-689A-4BF8-BC7B-128BA8692898}">
      <formula1>ValidList_H656</formula1>
    </dataValidation>
    <dataValidation type="list" allowBlank="1" showInputMessage="1" showErrorMessage="1" sqref="G657" xr:uid="{330277BA-4D63-469A-AB1D-8F9CB80BE291}">
      <formula1>ValidList_G657</formula1>
    </dataValidation>
    <dataValidation type="list" allowBlank="1" showInputMessage="1" showErrorMessage="1" sqref="H657" xr:uid="{88A81A92-336B-4F1C-95B4-A8EEA1BBFD6E}">
      <formula1>ValidList_H657</formula1>
    </dataValidation>
    <dataValidation type="list" allowBlank="1" showInputMessage="1" showErrorMessage="1" sqref="H650" xr:uid="{B555E73A-6A8D-45AF-B59E-E0F35DC0B541}">
      <formula1>ValidList_H650</formula1>
    </dataValidation>
    <dataValidation type="list" allowBlank="1" showInputMessage="1" showErrorMessage="1" sqref="G658" xr:uid="{6D4722B6-7D8F-4847-96AE-0C9F878B67B5}">
      <formula1>ValidList_G658</formula1>
    </dataValidation>
    <dataValidation type="list" allowBlank="1" showInputMessage="1" showErrorMessage="1" sqref="G659" xr:uid="{43C1F29A-93FE-4048-99D3-767035725C1E}">
      <formula1>ValidList_G659</formula1>
    </dataValidation>
    <dataValidation type="list" allowBlank="1" showInputMessage="1" showErrorMessage="1" sqref="H659" xr:uid="{BF29B48D-E35B-4646-8720-AB2C26D26A43}">
      <formula1>ValidList_H659</formula1>
    </dataValidation>
    <dataValidation type="list" allowBlank="1" showInputMessage="1" showErrorMessage="1" sqref="G660" xr:uid="{2D651F43-AC14-4395-ABE3-BFCE29D40ED4}">
      <formula1>ValidList_G660</formula1>
    </dataValidation>
    <dataValidation type="list" allowBlank="1" showInputMessage="1" showErrorMessage="1" sqref="G661" xr:uid="{D9705E27-E133-4D80-BDE2-8B8656E15D91}">
      <formula1>ValidList_G661</formula1>
    </dataValidation>
    <dataValidation type="list" allowBlank="1" showInputMessage="1" showErrorMessage="1" sqref="G664" xr:uid="{CE705714-79D2-4C61-BCBB-B3FDBE385036}">
      <formula1>ValidList_G664</formula1>
    </dataValidation>
    <dataValidation type="list" allowBlank="1" showInputMessage="1" showErrorMessage="1" sqref="G665" xr:uid="{73CCA18D-98B7-4D81-8756-6BE629F95454}">
      <formula1>ValidList_G665</formula1>
    </dataValidation>
    <dataValidation type="list" allowBlank="1" showInputMessage="1" showErrorMessage="1" sqref="G666" xr:uid="{991266FE-6E5E-4662-921A-1BB7D3B6CC5D}">
      <formula1>ValidList_G666</formula1>
    </dataValidation>
    <dataValidation type="list" allowBlank="1" showInputMessage="1" showErrorMessage="1" sqref="G667" xr:uid="{590A28FE-EABC-4086-B5F9-51F71669C330}">
      <formula1>ValidList_G667</formula1>
    </dataValidation>
    <dataValidation type="list" allowBlank="1" showInputMessage="1" showErrorMessage="1" sqref="G668" xr:uid="{C568EA03-0ACB-445D-AB44-4C9197906263}">
      <formula1>ValidList_G668</formula1>
    </dataValidation>
    <dataValidation type="list" allowBlank="1" showInputMessage="1" showErrorMessage="1" sqref="G669" xr:uid="{9A8298FE-454D-4774-B647-F38681CC678A}">
      <formula1>ValidList_G669</formula1>
    </dataValidation>
    <dataValidation type="list" allowBlank="1" showInputMessage="1" showErrorMessage="1" sqref="G670" xr:uid="{6EF6C2BC-DE3F-4BE6-9DCF-8A7F177AEF80}">
      <formula1>ValidList_G670</formula1>
    </dataValidation>
    <dataValidation type="list" allowBlank="1" showInputMessage="1" showErrorMessage="1" sqref="G671" xr:uid="{6E0D816C-1B26-4D6E-A2FF-944E55333B7F}">
      <formula1>ValidList_G671</formula1>
    </dataValidation>
    <dataValidation type="list" allowBlank="1" showInputMessage="1" showErrorMessage="1" sqref="G672" xr:uid="{C65120C7-EC02-4EC2-9C20-C1120DD52692}">
      <formula1>ValidList_G672</formula1>
    </dataValidation>
    <dataValidation type="list" allowBlank="1" showInputMessage="1" showErrorMessage="1" sqref="G678" xr:uid="{615DDB2C-5D5D-47FE-9891-B57C4780CA72}">
      <formula1>ValidList_G678</formula1>
    </dataValidation>
    <dataValidation type="list" allowBlank="1" showInputMessage="1" showErrorMessage="1" sqref="H678" xr:uid="{7FE9AEA0-C371-40D3-A22B-3FEC00C67901}">
      <formula1>ValidList_H678</formula1>
    </dataValidation>
    <dataValidation type="list" allowBlank="1" showInputMessage="1" showErrorMessage="1" sqref="H649" xr:uid="{95B7E31B-254C-4FCB-999A-1851FA4D22D3}">
      <formula1>ValidList_H649</formula1>
    </dataValidation>
    <dataValidation type="list" allowBlank="1" showInputMessage="1" showErrorMessage="1" sqref="G679" xr:uid="{681B1B74-493C-4073-B7BD-7BE2546DEAD6}">
      <formula1>ValidList_G679</formula1>
    </dataValidation>
    <dataValidation type="list" allowBlank="1" showInputMessage="1" showErrorMessage="1" sqref="G681" xr:uid="{1716F987-529B-4245-8659-163FA6F0181C}">
      <formula1>ValidList_G681</formula1>
    </dataValidation>
    <dataValidation type="list" allowBlank="1" showInputMessage="1" showErrorMessage="1" sqref="H681" xr:uid="{428DDEBD-4D12-409D-9D92-E3C4CB3A83DE}">
      <formula1>ValidList_H681</formula1>
    </dataValidation>
    <dataValidation type="list" allowBlank="1" showInputMessage="1" showErrorMessage="1" sqref="G683" xr:uid="{1E536D19-1CA0-4698-85E7-59D0F1A6DE1D}">
      <formula1>ValidList_G683</formula1>
    </dataValidation>
    <dataValidation type="list" allowBlank="1" showInputMessage="1" showErrorMessage="1" sqref="G684" xr:uid="{631C7FA9-78D1-4415-BFED-2BAE45723A4D}">
      <formula1>ValidList_G684</formula1>
    </dataValidation>
    <dataValidation type="list" allowBlank="1" showInputMessage="1" showErrorMessage="1" sqref="G685" xr:uid="{B8ED0D8F-6D90-42B3-94BE-7B8048E65151}">
      <formula1>ValidList_G685</formula1>
    </dataValidation>
    <dataValidation type="list" allowBlank="1" showInputMessage="1" showErrorMessage="1" sqref="G690" xr:uid="{EFFA8868-4090-4123-8725-006CECDF7B87}">
      <formula1>ValidList_G690</formula1>
    </dataValidation>
    <dataValidation type="list" allowBlank="1" showInputMessage="1" showErrorMessage="1" sqref="G691" xr:uid="{EA0C0C6E-91A4-41D2-B444-9662FAC62B79}">
      <formula1>ValidList_G691</formula1>
    </dataValidation>
    <dataValidation type="list" allowBlank="1" showInputMessage="1" showErrorMessage="1" sqref="G692" xr:uid="{8A7784BB-CDFB-4DCB-975D-DC7E30C70534}">
      <formula1>ValidList_G692</formula1>
    </dataValidation>
    <dataValidation type="list" allowBlank="1" showInputMessage="1" showErrorMessage="1" sqref="H691" xr:uid="{AE29657B-9411-49CB-901B-EF58549A945C}">
      <formula1>ValidList_H691</formula1>
    </dataValidation>
    <dataValidation type="list" allowBlank="1" showInputMessage="1" showErrorMessage="1" sqref="H672" xr:uid="{5B21257B-BD0B-471B-A9C9-B4D65AF65B05}">
      <formula1>ValidList_H672</formula1>
    </dataValidation>
    <dataValidation type="list" allowBlank="1" showInputMessage="1" showErrorMessage="1" sqref="G693" xr:uid="{EE08B008-8F32-43DF-89DC-118FFB36409F}">
      <formula1>ValidList_G693</formula1>
    </dataValidation>
    <dataValidation type="list" allowBlank="1" showInputMessage="1" showErrorMessage="1" sqref="H693" xr:uid="{E972BEBF-698C-4505-BD05-44A26A261F6A}">
      <formula1>ValidList_H693</formula1>
    </dataValidation>
    <dataValidation type="list" allowBlank="1" showInputMessage="1" showErrorMessage="1" sqref="G694 G697" xr:uid="{0624C599-B853-4C36-81DB-D26C529F0C8A}">
      <formula1>ValidList_G694</formula1>
    </dataValidation>
    <dataValidation type="list" allowBlank="1" showInputMessage="1" showErrorMessage="1" sqref="G696" xr:uid="{B2A42618-FAA3-424D-A03A-75599428E81F}">
      <formula1>ValidList_G696</formula1>
    </dataValidation>
    <dataValidation type="list" allowBlank="1" showInputMessage="1" showErrorMessage="1" sqref="G698" xr:uid="{DDB35BC8-FBE3-407B-9ADC-69BC2F522052}">
      <formula1>ValidList_G698</formula1>
    </dataValidation>
    <dataValidation type="list" allowBlank="1" showInputMessage="1" showErrorMessage="1" sqref="G700" xr:uid="{B81E2A14-3998-4D9C-BE87-E5197EBF11AD}">
      <formula1>ValidList_G700</formula1>
    </dataValidation>
    <dataValidation type="list" allowBlank="1" showInputMessage="1" showErrorMessage="1" sqref="G701" xr:uid="{B7948009-C8D6-48A7-BAD6-313F593A66AD}">
      <formula1>ValidList_G701</formula1>
    </dataValidation>
    <dataValidation type="list" allowBlank="1" showInputMessage="1" showErrorMessage="1" sqref="G702" xr:uid="{14EBC04C-B490-49AD-965B-C7E78E4A2118}">
      <formula1>ValidList_G702</formula1>
    </dataValidation>
    <dataValidation type="list" allowBlank="1" showInputMessage="1" showErrorMessage="1" sqref="G703" xr:uid="{3BED1924-96BB-406C-B313-54ACA11396FD}">
      <formula1>ValidList_G703</formula1>
    </dataValidation>
    <dataValidation type="list" allowBlank="1" showInputMessage="1" showErrorMessage="1" sqref="G712" xr:uid="{D0738F77-706B-4373-80C6-5938C5679583}">
      <formula1>ValidList_G712</formula1>
    </dataValidation>
    <dataValidation type="list" allowBlank="1" showInputMessage="1" showErrorMessage="1" sqref="G713" xr:uid="{5870B213-B2AC-4344-A382-1A2ABCBC419E}">
      <formula1>ValidList_G713</formula1>
    </dataValidation>
    <dataValidation type="list" allowBlank="1" showInputMessage="1" showErrorMessage="1" sqref="G714" xr:uid="{32F47CE7-F7DD-4C67-B4E7-21ECE8B64EFD}">
      <formula1>ValidList_G714</formula1>
    </dataValidation>
    <dataValidation type="list" allowBlank="1" showInputMessage="1" showErrorMessage="1" sqref="G715" xr:uid="{08585BC7-349D-46AA-9503-02909078F703}">
      <formula1>ValidList_G715</formula1>
    </dataValidation>
    <dataValidation type="list" allowBlank="1" showInputMessage="1" showErrorMessage="1" sqref="G716" xr:uid="{B3671FBA-9B02-4B36-9C5C-A8EEF0DF3C2F}">
      <formula1>ValidList_G716</formula1>
    </dataValidation>
    <dataValidation type="list" allowBlank="1" showInputMessage="1" showErrorMessage="1" sqref="H716" xr:uid="{CF146873-929D-4081-879C-8F19A52AE636}">
      <formula1>ValidList_H716</formula1>
    </dataValidation>
    <dataValidation type="list" allowBlank="1" showInputMessage="1" showErrorMessage="1" sqref="G717" xr:uid="{ABBCEBDC-F60A-4D66-8049-81991E117AAC}">
      <formula1>ValidList_G717</formula1>
    </dataValidation>
    <dataValidation type="list" allowBlank="1" showInputMessage="1" showErrorMessage="1" sqref="H717" xr:uid="{15EAF0D5-3529-4060-A6E9-1091DAEE6AC4}">
      <formula1>ValidList_H717</formula1>
    </dataValidation>
    <dataValidation type="list" allowBlank="1" showInputMessage="1" showErrorMessage="1" sqref="H702:H703" xr:uid="{3EE85A3D-1529-4174-844F-430AACF481BA}">
      <formula1>ValidList_H702</formula1>
    </dataValidation>
    <dataValidation type="list" allowBlank="1" showInputMessage="1" showErrorMessage="1" sqref="G699" xr:uid="{46A015A9-6416-4F57-A3BC-19C74778D2F9}">
      <formula1>ValidList_G699</formula1>
    </dataValidation>
    <dataValidation type="list" allowBlank="1" showInputMessage="1" showErrorMessage="1" sqref="G718" xr:uid="{A68649B6-A7A5-4BC4-A03B-2AF6010261CC}">
      <formula1>ValidList_G718</formula1>
    </dataValidation>
    <dataValidation type="list" allowBlank="1" showInputMessage="1" showErrorMessage="1" sqref="G719" xr:uid="{52970860-5829-4332-B72E-261D6D6C5595}">
      <formula1>ValidList_G719</formula1>
    </dataValidation>
    <dataValidation type="list" allowBlank="1" showInputMessage="1" showErrorMessage="1" sqref="H719" xr:uid="{24116DEE-6F35-450F-971E-4D98EA3AA497}">
      <formula1>ValidList_H719</formula1>
    </dataValidation>
    <dataValidation type="list" allowBlank="1" showInputMessage="1" showErrorMessage="1" sqref="G720" xr:uid="{BC6E5B1D-7195-4AE0-9D94-366BB970C2AE}">
      <formula1>ValidList_G720</formula1>
    </dataValidation>
    <dataValidation type="list" allowBlank="1" showInputMessage="1" showErrorMessage="1" sqref="G721" xr:uid="{2C940D0B-4947-418B-B50A-C0574631982A}">
      <formula1>ValidList_G721</formula1>
    </dataValidation>
    <dataValidation type="list" allowBlank="1" showInputMessage="1" showErrorMessage="1" sqref="H721" xr:uid="{1777E97F-51DD-4F1D-86CA-7E87BF7376B8}">
      <formula1>ValidList_H721</formula1>
    </dataValidation>
    <dataValidation type="list" allowBlank="1" showInputMessage="1" showErrorMessage="1" sqref="G722" xr:uid="{4308B212-7CC3-481A-9EA1-E9BE8F2EC654}">
      <formula1>ValidList_G722</formula1>
    </dataValidation>
    <dataValidation type="list" allowBlank="1" showInputMessage="1" showErrorMessage="1" sqref="H720" xr:uid="{3484D8CC-83AE-4E44-9587-0941C0664CA4}">
      <formula1>ValidList_H720</formula1>
    </dataValidation>
    <dataValidation type="list" allowBlank="1" showInputMessage="1" showErrorMessage="1" sqref="G725" xr:uid="{2FF7CF87-95CA-4A0A-8716-FE3BAFE7F7D7}">
      <formula1>ValidList_G725</formula1>
    </dataValidation>
    <dataValidation type="list" allowBlank="1" showInputMessage="1" showErrorMessage="1" sqref="G728" xr:uid="{88B70925-FE88-44FF-8616-9A01A801CEDB}">
      <formula1>ValidList_G728</formula1>
    </dataValidation>
    <dataValidation type="list" allowBlank="1" showInputMessage="1" showErrorMessage="1" sqref="G730" xr:uid="{2443C4FF-7EB9-45AA-A977-D45284059AA0}">
      <formula1>ValidList_G730</formula1>
    </dataValidation>
    <dataValidation type="list" allowBlank="1" showInputMessage="1" showErrorMessage="1" sqref="G731" xr:uid="{14A8168B-C27D-44EB-AA6A-B12670A6594E}">
      <formula1>ValidList_G731</formula1>
    </dataValidation>
    <dataValidation type="list" allowBlank="1" showInputMessage="1" showErrorMessage="1" sqref="G732" xr:uid="{B52D280F-E2B4-48E7-A111-8B74BA58C511}">
      <formula1>ValidList_G732</formula1>
    </dataValidation>
    <dataValidation type="list" allowBlank="1" showInputMessage="1" showErrorMessage="1" sqref="G733" xr:uid="{959CDB21-2F4B-4278-80C3-337C333ABE84}">
      <formula1>ValidList_G733</formula1>
    </dataValidation>
    <dataValidation type="list" allowBlank="1" showInputMessage="1" showErrorMessage="1" sqref="H733" xr:uid="{4FADED3B-FE40-4899-ACCD-62AE21FA5D39}">
      <formula1>ValidList_H733</formula1>
    </dataValidation>
    <dataValidation type="list" allowBlank="1" showInputMessage="1" showErrorMessage="1" sqref="G735" xr:uid="{59036DCA-9769-4A2B-AD75-C56E87425566}">
      <formula1>ValidList_G735</formula1>
    </dataValidation>
    <dataValidation type="list" allowBlank="1" showInputMessage="1" showErrorMessage="1" sqref="H735" xr:uid="{44AC664A-E426-4E67-B639-8C9BBCFBBD91}">
      <formula1>ValidList_H735</formula1>
    </dataValidation>
    <dataValidation type="list" allowBlank="1" showInputMessage="1" showErrorMessage="1" sqref="G736" xr:uid="{1870C37A-D4FC-40AE-AEFD-7649761E4472}">
      <formula1>ValidList_G736</formula1>
    </dataValidation>
    <dataValidation type="list" allowBlank="1" showInputMessage="1" showErrorMessage="1" sqref="H736" xr:uid="{8EAAF6C2-9E84-49F8-822B-A44CD78E0B22}">
      <formula1>ValidList_H736</formula1>
    </dataValidation>
    <dataValidation type="list" allowBlank="1" showInputMessage="1" showErrorMessage="1" sqref="G739" xr:uid="{636D505A-07F7-42DA-B769-408D194726B1}">
      <formula1>ValidList_G739</formula1>
    </dataValidation>
    <dataValidation type="list" allowBlank="1" showInputMessage="1" showErrorMessage="1" sqref="G740" xr:uid="{3C408BF6-AA37-4ED1-9F6F-68F0C9CB464D}">
      <formula1>ValidList_G740</formula1>
    </dataValidation>
    <dataValidation type="list" allowBlank="1" showInputMessage="1" showErrorMessage="1" sqref="G741" xr:uid="{1BEC48F2-66AF-4143-A758-B655A29CF20D}">
      <formula1>ValidList_G741</formula1>
    </dataValidation>
    <dataValidation type="list" allowBlank="1" showInputMessage="1" showErrorMessage="1" sqref="G742" xr:uid="{BEA799F7-B14D-494C-B845-7060D311F483}">
      <formula1>ValidList_G742</formula1>
    </dataValidation>
    <dataValidation type="list" allowBlank="1" showInputMessage="1" showErrorMessage="1" sqref="G743" xr:uid="{8C72352C-8A07-496B-9391-6D172171227D}">
      <formula1>ValidList_G743</formula1>
    </dataValidation>
    <dataValidation type="list" allowBlank="1" showInputMessage="1" showErrorMessage="1" sqref="G744" xr:uid="{208432A8-6152-4B85-9D47-43849252104D}">
      <formula1>ValidList_G744</formula1>
    </dataValidation>
    <dataValidation type="list" allowBlank="1" showInputMessage="1" showErrorMessage="1" sqref="H744" xr:uid="{33E0863F-18B6-4BDB-99D9-5642699CACFA}">
      <formula1>ValidList_H744</formula1>
    </dataValidation>
    <dataValidation type="list" allowBlank="1" showInputMessage="1" showErrorMessage="1" sqref="G745" xr:uid="{B51979E2-4A6A-4FAF-A27E-1EDF974A6333}">
      <formula1>ValidList_G745</formula1>
    </dataValidation>
    <dataValidation type="list" allowBlank="1" showInputMessage="1" showErrorMessage="1" sqref="G746" xr:uid="{A8101B59-8C71-4A43-834F-643B0FC327B7}">
      <formula1>ValidList_G746</formula1>
    </dataValidation>
    <dataValidation type="list" allowBlank="1" showInputMessage="1" showErrorMessage="1" sqref="H746" xr:uid="{72200C76-41B9-4C10-BE7A-29A9F2D9CE69}">
      <formula1>ValidList_H746</formula1>
    </dataValidation>
    <dataValidation type="list" allowBlank="1" showInputMessage="1" showErrorMessage="1" sqref="G747" xr:uid="{AF3BCADD-707A-44D8-BDC6-ADCB97E3BF40}">
      <formula1>ValidList_G747</formula1>
    </dataValidation>
    <dataValidation type="list" allowBlank="1" showInputMessage="1" showErrorMessage="1" sqref="G751" xr:uid="{8568E516-CA8E-46F1-8035-2F6239F15A7F}">
      <formula1>ValidList_G751</formula1>
    </dataValidation>
    <dataValidation type="list" allowBlank="1" showInputMessage="1" showErrorMessage="1" sqref="G752" xr:uid="{15351A7A-7631-44BE-9BB7-E286564E9CA3}">
      <formula1>ValidList_G752</formula1>
    </dataValidation>
    <dataValidation type="list" allowBlank="1" showInputMessage="1" showErrorMessage="1" sqref="H752" xr:uid="{34CAC9F3-AA0D-4313-AAF1-AFC748BA53C3}">
      <formula1>ValidList_H752</formula1>
    </dataValidation>
    <dataValidation type="list" allowBlank="1" showInputMessage="1" showErrorMessage="1" sqref="G753" xr:uid="{A7DCC0B7-577E-4459-A026-AB839CE9FD03}">
      <formula1>ValidList_G753</formula1>
    </dataValidation>
    <dataValidation type="list" allowBlank="1" showInputMessage="1" showErrorMessage="1" sqref="G754" xr:uid="{657D0BCC-D40C-46C5-808C-455BD5BD4B03}">
      <formula1>ValidList_G754</formula1>
    </dataValidation>
    <dataValidation type="list" allowBlank="1" showInputMessage="1" showErrorMessage="1" sqref="G755" xr:uid="{875C6A28-7A20-4914-9ED0-17832732FC00}">
      <formula1>ValidList_G755</formula1>
    </dataValidation>
    <dataValidation type="list" allowBlank="1" showInputMessage="1" showErrorMessage="1" sqref="H754" xr:uid="{D78E06D6-D7FA-4353-BFFE-B4F48D48A5B9}">
      <formula1>ValidList_H754</formula1>
    </dataValidation>
    <dataValidation type="list" allowBlank="1" showInputMessage="1" showErrorMessage="1" sqref="G756" xr:uid="{DCBD6858-CC60-4FD8-AEFE-9B0760F7C7B3}">
      <formula1>ValidList_G756</formula1>
    </dataValidation>
    <dataValidation type="list" allowBlank="1" showInputMessage="1" showErrorMessage="1" sqref="H756" xr:uid="{A9A5D63B-2610-4E12-AA38-7666257F79B6}">
      <formula1>ValidList_H756</formula1>
    </dataValidation>
    <dataValidation type="list" allowBlank="1" showInputMessage="1" showErrorMessage="1" sqref="G757" xr:uid="{DB2459AF-709D-4B17-BAA2-9EF4659ABD62}">
      <formula1>ValidList_G757</formula1>
    </dataValidation>
    <dataValidation type="list" allowBlank="1" showInputMessage="1" showErrorMessage="1" sqref="H757" xr:uid="{52132949-E844-4959-A076-4DDF7DF938BF}">
      <formula1>ValidList_H757</formula1>
    </dataValidation>
    <dataValidation type="list" allowBlank="1" showInputMessage="1" showErrorMessage="1" sqref="G758" xr:uid="{9DD45952-B712-48FD-A812-A6A5DEF07B7C}">
      <formula1>ValidList_G758</formula1>
    </dataValidation>
    <dataValidation type="list" allowBlank="1" showInputMessage="1" showErrorMessage="1" sqref="H758" xr:uid="{F12F83F8-E912-436C-820E-FAF4F7A56C91}">
      <formula1>ValidList_H758</formula1>
    </dataValidation>
    <dataValidation type="list" allowBlank="1" showInputMessage="1" showErrorMessage="1" sqref="G760" xr:uid="{18591593-3222-4285-B8F8-A638D8B07862}">
      <formula1>ValidList_G760</formula1>
    </dataValidation>
    <dataValidation type="list" allowBlank="1" showInputMessage="1" showErrorMessage="1" sqref="G762" xr:uid="{936486FD-3D41-457F-B37F-64D33534EB91}">
      <formula1>ValidList_G762</formula1>
    </dataValidation>
    <dataValidation type="list" allowBlank="1" showInputMessage="1" showErrorMessage="1" sqref="G763" xr:uid="{ADFA9D0A-7084-472B-9072-8840C4EF1A20}">
      <formula1>ValidList_G763</formula1>
    </dataValidation>
    <dataValidation type="list" allowBlank="1" showInputMessage="1" showErrorMessage="1" sqref="G764" xr:uid="{4B7CA335-C506-446B-BE2C-3E3AE8030B0B}">
      <formula1>ValidList_G764</formula1>
    </dataValidation>
    <dataValidation type="list" allowBlank="1" showInputMessage="1" showErrorMessage="1" sqref="G769" xr:uid="{2C71943D-5B1C-49B3-97C7-B7CE07E80551}">
      <formula1>ValidList_G769</formula1>
    </dataValidation>
    <dataValidation type="list" allowBlank="1" showInputMessage="1" showErrorMessage="1" sqref="H769" xr:uid="{982C7B38-3F71-4791-87B9-C31F678E931E}">
      <formula1>ValidList_H769</formula1>
    </dataValidation>
    <dataValidation type="list" allowBlank="1" showInputMessage="1" showErrorMessage="1" sqref="G770" xr:uid="{F54CA108-752D-4FEE-848F-50AE14E6EC5E}">
      <formula1>ValidList_G770</formula1>
    </dataValidation>
    <dataValidation type="list" allowBlank="1" showInputMessage="1" showErrorMessage="1" sqref="H770" xr:uid="{70FF322B-7FAE-42E6-9DA3-D2ED0A0FDEBA}">
      <formula1>ValidList_H770</formula1>
    </dataValidation>
    <dataValidation type="list" allowBlank="1" showInputMessage="1" showErrorMessage="1" sqref="G771" xr:uid="{7230B19E-B66F-4BD9-95E1-1E458FF533EF}">
      <formula1>ValidList_G771</formula1>
    </dataValidation>
    <dataValidation type="list" allowBlank="1" showInputMessage="1" showErrorMessage="1" sqref="G772" xr:uid="{D50A43C3-BE2A-4C16-9A13-214BA0420990}">
      <formula1>ValidList_G772</formula1>
    </dataValidation>
    <dataValidation type="list" allowBlank="1" showInputMessage="1" showErrorMessage="1" sqref="G773" xr:uid="{94D4AE33-7C04-4BD3-ABE2-F306F9A3E1C0}">
      <formula1>ValidList_G773</formula1>
    </dataValidation>
    <dataValidation type="list" allowBlank="1" showInputMessage="1" showErrorMessage="1" sqref="G774" xr:uid="{8442FA25-834B-41BF-98A3-0A39B8D5F75B}">
      <formula1>ValidList_G774</formula1>
    </dataValidation>
    <dataValidation type="list" allowBlank="1" showInputMessage="1" showErrorMessage="1" sqref="G775" xr:uid="{C59197A5-D3F5-4D75-9722-DBE750AB4AD6}">
      <formula1>ValidList_G775</formula1>
    </dataValidation>
    <dataValidation type="list" allowBlank="1" showInputMessage="1" showErrorMessage="1" sqref="H775" xr:uid="{93B7021A-A5E2-4BEB-B34C-AE03DB1DAEB2}">
      <formula1>ValidList_H775</formula1>
    </dataValidation>
    <dataValidation type="list" allowBlank="1" showInputMessage="1" showErrorMessage="1" sqref="G776" xr:uid="{755D249B-614F-4792-938D-43AE304C6ED1}">
      <formula1>ValidList_G776</formula1>
    </dataValidation>
    <dataValidation type="list" allowBlank="1" showInputMessage="1" showErrorMessage="1" sqref="G777" xr:uid="{D7B22DB7-74E6-409A-8C77-F2A879F8AFF1}">
      <formula1>ValidList_G777</formula1>
    </dataValidation>
    <dataValidation type="list" allowBlank="1" showInputMessage="1" showErrorMessage="1" sqref="G778" xr:uid="{F0B89FD2-1756-486C-B95B-DB07E0D56751}">
      <formula1>ValidList_G778</formula1>
    </dataValidation>
    <dataValidation type="list" allowBlank="1" showInputMessage="1" showErrorMessage="1" sqref="H777" xr:uid="{77ACC93C-671F-4B04-B432-BEF9AE2A6B2C}">
      <formula1>ValidList_H777</formula1>
    </dataValidation>
    <dataValidation type="list" allowBlank="1" showInputMessage="1" showErrorMessage="1" sqref="H778" xr:uid="{81421BE0-98CD-4A48-8C0C-DF09C3D53A19}">
      <formula1>ValidList_H778</formula1>
    </dataValidation>
    <dataValidation type="list" allowBlank="1" showInputMessage="1" showErrorMessage="1" sqref="G779" xr:uid="{6DB0276C-E3F6-4E4D-9AE5-5804F62A67AE}">
      <formula1>ValidList_G779</formula1>
    </dataValidation>
    <dataValidation type="list" allowBlank="1" showInputMessage="1" showErrorMessage="1" sqref="H779" xr:uid="{6B475620-2D49-4EB3-883B-C5468910236C}">
      <formula1>ValidList_H779</formula1>
    </dataValidation>
    <dataValidation type="list" allowBlank="1" showInputMessage="1" showErrorMessage="1" sqref="G780" xr:uid="{9308E01C-8125-4FF3-8783-9DDC9B976826}">
      <formula1>ValidList_G780</formula1>
    </dataValidation>
    <dataValidation type="list" allowBlank="1" showInputMessage="1" showErrorMessage="1" sqref="H780" xr:uid="{9D66440A-2BDC-48E1-A2B7-F179B2A80E87}">
      <formula1>ValidList_H780</formula1>
    </dataValidation>
    <dataValidation type="list" allowBlank="1" showInputMessage="1" showErrorMessage="1" sqref="G781" xr:uid="{B7F40FAF-73E2-4921-A098-FC045472A484}">
      <formula1>ValidList_G781</formula1>
    </dataValidation>
    <dataValidation type="list" allowBlank="1" showInputMessage="1" showErrorMessage="1" sqref="H781" xr:uid="{80E2CD9E-9FF0-4D70-AF22-FF421EC9A9B4}">
      <formula1>ValidList_H781</formula1>
    </dataValidation>
    <dataValidation type="list" allowBlank="1" showInputMessage="1" showErrorMessage="1" sqref="G782" xr:uid="{A3848612-094A-4B2F-B92D-C4D11FB59B87}">
      <formula1>ValidList_G782</formula1>
    </dataValidation>
    <dataValidation type="list" allowBlank="1" showInputMessage="1" showErrorMessage="1" sqref="G783" xr:uid="{041BB837-C5E5-4A68-8CA3-FD83D67AA8B4}">
      <formula1>ValidList_G783</formula1>
    </dataValidation>
    <dataValidation type="list" allowBlank="1" showInputMessage="1" showErrorMessage="1" sqref="G784" xr:uid="{AEB7BCED-FAA3-4BF2-9E33-E3AEA7C7166F}">
      <formula1>ValidList_G784</formula1>
    </dataValidation>
    <dataValidation type="list" allowBlank="1" showInputMessage="1" showErrorMessage="1" sqref="G785:G786" xr:uid="{BF71A80E-F73D-4073-9F3F-73EAB76811E5}">
      <formula1>ValidList_G785</formula1>
    </dataValidation>
    <dataValidation type="list" allowBlank="1" showInputMessage="1" showErrorMessage="1" sqref="H785:H786 H801" xr:uid="{35924E7B-0F56-46A2-A9E0-F8D5DD57AE4C}">
      <formula1>ValidList_H785</formula1>
    </dataValidation>
    <dataValidation type="list" allowBlank="1" showInputMessage="1" showErrorMessage="1" sqref="G787" xr:uid="{19E13832-AABC-4BE7-B3E3-C5EC8545DAC1}">
      <formula1>ValidList_G787</formula1>
    </dataValidation>
    <dataValidation type="list" allowBlank="1" showInputMessage="1" showErrorMessage="1" sqref="G788" xr:uid="{F0464C4D-28C1-4764-BB7D-A4AC88260E9C}">
      <formula1>ValidList_G788</formula1>
    </dataValidation>
    <dataValidation type="list" allowBlank="1" showInputMessage="1" showErrorMessage="1" sqref="G790" xr:uid="{BDF7A287-9C10-4D10-9114-8A4798A99952}">
      <formula1>ValidList_G790</formula1>
    </dataValidation>
    <dataValidation type="list" allowBlank="1" showInputMessage="1" showErrorMessage="1" sqref="H790" xr:uid="{240F5C07-0D91-4129-9951-C48BAD327DAA}">
      <formula1>ValidList_H790</formula1>
    </dataValidation>
    <dataValidation type="list" allowBlank="1" showInputMessage="1" showErrorMessage="1" sqref="G791" xr:uid="{5141D611-18DB-4240-BC9F-D1FD223F186C}">
      <formula1>ValidList_G791</formula1>
    </dataValidation>
    <dataValidation type="list" allowBlank="1" showInputMessage="1" showErrorMessage="1" sqref="G792" xr:uid="{F68280BA-510D-466C-B0E6-3B6407BE9A45}">
      <formula1>ValidList_G792</formula1>
    </dataValidation>
    <dataValidation type="list" allowBlank="1" showInputMessage="1" showErrorMessage="1" sqref="G793" xr:uid="{9F2807D6-2FED-45AE-A685-84E3FCFD458D}">
      <formula1>ValidList_G793</formula1>
    </dataValidation>
    <dataValidation type="list" allowBlank="1" showInputMessage="1" showErrorMessage="1" sqref="G794" xr:uid="{38AE80C7-0735-4FB8-B6EC-8AB1188D6692}">
      <formula1>ValidList_G794</formula1>
    </dataValidation>
    <dataValidation type="list" allowBlank="1" showInputMessage="1" showErrorMessage="1" sqref="G795" xr:uid="{0A767DDC-5FBB-4CFB-A08C-0FED7D628B1B}">
      <formula1>ValidList_G795</formula1>
    </dataValidation>
    <dataValidation type="list" allowBlank="1" showInputMessage="1" showErrorMessage="1" sqref="G796" xr:uid="{D6BFD6E7-C0E5-4E13-89CE-D95D716686EF}">
      <formula1>ValidList_G796</formula1>
    </dataValidation>
    <dataValidation type="list" allowBlank="1" showInputMessage="1" showErrorMessage="1" sqref="G798" xr:uid="{14EBA8AB-5A4C-47D1-BF6E-86380532FC29}">
      <formula1>ValidList_G798</formula1>
    </dataValidation>
    <dataValidation type="list" allowBlank="1" showInputMessage="1" showErrorMessage="1" sqref="H799" xr:uid="{044A89BA-9F0B-4AB1-8E69-A6B27A0AAFD3}">
      <formula1>ValidList_H799</formula1>
    </dataValidation>
    <dataValidation type="list" allowBlank="1" showInputMessage="1" showErrorMessage="1" sqref="G799" xr:uid="{870379D1-2EDB-406C-9D60-E2AFFBB3B54A}">
      <formula1>ValidList_G799</formula1>
    </dataValidation>
    <dataValidation type="list" allowBlank="1" showInputMessage="1" showErrorMessage="1" sqref="G800" xr:uid="{EDD94E5C-2E5E-4310-A389-7F52F7FDE6A0}">
      <formula1>ValidList_G800</formula1>
    </dataValidation>
    <dataValidation type="list" allowBlank="1" showInputMessage="1" showErrorMessage="1" sqref="G801" xr:uid="{661213D1-862C-40C9-B930-D95F8F930A67}">
      <formula1>ValidList_G801</formula1>
    </dataValidation>
    <dataValidation type="list" allowBlank="1" showInputMessage="1" showErrorMessage="1" sqref="G803" xr:uid="{1DFAE361-5277-4847-B203-F37C77B70F61}">
      <formula1>ValidList_G803</formula1>
    </dataValidation>
    <dataValidation type="list" allowBlank="1" showInputMessage="1" showErrorMessage="1" sqref="H803" xr:uid="{6CAE11C3-88D0-4AF1-B90F-2C978BECB513}">
      <formula1>ValidList_H803</formula1>
    </dataValidation>
    <dataValidation type="list" allowBlank="1" showInputMessage="1" showErrorMessage="1" sqref="G804" xr:uid="{4D647CE0-7171-4BA2-A149-77199AD0BD34}">
      <formula1>ValidList_G804</formula1>
    </dataValidation>
    <dataValidation type="list" allowBlank="1" showInputMessage="1" showErrorMessage="1" sqref="G809" xr:uid="{CDCBEAD0-6F62-4C7C-9CC7-86A71BBD8F3E}">
      <formula1>ValidList_G809</formula1>
    </dataValidation>
    <dataValidation type="list" allowBlank="1" showInputMessage="1" showErrorMessage="1" sqref="H809" xr:uid="{C008B8AA-419C-4B3A-920E-BB252DA3DB78}">
      <formula1>ValidList_H809</formula1>
    </dataValidation>
    <dataValidation type="list" allowBlank="1" showInputMessage="1" showErrorMessage="1" sqref="G810" xr:uid="{760F6BE6-9144-464A-834C-928BB069BC47}">
      <formula1>ValidList_G810</formula1>
    </dataValidation>
    <dataValidation type="list" allowBlank="1" showInputMessage="1" showErrorMessage="1" sqref="G811" xr:uid="{F08AC9B8-3866-40E9-B447-003E482E5599}">
      <formula1>ValidList_G811</formula1>
    </dataValidation>
    <dataValidation type="list" allowBlank="1" showInputMessage="1" showErrorMessage="1" sqref="G812" xr:uid="{4E3E11E9-1B43-41A8-9CAA-0750DF7B2055}">
      <formula1>ValidList_G812</formula1>
    </dataValidation>
    <dataValidation type="list" allowBlank="1" showInputMessage="1" showErrorMessage="1" sqref="G813" xr:uid="{84678596-A4A8-4682-B4EA-0C4B466C7EC1}">
      <formula1>ValidList_G813</formula1>
    </dataValidation>
    <dataValidation type="list" allowBlank="1" showInputMessage="1" showErrorMessage="1" sqref="G817" xr:uid="{A0D82921-F453-4072-9909-F0E7E179B859}">
      <formula1>ValidList_G817</formula1>
    </dataValidation>
    <dataValidation type="list" allowBlank="1" showInputMessage="1" showErrorMessage="1" sqref="H817" xr:uid="{EE37ADBE-FC90-4BFF-909C-BE994A27B995}">
      <formula1>ValidList_H817</formula1>
    </dataValidation>
    <dataValidation type="list" allowBlank="1" showInputMessage="1" showErrorMessage="1" sqref="G819" xr:uid="{8B358A42-55F5-4ABF-82A6-34C7951D00AB}">
      <formula1>ValidList_G819</formula1>
    </dataValidation>
    <dataValidation type="list" allowBlank="1" showInputMessage="1" showErrorMessage="1" sqref="G825" xr:uid="{D193C561-D7C0-409A-8007-9DC8CA04EF13}">
      <formula1>ValidList_G825</formula1>
    </dataValidation>
    <dataValidation type="list" allowBlank="1" showInputMessage="1" showErrorMessage="1" sqref="H825" xr:uid="{44938B76-255A-49F8-8F23-B81E3CD0AAC1}">
      <formula1>ValidList_H825</formula1>
    </dataValidation>
    <dataValidation type="list" allowBlank="1" showInputMessage="1" showErrorMessage="1" sqref="G818 G826" xr:uid="{9A6F517B-321E-4EBC-B407-30B179536002}">
      <formula1>ValidList_G818</formula1>
    </dataValidation>
    <dataValidation type="list" allowBlank="1" showInputMessage="1" showErrorMessage="1" sqref="G828" xr:uid="{183302C1-420D-4FA1-A598-7A351DF38416}">
      <formula1>ValidList_G828</formula1>
    </dataValidation>
    <dataValidation type="list" allowBlank="1" showInputMessage="1" showErrorMessage="1" sqref="G829" xr:uid="{4CFA49A6-C0F6-4335-8C01-1A00C38814DD}">
      <formula1>ValidList_G829</formula1>
    </dataValidation>
    <dataValidation type="list" allowBlank="1" showInputMessage="1" showErrorMessage="1" sqref="G827" xr:uid="{9AB9CEE2-CF2C-496E-917C-10D5F3695EF8}">
      <formula1>ValidList_G827</formula1>
    </dataValidation>
    <dataValidation type="list" allowBlank="1" showInputMessage="1" showErrorMessage="1" sqref="G830" xr:uid="{2C9A5266-A4F2-4D52-94A3-ED41EBD99C1C}">
      <formula1>ValidList_G830</formula1>
    </dataValidation>
    <dataValidation type="list" allowBlank="1" showInputMessage="1" showErrorMessage="1" sqref="G831" xr:uid="{0784AE0F-4416-445B-A8DE-136D82BFE103}">
      <formula1>ValidList_G831</formula1>
    </dataValidation>
    <dataValidation type="list" allowBlank="1" showInputMessage="1" showErrorMessage="1" sqref="G832" xr:uid="{CC61F924-AE39-4AAA-A20C-471062419446}">
      <formula1>ValidList_G832</formula1>
    </dataValidation>
    <dataValidation type="list" allowBlank="1" showInputMessage="1" showErrorMessage="1" sqref="H832" xr:uid="{71A334BC-3254-45F8-B586-DA57C6920C1F}">
      <formula1>ValidList_H832</formula1>
    </dataValidation>
    <dataValidation type="list" allowBlank="1" showInputMessage="1" showErrorMessage="1" sqref="G834" xr:uid="{31572C22-B200-4FB1-AC8F-2D981E197040}">
      <formula1>ValidList_G834</formula1>
    </dataValidation>
    <dataValidation type="list" allowBlank="1" showInputMessage="1" showErrorMessage="1" sqref="G835" xr:uid="{FA6D20BE-8219-40CB-A00F-E5CD53CB9232}">
      <formula1>ValidList_G835</formula1>
    </dataValidation>
    <dataValidation type="list" allowBlank="1" showInputMessage="1" showErrorMessage="1" sqref="H835" xr:uid="{8F8493B2-003D-4E5F-963B-3AA6F1153A7A}">
      <formula1>ValidList_H835</formula1>
    </dataValidation>
    <dataValidation type="list" allowBlank="1" showInputMessage="1" showErrorMessage="1" sqref="G836" xr:uid="{E798FA4A-4113-45E8-B45F-B5119BB6FB76}">
      <formula1>ValidList_G836</formula1>
    </dataValidation>
    <dataValidation type="list" allowBlank="1" showInputMessage="1" showErrorMessage="1" sqref="G838" xr:uid="{35BB2484-8BFE-4E13-9B8C-EFB8CC2BABC1}">
      <formula1>ValidList_G838</formula1>
    </dataValidation>
    <dataValidation type="list" allowBlank="1" showInputMessage="1" showErrorMessage="1" sqref="G842" xr:uid="{EE81E832-CC24-4BB6-93FD-DAA010DD8C21}">
      <formula1>ValidList_G842</formula1>
    </dataValidation>
    <dataValidation type="list" allowBlank="1" showInputMessage="1" showErrorMessage="1" sqref="G843 G840:G841" xr:uid="{A085B8EE-59C8-483D-A2B0-E24E6D2627A2}">
      <formula1>ValidList_G843</formula1>
    </dataValidation>
    <dataValidation type="list" allowBlank="1" showInputMessage="1" showErrorMessage="1" sqref="G844" xr:uid="{5D7774DA-57E7-468B-949E-BEB8F34FB78E}">
      <formula1>ValidList_G844</formula1>
    </dataValidation>
    <dataValidation type="list" allowBlank="1" showInputMessage="1" showErrorMessage="1" sqref="H844" xr:uid="{74B6DE44-60ED-4A33-9FC3-577034D9889D}">
      <formula1>ValidList_H844</formula1>
    </dataValidation>
    <dataValidation type="list" allowBlank="1" showInputMessage="1" showErrorMessage="1" sqref="G845" xr:uid="{C1EEEC25-720F-4230-9547-588C65E92CAF}">
      <formula1>ValidList_G845</formula1>
    </dataValidation>
    <dataValidation type="list" allowBlank="1" showInputMessage="1" showErrorMessage="1" sqref="G846" xr:uid="{B535AF0D-5A30-4CB7-ABF5-CF9FD2452F6A}">
      <formula1>ValidList_G846</formula1>
    </dataValidation>
    <dataValidation type="list" allowBlank="1" showInputMessage="1" showErrorMessage="1" sqref="H846" xr:uid="{2E132175-1BCE-4977-8890-2061F92326DC}">
      <formula1>ValidList_H846</formula1>
    </dataValidation>
    <dataValidation type="list" allowBlank="1" showInputMessage="1" showErrorMessage="1" sqref="G849" xr:uid="{13CBCF97-DAED-4223-9AE8-0B5A2F365B9A}">
      <formula1>ValidList_G849</formula1>
    </dataValidation>
    <dataValidation type="list" allowBlank="1" showInputMessage="1" showErrorMessage="1" sqref="G850" xr:uid="{84354F5C-0860-4C7D-B683-B45FF3234201}">
      <formula1>ValidList_G850</formula1>
    </dataValidation>
    <dataValidation type="list" allowBlank="1" showInputMessage="1" showErrorMessage="1" sqref="G851" xr:uid="{67012692-A51E-45E6-9E1F-1F122F500FCC}">
      <formula1>ValidList_G851</formula1>
    </dataValidation>
    <dataValidation type="list" allowBlank="1" showInputMessage="1" showErrorMessage="1" sqref="H851" xr:uid="{378E240E-ED0D-4910-8ED7-6A4D4713BBA4}">
      <formula1>ValidList_H851</formula1>
    </dataValidation>
    <dataValidation type="list" allowBlank="1" showInputMessage="1" showErrorMessage="1" sqref="G852" xr:uid="{30AF0DF2-E582-4F01-9395-2D3A17629A58}">
      <formula1>ValidList_G852</formula1>
    </dataValidation>
    <dataValidation type="list" allowBlank="1" showInputMessage="1" showErrorMessage="1" sqref="G853" xr:uid="{202F2FCD-A227-4479-ACD4-9997AA8964A4}">
      <formula1>ValidList_G853</formula1>
    </dataValidation>
    <dataValidation type="list" allowBlank="1" showInputMessage="1" showErrorMessage="1" sqref="G854" xr:uid="{3542BC4B-EBA4-4A3F-9381-869EE5E22197}">
      <formula1>ValidList_G854</formula1>
    </dataValidation>
    <dataValidation type="list" allowBlank="1" showInputMessage="1" showErrorMessage="1" sqref="G856" xr:uid="{4C8D8B6F-B7A8-4D35-A3CA-06844339CF13}">
      <formula1>ValidList_G856</formula1>
    </dataValidation>
    <dataValidation type="list" allowBlank="1" showInputMessage="1" showErrorMessage="1" sqref="G857" xr:uid="{5AD0122A-F54A-4F27-862C-5CF5753DD83F}">
      <formula1>ValidList_G857</formula1>
    </dataValidation>
    <dataValidation type="list" allowBlank="1" showInputMessage="1" showErrorMessage="1" sqref="G859" xr:uid="{A3D880F2-73F4-4E4D-A1D3-72DC1391EA53}">
      <formula1>ValidList_G859</formula1>
    </dataValidation>
    <dataValidation type="list" allowBlank="1" showInputMessage="1" showErrorMessage="1" sqref="G860" xr:uid="{395CE27A-854F-439D-A97E-79C5837D788A}">
      <formula1>ValidList_G860</formula1>
    </dataValidation>
    <dataValidation type="list" allowBlank="1" showInputMessage="1" showErrorMessage="1" sqref="G865" xr:uid="{3056327E-F46E-4DC0-B07B-D4274C7F9CD5}">
      <formula1>ValidList_G865</formula1>
    </dataValidation>
    <dataValidation type="list" allowBlank="1" showInputMessage="1" showErrorMessage="1" sqref="H865" xr:uid="{0A0D1171-8209-4220-9701-A7268494F9BF}">
      <formula1>ValidList_H865</formula1>
    </dataValidation>
    <dataValidation type="list" allowBlank="1" showInputMessage="1" showErrorMessage="1" sqref="G876" xr:uid="{2B0382F8-597F-4D6B-B51B-169B8BF21FC6}">
      <formula1>ValidList_G876</formula1>
    </dataValidation>
    <dataValidation type="list" allowBlank="1" showInputMessage="1" showErrorMessage="1" sqref="G879" xr:uid="{24417B07-2C97-4D3A-A51D-E3DE45F2F852}">
      <formula1>ValidList_G879</formula1>
    </dataValidation>
    <dataValidation type="list" allowBlank="1" showInputMessage="1" showErrorMessage="1" sqref="G880" xr:uid="{C034760F-46E8-4901-9B43-4071C01AA4F0}">
      <formula1>ValidList_G880</formula1>
    </dataValidation>
    <dataValidation type="list" allowBlank="1" showInputMessage="1" showErrorMessage="1" sqref="G885" xr:uid="{84E072FB-7309-4A8B-B715-0C49207FE67C}">
      <formula1>ValidList_G885</formula1>
    </dataValidation>
    <dataValidation type="list" allowBlank="1" showInputMessage="1" showErrorMessage="1" sqref="G886" xr:uid="{7EE5BF78-B370-41E2-BC7F-0A410C78BA23}">
      <formula1>ValidList_G886</formula1>
    </dataValidation>
    <dataValidation type="list" allowBlank="1" showInputMessage="1" showErrorMessage="1" sqref="G887" xr:uid="{9D5B98E2-29BC-45B8-9E88-94C5E78D6B98}">
      <formula1>ValidList_G887</formula1>
    </dataValidation>
    <dataValidation type="list" allowBlank="1" showInputMessage="1" showErrorMessage="1" sqref="H886" xr:uid="{9E3289C3-9816-4149-82B5-0AEF5A623A76}">
      <formula1>ValidList_H886</formula1>
    </dataValidation>
    <dataValidation type="list" allowBlank="1" showInputMessage="1" showErrorMessage="1" sqref="G890" xr:uid="{60090DD6-97CE-4789-837C-2A27ECCD3150}">
      <formula1>ValidList_G890</formula1>
    </dataValidation>
    <dataValidation type="list" allowBlank="1" showInputMessage="1" showErrorMessage="1" sqref="G891" xr:uid="{A3742C2F-B3A4-4D63-B351-D7B0E16676DC}">
      <formula1>ValidList_G891</formula1>
    </dataValidation>
    <dataValidation type="list" allowBlank="1" showInputMessage="1" showErrorMessage="1" sqref="H891" xr:uid="{22FE8F84-6265-4C1E-B054-6367EB8E25BA}">
      <formula1>ValidList_H891</formula1>
    </dataValidation>
    <dataValidation type="list" allowBlank="1" showInputMessage="1" showErrorMessage="1" sqref="G892" xr:uid="{69F341A1-9E9E-4C3C-80C3-69BBD5575046}">
      <formula1>ValidList_G892</formula1>
    </dataValidation>
    <dataValidation type="list" allowBlank="1" showInputMessage="1" showErrorMessage="1" sqref="H892" xr:uid="{A9DA8945-2742-4D47-9156-F3871234C08E}">
      <formula1>ValidList_H892</formula1>
    </dataValidation>
    <dataValidation type="list" allowBlank="1" showInputMessage="1" showErrorMessage="1" sqref="G893" xr:uid="{B4B746E9-F1E6-4183-B2D8-2297592BA933}">
      <formula1>ValidList_G893</formula1>
    </dataValidation>
    <dataValidation type="list" allowBlank="1" showInputMessage="1" showErrorMessage="1" sqref="G894" xr:uid="{CC519E0B-7992-49EE-A063-8D89236B012D}">
      <formula1>ValidList_G894</formula1>
    </dataValidation>
    <dataValidation type="list" allowBlank="1" showInputMessage="1" showErrorMessage="1" sqref="G895" xr:uid="{3FCDB3A0-4B3D-42C2-BC44-995CDB527BFB}">
      <formula1>ValidList_G895</formula1>
    </dataValidation>
    <dataValidation type="list" allowBlank="1" showInputMessage="1" showErrorMessage="1" sqref="G896" xr:uid="{A09391D2-AE9E-4194-9E2C-36B08B855AAC}">
      <formula1>ValidList_G896</formula1>
    </dataValidation>
    <dataValidation type="list" allowBlank="1" showInputMessage="1" showErrorMessage="1" sqref="H896" xr:uid="{1E089B28-9763-4D96-BF35-59EF7D62AAF3}">
      <formula1>ValidList_H896</formula1>
    </dataValidation>
    <dataValidation type="list" allowBlank="1" showInputMessage="1" showErrorMessage="1" sqref="G897" xr:uid="{72B5DF79-1BBF-4B6D-94B0-E2656BD7A98C}">
      <formula1>ValidList_G897</formula1>
    </dataValidation>
    <dataValidation type="list" allowBlank="1" showInputMessage="1" showErrorMessage="1" sqref="G898" xr:uid="{BB9FC64A-8704-4E5B-9164-C8F3DD0FB20D}">
      <formula1>ValidList_G898</formula1>
    </dataValidation>
    <dataValidation type="list" allowBlank="1" showInputMessage="1" showErrorMessage="1" sqref="G899" xr:uid="{877E532F-79ED-4F68-9F46-3B9084BE53CE}">
      <formula1>ValidList_G899</formula1>
    </dataValidation>
    <dataValidation type="list" allowBlank="1" showInputMessage="1" showErrorMessage="1" sqref="H899" xr:uid="{2AFC8FA2-EEC0-498C-8032-CEAA5EA13461}">
      <formula1>ValidList_H899</formula1>
    </dataValidation>
    <dataValidation type="list" allowBlank="1" showInputMessage="1" showErrorMessage="1" sqref="G900" xr:uid="{2E5FCA92-9691-433E-BAF7-D8E5A115F826}">
      <formula1>ValidList_G900</formula1>
    </dataValidation>
    <dataValidation type="list" allowBlank="1" showInputMessage="1" showErrorMessage="1" sqref="H900" xr:uid="{4CD2A63F-7718-478A-B73D-C2CE6E0F386D}">
      <formula1>ValidList_H900</formula1>
    </dataValidation>
    <dataValidation type="list" allowBlank="1" showInputMessage="1" showErrorMessage="1" sqref="G901" xr:uid="{0577655F-F656-4311-B246-ECB39866D4A4}">
      <formula1>ValidList_G901</formula1>
    </dataValidation>
    <dataValidation type="list" allowBlank="1" showInputMessage="1" showErrorMessage="1" sqref="H901" xr:uid="{473E8E64-CE9D-4C91-8C83-C1EAFC5EABD4}">
      <formula1>ValidList_H901</formula1>
    </dataValidation>
    <dataValidation type="list" allowBlank="1" showInputMessage="1" showErrorMessage="1" sqref="G902" xr:uid="{661D067E-3300-4D7B-BC7A-FC3FF74E4D0B}">
      <formula1>ValidList_G902</formula1>
    </dataValidation>
    <dataValidation type="list" allowBlank="1" showInputMessage="1" showErrorMessage="1" sqref="G903" xr:uid="{911ADF91-ADF4-4F75-9654-2985D19ADE20}">
      <formula1>ValidList_G903</formula1>
    </dataValidation>
    <dataValidation type="list" allowBlank="1" showInputMessage="1" showErrorMessage="1" sqref="G904" xr:uid="{8234FB1E-E4C4-4007-875B-9A242CC0D764}">
      <formula1>ValidList_G904</formula1>
    </dataValidation>
    <dataValidation type="list" allowBlank="1" showInputMessage="1" showErrorMessage="1" sqref="G905" xr:uid="{2C853950-9D4D-4669-9246-8E00663C8635}">
      <formula1>ValidList_G905</formula1>
    </dataValidation>
    <dataValidation type="list" allowBlank="1" showInputMessage="1" showErrorMessage="1" sqref="G906" xr:uid="{FA9DE595-FBC8-4079-96EB-FACAB40553CF}">
      <formula1>ValidList_G906</formula1>
    </dataValidation>
    <dataValidation type="list" allowBlank="1" showInputMessage="1" showErrorMessage="1" sqref="G907" xr:uid="{E2718D25-6542-4FB2-889B-786B66022EE6}">
      <formula1>ValidList_G907</formula1>
    </dataValidation>
    <dataValidation type="list" allowBlank="1" showInputMessage="1" showErrorMessage="1" sqref="G908" xr:uid="{82710F6E-1F7B-4F6A-8D66-B6386FA607A1}">
      <formula1>ValidList_G908</formula1>
    </dataValidation>
    <dataValidation type="list" allowBlank="1" showInputMessage="1" showErrorMessage="1" sqref="G910" xr:uid="{C696395D-8D8D-475D-ACE7-B153D7FB3E93}">
      <formula1>ValidList_G910</formula1>
    </dataValidation>
    <dataValidation type="list" allowBlank="1" showInputMessage="1" showErrorMessage="1" sqref="G911" xr:uid="{6A14A212-99D6-49B6-AA20-435A0710BB17}">
      <formula1>ValidList_G911</formula1>
    </dataValidation>
    <dataValidation type="list" allowBlank="1" showInputMessage="1" showErrorMessage="1" sqref="G914" xr:uid="{C8A67906-5DC0-4B04-A714-990C24A7D6D5}">
      <formula1>ValidList_G914</formula1>
    </dataValidation>
    <dataValidation type="list" allowBlank="1" showInputMessage="1" showErrorMessage="1" sqref="H914" xr:uid="{ACD2BD54-6FFD-43A4-9102-170A62DBDA4D}">
      <formula1>ValidList_H914</formula1>
    </dataValidation>
    <dataValidation type="list" allowBlank="1" showInputMessage="1" showErrorMessage="1" sqref="G916" xr:uid="{C1C0FDAF-22FB-4DF9-9CE7-DB10C40AFBFC}">
      <formula1>ValidList_G916</formula1>
    </dataValidation>
    <dataValidation type="list" allowBlank="1" showInputMessage="1" showErrorMessage="1" sqref="H916" xr:uid="{2B4E125F-4441-4A6C-8DD9-343E541695A9}">
      <formula1>ValidList_H916</formula1>
    </dataValidation>
    <dataValidation type="list" allowBlank="1" showInputMessage="1" showErrorMessage="1" sqref="G917" xr:uid="{57444686-ACD4-4D99-8C30-FD37670A79D2}">
      <formula1>ValidList_G917</formula1>
    </dataValidation>
    <dataValidation type="list" allowBlank="1" showInputMessage="1" showErrorMessage="1" sqref="H917" xr:uid="{9A6B9414-6CEA-49F5-8DF0-D493505D2379}">
      <formula1>ValidList_H917</formula1>
    </dataValidation>
    <dataValidation type="list" allowBlank="1" showInputMessage="1" showErrorMessage="1" sqref="G919" xr:uid="{E6B38E2C-28E0-488F-B650-631AB7811082}">
      <formula1>ValidList_G919</formula1>
    </dataValidation>
    <dataValidation type="list" allowBlank="1" showInputMessage="1" showErrorMessage="1" sqref="G920" xr:uid="{8FEAFA8B-ED43-4907-999A-57BDA5232E43}">
      <formula1>ValidList_G920</formula1>
    </dataValidation>
    <dataValidation type="list" allowBlank="1" showInputMessage="1" showErrorMessage="1" sqref="G921" xr:uid="{F79D9EC0-14D4-46EA-A166-84736B5D3D33}">
      <formula1>ValidList_G921</formula1>
    </dataValidation>
    <dataValidation type="list" allowBlank="1" showInputMessage="1" showErrorMessage="1" sqref="H920" xr:uid="{ACA828D2-3180-4E52-8E84-069436A499B4}">
      <formula1>ValidList_H920</formula1>
    </dataValidation>
    <dataValidation type="list" allowBlank="1" showInputMessage="1" showErrorMessage="1" sqref="H921" xr:uid="{02E8C806-65E0-4034-9125-5A00FBFFD8AC}">
      <formula1>ValidList_H921</formula1>
    </dataValidation>
    <dataValidation type="list" allowBlank="1" showInputMessage="1" showErrorMessage="1" sqref="H923" xr:uid="{09081B5E-54C1-44A8-BBD5-C65E85046A5B}">
      <formula1>ValidList_H923</formula1>
    </dataValidation>
    <dataValidation type="list" allowBlank="1" showInputMessage="1" showErrorMessage="1" sqref="G922" xr:uid="{B357DC93-F165-4ED2-A64C-42DC6D0BBC24}">
      <formula1>ValidList_G922</formula1>
    </dataValidation>
    <dataValidation type="list" allowBlank="1" showInputMessage="1" showErrorMessage="1" sqref="G927" xr:uid="{4ED1CD44-48D9-4EB9-9FA3-12CB359C9E34}">
      <formula1>ValidList_G927</formula1>
    </dataValidation>
    <dataValidation type="list" allowBlank="1" showInputMessage="1" showErrorMessage="1" sqref="G928" xr:uid="{E85AA320-82F8-41F1-8ED8-61A4B3737558}">
      <formula1>ValidList_G928</formula1>
    </dataValidation>
    <dataValidation type="list" allowBlank="1" showInputMessage="1" showErrorMessage="1" sqref="G929" xr:uid="{2516E397-ECA9-4727-A75B-B6E9061ED2F5}">
      <formula1>ValidList_G929</formula1>
    </dataValidation>
    <dataValidation type="list" allowBlank="1" showInputMessage="1" showErrorMessage="1" sqref="G930" xr:uid="{9828DB1C-5769-401E-805B-223B57070E21}">
      <formula1>ValidList_G930</formula1>
    </dataValidation>
    <dataValidation type="list" allowBlank="1" showInputMessage="1" showErrorMessage="1" sqref="G931" xr:uid="{79DAE8E2-2345-472F-B97F-4CAE1DA71FB1}">
      <formula1>ValidList_G931</formula1>
    </dataValidation>
    <dataValidation type="list" allowBlank="1" showInputMessage="1" showErrorMessage="1" sqref="G932" xr:uid="{7A59B530-E581-42F2-A248-4A719B5B77F0}">
      <formula1>ValidList_G932</formula1>
    </dataValidation>
    <dataValidation type="list" allowBlank="1" showInputMessage="1" showErrorMessage="1" sqref="G933" xr:uid="{ECDBB858-9D28-4632-BB08-8A56F70CD193}">
      <formula1>ValidList_G933</formula1>
    </dataValidation>
    <dataValidation type="list" allowBlank="1" showInputMessage="1" showErrorMessage="1" sqref="G935" xr:uid="{32BA6A18-59F9-456D-878C-A0BF58A6F53D}">
      <formula1>ValidList_G935</formula1>
    </dataValidation>
    <dataValidation type="list" allowBlank="1" showInputMessage="1" showErrorMessage="1" sqref="G936" xr:uid="{0D64EBD6-744E-4C69-B90D-3D9154CC1160}">
      <formula1>ValidList_G936</formula1>
    </dataValidation>
    <dataValidation type="list" allowBlank="1" showInputMessage="1" showErrorMessage="1" sqref="H936" xr:uid="{DE62B9D3-5E3D-4176-BAE2-E5903819B11F}">
      <formula1>ValidList_H936</formula1>
    </dataValidation>
    <dataValidation type="list" allowBlank="1" showInputMessage="1" showErrorMessage="1" sqref="G937" xr:uid="{378AE599-92CD-4A2B-AF49-4F56B55F1D4A}">
      <formula1>ValidList_G937</formula1>
    </dataValidation>
    <dataValidation type="list" allowBlank="1" showInputMessage="1" showErrorMessage="1" sqref="H937" xr:uid="{92CB2439-2F75-4148-A5F2-D29E9514CAC9}">
      <formula1>ValidList_H937</formula1>
    </dataValidation>
    <dataValidation type="list" allowBlank="1" showInputMessage="1" showErrorMessage="1" sqref="G938" xr:uid="{78CC5CE1-84BE-4847-8D54-32ABA708664A}">
      <formula1>ValidList_G938</formula1>
    </dataValidation>
    <dataValidation type="list" allowBlank="1" showInputMessage="1" showErrorMessage="1" sqref="G939" xr:uid="{F6E947F2-04FF-4CCC-8923-50F5B2598D64}">
      <formula1>ValidList_G939</formula1>
    </dataValidation>
    <dataValidation type="list" allowBlank="1" showInputMessage="1" showErrorMessage="1" sqref="H939" xr:uid="{4A11F1E7-76EB-41BB-8E90-EB5853446F11}">
      <formula1>ValidList_H939</formula1>
    </dataValidation>
    <dataValidation type="list" allowBlank="1" showInputMessage="1" showErrorMessage="1" sqref="G940" xr:uid="{4232EB04-0BAD-44C5-91FE-F4A911D06DB3}">
      <formula1>ValidList_G940</formula1>
    </dataValidation>
    <dataValidation type="list" allowBlank="1" showInputMessage="1" showErrorMessage="1" sqref="H940" xr:uid="{73DA55E9-DD86-4A67-9C6F-AEE5D1C968B0}">
      <formula1>ValidList_H940</formula1>
    </dataValidation>
    <dataValidation type="list" allowBlank="1" showInputMessage="1" showErrorMessage="1" sqref="G941" xr:uid="{125B85A0-7CA4-403F-A1D9-7DE2DEECDCC9}">
      <formula1>ValidList_G941</formula1>
    </dataValidation>
    <dataValidation type="list" allowBlank="1" showInputMessage="1" showErrorMessage="1" sqref="H942" xr:uid="{484AEA82-3DF3-4EC5-8A0F-3B59F4D1BF85}">
      <formula1>ValidList_H942</formula1>
    </dataValidation>
    <dataValidation type="list" allowBlank="1" showInputMessage="1" showErrorMessage="1" sqref="G942" xr:uid="{19EB9217-4FE8-4850-A82B-A9BFFC935F8B}">
      <formula1>ValidList_G942</formula1>
    </dataValidation>
    <dataValidation type="list" allowBlank="1" showInputMessage="1" showErrorMessage="1" sqref="G943" xr:uid="{DD5CD209-38AE-4001-A79B-249CD4F9C153}">
      <formula1>ValidList_G943</formula1>
    </dataValidation>
    <dataValidation type="list" allowBlank="1" showInputMessage="1" showErrorMessage="1" sqref="H944" xr:uid="{9848DAC7-F6FE-4650-99C2-3C4B8943CC6E}">
      <formula1>ValidList_H944</formula1>
    </dataValidation>
    <dataValidation type="list" allowBlank="1" showInputMessage="1" showErrorMessage="1" sqref="G947" xr:uid="{A274C239-DF8A-4AB7-9025-9B5D74F51622}">
      <formula1>ValidList_G947</formula1>
    </dataValidation>
    <dataValidation type="list" allowBlank="1" showInputMessage="1" showErrorMessage="1" sqref="H947" xr:uid="{17C45678-1E33-41E5-8DD2-74C0E50B3AA8}">
      <formula1>ValidList_H947</formula1>
    </dataValidation>
    <dataValidation type="list" allowBlank="1" showInputMessage="1" showErrorMessage="1" sqref="G949" xr:uid="{F2811A95-B726-4056-A310-CC231FBDDD89}">
      <formula1>ValidList_G949</formula1>
    </dataValidation>
    <dataValidation type="list" allowBlank="1" showInputMessage="1" showErrorMessage="1" sqref="H949" xr:uid="{A54AEDAB-0C34-4FF6-B451-ADA3E97421FF}">
      <formula1>ValidList_H949</formula1>
    </dataValidation>
    <dataValidation type="list" allowBlank="1" showInputMessage="1" showErrorMessage="1" sqref="G950" xr:uid="{0C7306DF-937B-4E32-A514-5679D1438D8B}">
      <formula1>ValidList_G950</formula1>
    </dataValidation>
    <dataValidation type="list" allowBlank="1" showInputMessage="1" showErrorMessage="1" sqref="G952" xr:uid="{62AB0AFC-7F20-4A66-B5ED-3848C980EEF1}">
      <formula1>ValidList_G952</formula1>
    </dataValidation>
    <dataValidation type="list" allowBlank="1" showInputMessage="1" showErrorMessage="1" sqref="G953" xr:uid="{5C83770B-1E4C-4249-94E9-B65E0DEFFC54}">
      <formula1>ValidList_G953</formula1>
    </dataValidation>
    <dataValidation type="list" allowBlank="1" showInputMessage="1" showErrorMessage="1" sqref="H953" xr:uid="{F88F52D8-251F-4C9D-B919-33F32949AFB2}">
      <formula1>ValidList_H953</formula1>
    </dataValidation>
    <dataValidation type="list" allowBlank="1" showInputMessage="1" showErrorMessage="1" sqref="G954" xr:uid="{C92F7953-CD02-47B4-B171-911770E2926D}">
      <formula1>ValidList_G954</formula1>
    </dataValidation>
    <dataValidation type="list" allowBlank="1" showInputMessage="1" showErrorMessage="1" sqref="G956" xr:uid="{AFC7CE61-6563-47FE-971A-DE410E44A328}">
      <formula1>ValidList_G956</formula1>
    </dataValidation>
    <dataValidation type="list" allowBlank="1" showInputMessage="1" showErrorMessage="1" sqref="G622" xr:uid="{894EC6A5-7364-4B8A-AE3F-7B78DEAAC849}">
      <formula1>ValidList_G622</formula1>
    </dataValidation>
    <dataValidation type="list" allowBlank="1" showInputMessage="1" showErrorMessage="1" sqref="G957" xr:uid="{D2AFB5E5-C4E9-4798-92B8-9475681FFEDE}">
      <formula1>ValidList_G957</formula1>
    </dataValidation>
    <dataValidation type="list" allowBlank="1" showInputMessage="1" showErrorMessage="1" sqref="G960" xr:uid="{75225F49-888B-4F65-AA62-A1E2E1F3B9D7}">
      <formula1>ValidList_G960</formula1>
    </dataValidation>
    <dataValidation type="list" allowBlank="1" showInputMessage="1" showErrorMessage="1" sqref="G961" xr:uid="{E383B297-805D-40BA-82BD-269E224F5BA6}">
      <formula1>ValidList_G961</formula1>
    </dataValidation>
    <dataValidation type="list" allowBlank="1" showInputMessage="1" showErrorMessage="1" sqref="G962" xr:uid="{BC8BF295-C9A9-4A53-BD69-B0CD398A7FB3}">
      <formula1>ValidList_G962</formula1>
    </dataValidation>
    <dataValidation type="list" allowBlank="1" showInputMessage="1" showErrorMessage="1" sqref="G963" xr:uid="{681FB617-4BAD-4445-BDE9-6F0696BA772E}">
      <formula1>ValidList_G963</formula1>
    </dataValidation>
    <dataValidation type="list" allowBlank="1" showInputMessage="1" showErrorMessage="1" sqref="H963" xr:uid="{E9E9808E-668B-41A2-83C9-8B84BBD28A2D}">
      <formula1>ValidList_H963</formula1>
    </dataValidation>
    <dataValidation type="list" allowBlank="1" showInputMessage="1" showErrorMessage="1" sqref="G964" xr:uid="{C8688F0F-7849-41C2-A1C4-3D22F68140E8}">
      <formula1>ValidList_G964</formula1>
    </dataValidation>
    <dataValidation type="list" allowBlank="1" showInputMessage="1" showErrorMessage="1" sqref="G965" xr:uid="{36BAC713-C2E2-4C30-8BFB-5F02CABC0317}">
      <formula1>ValidList_G965</formula1>
    </dataValidation>
    <dataValidation type="list" allowBlank="1" showInputMessage="1" showErrorMessage="1" sqref="G966" xr:uid="{3DFC769B-1B19-4DE7-B36E-84EF7B4D162A}">
      <formula1>ValidList_G966</formula1>
    </dataValidation>
    <dataValidation type="list" allowBlank="1" showInputMessage="1" showErrorMessage="1" sqref="H966" xr:uid="{8049A535-4F00-4E97-8603-3F7AA8A5A142}">
      <formula1>ValidList_H966</formula1>
    </dataValidation>
    <dataValidation type="list" allowBlank="1" showInputMessage="1" showErrorMessage="1" sqref="G958" xr:uid="{0786CDE8-BEA2-4FD6-9BA2-1753EEB26E90}">
      <formula1>ValidList_G958</formula1>
    </dataValidation>
    <dataValidation type="list" allowBlank="1" showInputMessage="1" showErrorMessage="1" sqref="H974" xr:uid="{2EED1014-C8AD-4BA1-BAA3-5D08A09E36D2}">
      <formula1>ValidList_H974</formula1>
    </dataValidation>
    <dataValidation type="list" allowBlank="1" showInputMessage="1" showErrorMessage="1" sqref="G975" xr:uid="{3B1BF075-5F75-4A04-8494-53710B5DAA34}">
      <formula1>ValidList_G975</formula1>
    </dataValidation>
    <dataValidation type="list" allowBlank="1" showInputMessage="1" showErrorMessage="1" sqref="G978" xr:uid="{F76B1210-2202-463A-9586-124781FD1029}">
      <formula1>ValidList_G978</formula1>
    </dataValidation>
    <dataValidation type="list" allowBlank="1" showInputMessage="1" showErrorMessage="1" sqref="H978" xr:uid="{2E42AD45-EA8B-435D-B5D0-A08B20555850}">
      <formula1>ValidList_H978</formula1>
    </dataValidation>
    <dataValidation type="list" allowBlank="1" showInputMessage="1" showErrorMessage="1" sqref="G979" xr:uid="{2BCBB3D8-25E5-4698-9B2A-3B98746D130A}">
      <formula1>ValidList_G979</formula1>
    </dataValidation>
    <dataValidation type="list" allowBlank="1" showInputMessage="1" showErrorMessage="1" sqref="H979" xr:uid="{06EC71F6-BDF7-429C-9E47-1F0E2083AE6B}">
      <formula1>ValidList_H979</formula1>
    </dataValidation>
    <dataValidation type="list" allowBlank="1" showInputMessage="1" showErrorMessage="1" sqref="G980" xr:uid="{3FE84E35-6311-4FFF-8B72-93AD8DF2F3AB}">
      <formula1>ValidList_G980</formula1>
    </dataValidation>
    <dataValidation type="list" allowBlank="1" showInputMessage="1" showErrorMessage="1" sqref="H980" xr:uid="{60AB7C89-3CD3-4F04-A1D6-F7A7748568DF}">
      <formula1>ValidList_H980</formula1>
    </dataValidation>
    <dataValidation type="list" allowBlank="1" showInputMessage="1" showErrorMessage="1" sqref="G981" xr:uid="{B6305684-05BB-4CFA-A810-6BE1491AA460}">
      <formula1>ValidList_G981</formula1>
    </dataValidation>
    <dataValidation type="list" allowBlank="1" showInputMessage="1" showErrorMessage="1" sqref="H981" xr:uid="{D1ED7C60-7439-42B9-B380-2C40C2622B21}">
      <formula1>ValidList_H981</formula1>
    </dataValidation>
    <dataValidation type="list" allowBlank="1" showInputMessage="1" showErrorMessage="1" sqref="G982" xr:uid="{BE0BD600-C949-4867-A2A6-6A4418F38505}">
      <formula1>ValidList_G982</formula1>
    </dataValidation>
    <dataValidation type="list" allowBlank="1" showInputMessage="1" showErrorMessage="1" sqref="H982" xr:uid="{89DAE989-D5FA-4147-97C4-6416FC2E5131}">
      <formula1>ValidList_H982</formula1>
    </dataValidation>
    <dataValidation type="list" allowBlank="1" showInputMessage="1" showErrorMessage="1" sqref="H782" xr:uid="{F85E2CDA-272A-4105-BCE4-A44A853A49E4}">
      <formula1>ValidList_H782</formula1>
    </dataValidation>
    <dataValidation type="list" allowBlank="1" showInputMessage="1" showErrorMessage="1" sqref="G983" xr:uid="{C72F2981-DDBF-49CB-A66A-B7C99B01E5ED}">
      <formula1>ValidList_G983</formula1>
    </dataValidation>
    <dataValidation type="list" allowBlank="1" showInputMessage="1" showErrorMessage="1" sqref="G984" xr:uid="{01D3973B-2B4B-4FF0-AA57-7E5ADF34D1CC}">
      <formula1>ValidList_G984</formula1>
    </dataValidation>
    <dataValidation type="list" allowBlank="1" showInputMessage="1" showErrorMessage="1" sqref="H984" xr:uid="{020BF225-8AF5-4892-8F81-4E6BEAE043FE}">
      <formula1>ValidList_H984</formula1>
    </dataValidation>
    <dataValidation type="list" allowBlank="1" showInputMessage="1" showErrorMessage="1" sqref="G1005" xr:uid="{A487CE3C-D61A-4DE3-B3ED-4B1064AFCF48}">
      <formula1>ValidList_G1005</formula1>
    </dataValidation>
    <dataValidation type="list" allowBlank="1" showInputMessage="1" showErrorMessage="1" sqref="H1005" xr:uid="{F94F7C56-F429-4450-AFB2-D02004995B62}">
      <formula1>ValidList_H1005</formula1>
    </dataValidation>
    <dataValidation type="list" allowBlank="1" showInputMessage="1" showErrorMessage="1" sqref="G1011" xr:uid="{1AFDBD55-E2CC-4AAA-B613-835CCC7C7440}">
      <formula1>ValidList_G1011</formula1>
    </dataValidation>
    <dataValidation type="list" allowBlank="1" showInputMessage="1" showErrorMessage="1" sqref="G1013" xr:uid="{3DA84217-AA51-4B76-942B-08067644354A}">
      <formula1>ValidList_G1013</formula1>
    </dataValidation>
    <dataValidation type="list" allowBlank="1" showInputMessage="1" showErrorMessage="1" sqref="H1013" xr:uid="{6980B5B2-514D-4910-9028-B87270AAC0B9}">
      <formula1>ValidList_H1013</formula1>
    </dataValidation>
    <dataValidation type="list" allowBlank="1" showInputMessage="1" showErrorMessage="1" sqref="G1014" xr:uid="{E075E847-8349-4837-9958-0F3CAE36F358}">
      <formula1>ValidList_G1014</formula1>
    </dataValidation>
    <dataValidation type="list" allowBlank="1" showInputMessage="1" showErrorMessage="1" sqref="H1014" xr:uid="{88D92A10-9ED9-41C8-8395-80CEE6BDC1EC}">
      <formula1>ValidList_H1014</formula1>
    </dataValidation>
    <dataValidation type="list" allowBlank="1" showInputMessage="1" showErrorMessage="1" sqref="G1016" xr:uid="{B4954F90-0B22-48CD-B3E9-796EEC1B0B3F}">
      <formula1>ValidList_G1016</formula1>
    </dataValidation>
    <dataValidation type="list" allowBlank="1" showInputMessage="1" showErrorMessage="1" sqref="H1016" xr:uid="{752733FF-8FCE-41CE-87B8-1505C112DE1D}">
      <formula1>ValidList_H1016</formula1>
    </dataValidation>
    <dataValidation type="list" allowBlank="1" showInputMessage="1" showErrorMessage="1" sqref="G1017" xr:uid="{29857667-7C6F-49A7-839C-8AD2607A1B90}">
      <formula1>ValidList_G1017</formula1>
    </dataValidation>
    <dataValidation type="list" allowBlank="1" showInputMessage="1" showErrorMessage="1" sqref="G1018" xr:uid="{A3A5CB74-3200-4BD7-A35B-64A30F697270}">
      <formula1>ValidList_G1018</formula1>
    </dataValidation>
    <dataValidation type="list" allowBlank="1" showInputMessage="1" showErrorMessage="1" sqref="G1019" xr:uid="{3AAD01D4-9F78-4460-BD00-EAD9679F54EE}">
      <formula1>ValidList_G1019</formula1>
    </dataValidation>
    <dataValidation type="list" allowBlank="1" showInputMessage="1" showErrorMessage="1" sqref="G1020" xr:uid="{90C346E7-8704-4BC1-89A4-8105BB46140D}">
      <formula1>ValidList_G1020</formula1>
    </dataValidation>
    <dataValidation type="list" allowBlank="1" showInputMessage="1" showErrorMessage="1" sqref="H1020" xr:uid="{61A5DDDB-5D90-49BF-8852-E6C379D51C13}">
      <formula1>ValidList_H1020</formula1>
    </dataValidation>
    <dataValidation type="list" allowBlank="1" showInputMessage="1" showErrorMessage="1" sqref="G1021" xr:uid="{8F3E886B-A4D7-47C4-922A-CA6C19A7DAF0}">
      <formula1>ValidList_G1021</formula1>
    </dataValidation>
    <dataValidation type="list" allowBlank="1" showInputMessage="1" showErrorMessage="1" sqref="G1022" xr:uid="{FE974373-DEB7-44B8-8DC1-F7E6944D2AAC}">
      <formula1>ValidList_G1022</formula1>
    </dataValidation>
    <dataValidation type="list" allowBlank="1" showInputMessage="1" showErrorMessage="1" sqref="G1024" xr:uid="{7C9690AE-6412-4B43-9FCC-2B06AC08EB49}">
      <formula1>ValidList_G1024</formula1>
    </dataValidation>
    <dataValidation type="list" allowBlank="1" showInputMessage="1" showErrorMessage="1" sqref="G1025" xr:uid="{B3705E27-0327-497D-9220-A72069368A5E}">
      <formula1>ValidList_G1025</formula1>
    </dataValidation>
    <dataValidation type="list" allowBlank="1" showInputMessage="1" showErrorMessage="1" sqref="H1025" xr:uid="{17A3D14D-A100-4A24-B8D4-6528BD5D1E27}">
      <formula1>ValidList_H1025</formula1>
    </dataValidation>
    <dataValidation type="list" allowBlank="1" showInputMessage="1" showErrorMessage="1" sqref="G1026" xr:uid="{2B8E9A7A-55AA-4757-A792-08F9E5A391A9}">
      <formula1>ValidList_G1026</formula1>
    </dataValidation>
    <dataValidation type="list" allowBlank="1" showInputMessage="1" showErrorMessage="1" sqref="H1026" xr:uid="{B207081A-1CF2-49A8-A152-E1D4A0766B24}">
      <formula1>ValidList_H1026</formula1>
    </dataValidation>
    <dataValidation type="list" allowBlank="1" showInputMessage="1" showErrorMessage="1" sqref="G1027" xr:uid="{45E33391-FC48-4BF5-85FB-D6EE693D5AFC}">
      <formula1>ValidList_G1027</formula1>
    </dataValidation>
    <dataValidation type="list" allowBlank="1" showInputMessage="1" showErrorMessage="1" sqref="H1027" xr:uid="{7914237B-E9F1-4F68-A2AC-D38F50925B09}">
      <formula1>ValidList_H1027</formula1>
    </dataValidation>
    <dataValidation type="list" allowBlank="1" showInputMessage="1" showErrorMessage="1" sqref="G1030" xr:uid="{6AA80738-BDE2-47DE-ABFC-74667300B6B8}">
      <formula1>ValidList_G1030</formula1>
    </dataValidation>
    <dataValidation type="list" allowBlank="1" showInputMessage="1" showErrorMessage="1" sqref="G1033" xr:uid="{4DD0162C-A917-45E6-98F5-92C5A74C5F56}">
      <formula1>ValidList_G1033</formula1>
    </dataValidation>
    <dataValidation type="list" allowBlank="1" showInputMessage="1" showErrorMessage="1" sqref="H1033" xr:uid="{762031AC-C94F-4515-8538-750ABDDCDCBA}">
      <formula1>ValidList_H1033</formula1>
    </dataValidation>
    <dataValidation type="list" allowBlank="1" showInputMessage="1" showErrorMessage="1" sqref="G1031" xr:uid="{81E16779-C4C5-4409-AC98-8F570991FD52}">
      <formula1>ValidList_G1031</formula1>
    </dataValidation>
    <dataValidation type="list" allowBlank="1" showInputMessage="1" showErrorMessage="1" sqref="G1034" xr:uid="{D14A32E4-45CC-47D4-A71C-E4287C03CD2F}">
      <formula1>ValidList_G1034</formula1>
    </dataValidation>
    <dataValidation type="list" allowBlank="1" showInputMessage="1" showErrorMessage="1" sqref="H1034" xr:uid="{4BC495CA-3CD5-4FB4-BA8C-A402DB1FD58E}">
      <formula1>ValidList_H1034</formula1>
    </dataValidation>
    <dataValidation type="list" allowBlank="1" showInputMessage="1" showErrorMessage="1" sqref="G1032" xr:uid="{EEA5C2EA-C768-4C40-8A63-0D29D2F26A5B}">
      <formula1>ValidList_G1032</formula1>
    </dataValidation>
    <dataValidation type="list" allowBlank="1" showInputMessage="1" showErrorMessage="1" sqref="G1036" xr:uid="{F495FA94-13AC-4962-A334-2B323E047AF5}">
      <formula1>ValidList_G1036</formula1>
    </dataValidation>
    <dataValidation type="list" allowBlank="1" showInputMessage="1" showErrorMessage="1" sqref="H1032" xr:uid="{5B8AADB3-14AF-4F4A-9652-519B5EDFEB83}">
      <formula1>ValidList_H1032</formula1>
    </dataValidation>
    <dataValidation type="list" allowBlank="1" showInputMessage="1" showErrorMessage="1" sqref="G1040" xr:uid="{047E42A2-141D-427D-AF39-78473A09C136}">
      <formula1>ValidList_G1040</formula1>
    </dataValidation>
    <dataValidation type="list" allowBlank="1" showInputMessage="1" showErrorMessage="1" sqref="G1041" xr:uid="{B10DAB87-F3F5-448F-BE8D-0997BB04D92E}">
      <formula1>ValidList_G1041</formula1>
    </dataValidation>
    <dataValidation type="list" allowBlank="1" showInputMessage="1" showErrorMessage="1" sqref="G1042" xr:uid="{411CD5CC-2C6D-47EE-98C2-5747132EF505}">
      <formula1>ValidList_G1042</formula1>
    </dataValidation>
    <dataValidation type="list" allowBlank="1" showInputMessage="1" showErrorMessage="1" sqref="G1043" xr:uid="{E07FA4A3-35E4-4178-BD70-0574E5195F08}">
      <formula1>ValidList_G1043</formula1>
    </dataValidation>
    <dataValidation type="list" allowBlank="1" showInputMessage="1" showErrorMessage="1" sqref="G1051" xr:uid="{995F8E28-8828-4C7D-BB55-9BC5DAC3CBE0}">
      <formula1>ValidList_G1051</formula1>
    </dataValidation>
    <dataValidation type="list" allowBlank="1" showInputMessage="1" showErrorMessage="1" sqref="H1051" xr:uid="{B9896E1E-3A73-4BEA-9C83-32DF0C3A55A0}">
      <formula1>ValidList_H1051</formula1>
    </dataValidation>
    <dataValidation type="list" allowBlank="1" showInputMessage="1" showErrorMessage="1" sqref="G1052" xr:uid="{95BF9137-C281-4A6D-84A4-1823D5947216}">
      <formula1>ValidList_G1052</formula1>
    </dataValidation>
    <dataValidation type="list" allowBlank="1" showInputMessage="1" showErrorMessage="1" sqref="G1038" xr:uid="{577A4D55-EEFE-4789-A22F-C446AC9405FD}">
      <formula1>ValidList_G1038</formula1>
    </dataValidation>
    <dataValidation type="list" allowBlank="1" showInputMessage="1" showErrorMessage="1" sqref="G1055" xr:uid="{1E95597F-84B5-440F-892B-C2C6A07994BD}">
      <formula1>ValidList_G1055</formula1>
    </dataValidation>
    <dataValidation type="list" allowBlank="1" showInputMessage="1" showErrorMessage="1" sqref="G1056" xr:uid="{399DAA28-A514-4421-833C-D222AA4B630D}">
      <formula1>ValidList_G1056</formula1>
    </dataValidation>
    <dataValidation type="list" allowBlank="1" showInputMessage="1" showErrorMessage="1" sqref="H1056" xr:uid="{4EFD45A2-94AE-4DC9-A427-733A9A7239D9}">
      <formula1>ValidList_H1056</formula1>
    </dataValidation>
    <dataValidation type="list" allowBlank="1" showInputMessage="1" showErrorMessage="1" sqref="G1057" xr:uid="{58F5A9EA-9D28-4A15-9944-B975E96815D3}">
      <formula1>ValidList_G1057</formula1>
    </dataValidation>
    <dataValidation type="list" allowBlank="1" showInputMessage="1" showErrorMessage="1" sqref="H1057" xr:uid="{9A528244-97C1-44AE-8F3C-5020492FEF90}">
      <formula1>ValidList_H1057</formula1>
    </dataValidation>
    <dataValidation type="list" allowBlank="1" showInputMessage="1" showErrorMessage="1" sqref="G1058:G1059" xr:uid="{71E6CFC3-AD60-4DE8-BFFF-9BE1D94BFA8B}">
      <formula1>ValidList_G1058</formula1>
    </dataValidation>
    <dataValidation type="list" allowBlank="1" showInputMessage="1" showErrorMessage="1" sqref="G1062" xr:uid="{298478BF-AA7D-4FF8-8967-BEE8F194B585}">
      <formula1>ValidList_G1062</formula1>
    </dataValidation>
    <dataValidation type="list" allowBlank="1" showInputMessage="1" showErrorMessage="1" sqref="G1063" xr:uid="{C69A070D-0768-4D4C-AA34-AF56A9C0B086}">
      <formula1>ValidList_G1063</formula1>
    </dataValidation>
    <dataValidation type="list" allowBlank="1" showInputMessage="1" showErrorMessage="1" sqref="G1064" xr:uid="{9CA2E596-E4C0-4E5E-BEBE-2D70CC90CEC3}">
      <formula1>ValidList_G1064</formula1>
    </dataValidation>
    <dataValidation type="list" allowBlank="1" showInputMessage="1" showErrorMessage="1" sqref="G1065" xr:uid="{5D5A586C-2D33-4C6A-A79C-40958E0198EB}">
      <formula1>ValidList_G1065</formula1>
    </dataValidation>
    <dataValidation type="list" allowBlank="1" showInputMessage="1" showErrorMessage="1" sqref="G1039" xr:uid="{F76C0C71-7F5F-4DFA-9B7C-945C74739783}">
      <formula1>ValidList_G1039</formula1>
    </dataValidation>
    <dataValidation type="list" allowBlank="1" showInputMessage="1" showErrorMessage="1" sqref="G1068" xr:uid="{7F60933B-36FC-477C-A28D-97DD4072F466}">
      <formula1>ValidList_G1068</formula1>
    </dataValidation>
    <dataValidation type="list" allowBlank="1" showInputMessage="1" showErrorMessage="1" sqref="H1068" xr:uid="{C3897D42-CB7B-442E-A086-F533A1E19674}">
      <formula1>ValidList_H1068</formula1>
    </dataValidation>
    <dataValidation type="list" allowBlank="1" showInputMessage="1" showErrorMessage="1" sqref="G1069" xr:uid="{A62E82C4-B730-4C8D-98E0-27667D8C046F}">
      <formula1>ValidList_G1069</formula1>
    </dataValidation>
    <dataValidation type="list" allowBlank="1" showInputMessage="1" showErrorMessage="1" sqref="G1070" xr:uid="{43D045BA-3E1D-4B07-B691-564BF1F4EF71}">
      <formula1>ValidList_G1070</formula1>
    </dataValidation>
    <dataValidation type="list" allowBlank="1" showInputMessage="1" showErrorMessage="1" sqref="H1072" xr:uid="{570562C3-5D94-46EF-A855-54403782B363}">
      <formula1>ValidList_H1072</formula1>
    </dataValidation>
    <dataValidation type="list" allowBlank="1" showInputMessage="1" showErrorMessage="1" sqref="G1073" xr:uid="{B2293BBF-D69C-4757-9445-21E5970394AB}">
      <formula1>ValidList_G1073</formula1>
    </dataValidation>
    <dataValidation type="list" allowBlank="1" showInputMessage="1" showErrorMessage="1" sqref="G1075" xr:uid="{12005500-9807-47CE-BC79-A647B2094D17}">
      <formula1>ValidList_G1075</formula1>
    </dataValidation>
    <dataValidation type="list" allowBlank="1" showInputMessage="1" showErrorMessage="1" sqref="H1075" xr:uid="{7A9199AF-5604-43D4-B1C3-64918C329FBD}">
      <formula1>ValidList_H1075</formula1>
    </dataValidation>
    <dataValidation type="list" allowBlank="1" showInputMessage="1" showErrorMessage="1" sqref="G1080" xr:uid="{C45C1BF5-32B4-43C5-B103-228F18B7FFDB}">
      <formula1>ValidList_G1080</formula1>
    </dataValidation>
    <dataValidation type="list" allowBlank="1" showInputMessage="1" showErrorMessage="1" sqref="G1081" xr:uid="{BEBEE1C6-5953-48B2-8D58-2BA0E2E8500A}">
      <formula1>ValidList_G1081</formula1>
    </dataValidation>
    <dataValidation type="list" allowBlank="1" showInputMessage="1" showErrorMessage="1" sqref="G1082" xr:uid="{C0849013-ED7A-477E-A7FE-4BEA05A91FB2}">
      <formula1>ValidList_G1082</formula1>
    </dataValidation>
    <dataValidation type="list" allowBlank="1" showInputMessage="1" showErrorMessage="1" sqref="H1082" xr:uid="{B2F5D37E-B681-4D9B-8ACF-A08F3AD6EB37}">
      <formula1>ValidList_H1082</formula1>
    </dataValidation>
    <dataValidation type="list" allowBlank="1" showInputMessage="1" showErrorMessage="1" sqref="G1083" xr:uid="{C727CE9E-98F1-4679-8E8C-E9D5BDAFC1DE}">
      <formula1>ValidList_G1083</formula1>
    </dataValidation>
    <dataValidation type="list" allowBlank="1" showInputMessage="1" showErrorMessage="1" sqref="H1083" xr:uid="{47A2D4F5-A194-406D-A469-6E7BF4019C1E}">
      <formula1>ValidList_H1083</formula1>
    </dataValidation>
    <dataValidation type="list" allowBlank="1" showInputMessage="1" showErrorMessage="1" sqref="AC2:AC1500" xr:uid="{204A5B88-AD44-437E-B154-0269BE8E6429}">
      <formula1>"Oui,Non"</formula1>
    </dataValidation>
    <dataValidation type="list" allowBlank="1" showInputMessage="1" showErrorMessage="1" sqref="Y2:Y1500" xr:uid="{A7E4BD90-D75A-466F-91B7-503483165277}">
      <formula1>"En attente,Validé,Refusé"</formula1>
    </dataValidation>
    <dataValidation type="list" allowBlank="1" showInputMessage="1" showErrorMessage="1" sqref="H789" xr:uid="{DA3291B9-C3F9-48D8-AD10-8525215A4FFA}">
      <formula1>ValidList_H789</formula1>
    </dataValidation>
    <dataValidation type="list" allowBlank="1" showInputMessage="1" showErrorMessage="1" sqref="G789" xr:uid="{1DA6B720-7B51-4B46-965E-48C89F17688C}">
      <formula1>ValidList_G789</formula1>
    </dataValidation>
    <dataValidation type="list" allowBlank="1" showInputMessage="1" showErrorMessage="1" sqref="G1084" xr:uid="{07E367B2-84D9-457A-9D92-044EAAF94EF0}">
      <formula1>ValidList_G1084</formula1>
    </dataValidation>
    <dataValidation type="list" allowBlank="1" showInputMessage="1" showErrorMessage="1" sqref="G1086" xr:uid="{9FF10694-0DCC-4C2A-BDF2-D611B5A4C430}">
      <formula1>ValidList_G1086</formula1>
    </dataValidation>
    <dataValidation type="list" allowBlank="1" showInputMessage="1" showErrorMessage="1" sqref="G1103" xr:uid="{9DFCEE46-809E-4CC0-8255-C1B8D87DFB75}">
      <formula1>ValidList_G1103</formula1>
    </dataValidation>
    <dataValidation type="list" allowBlank="1" showInputMessage="1" showErrorMessage="1" sqref="G1104" xr:uid="{68F46AFC-AD87-4A9B-8038-916BCFC0272E}">
      <formula1>ValidList_G1104</formula1>
    </dataValidation>
    <dataValidation type="list" allowBlank="1" showInputMessage="1" showErrorMessage="1" sqref="H1104" xr:uid="{A5B07E9A-3A33-4A27-87FB-2A7B8EEED0F1}">
      <formula1>ValidList_H1104</formula1>
    </dataValidation>
    <dataValidation type="list" allowBlank="1" showInputMessage="1" showErrorMessage="1" sqref="G1110" xr:uid="{10D73372-ADDF-4AB8-9ADB-A56CBD6A4205}">
      <formula1>ValidList_G1110</formula1>
    </dataValidation>
    <dataValidation type="list" allowBlank="1" showInputMessage="1" showErrorMessage="1" sqref="H1110" xr:uid="{4AB207CE-83EE-4D5B-8A02-3192D92C50C3}">
      <formula1>ValidList_H1110</formula1>
    </dataValidation>
    <dataValidation type="list" allowBlank="1" showInputMessage="1" showErrorMessage="1" sqref="G1111" xr:uid="{A4332CC6-1DF6-44CA-8A61-C33DE2E1F6BD}">
      <formula1>ValidList_G1111</formula1>
    </dataValidation>
    <dataValidation type="list" allowBlank="1" showInputMessage="1" showErrorMessage="1" sqref="G1112" xr:uid="{00C573B7-07CE-4CD4-BACE-B2C2D9ADB328}">
      <formula1>ValidList_G1112</formula1>
    </dataValidation>
    <dataValidation type="list" allowBlank="1" showInputMessage="1" showErrorMessage="1" sqref="G1113" xr:uid="{42427081-89D7-4E63-8EC8-335204173F28}">
      <formula1>ValidList_G1113</formula1>
    </dataValidation>
    <dataValidation type="list" allowBlank="1" showInputMessage="1" showErrorMessage="1" sqref="G1114" xr:uid="{C3A1D779-9206-4BF2-BBB9-45DB2997636D}">
      <formula1>ValidList_G1114</formula1>
    </dataValidation>
    <dataValidation type="list" allowBlank="1" showInputMessage="1" showErrorMessage="1" sqref="G1115" xr:uid="{1F9A5785-03C3-49CD-BBE5-FE3F595A0A41}">
      <formula1>ValidList_G1115</formula1>
    </dataValidation>
    <dataValidation type="list" allowBlank="1" showInputMessage="1" showErrorMessage="1" sqref="G1118" xr:uid="{AD6E42EB-2232-4157-AE1D-6597A15BAEDA}">
      <formula1>ValidList_G1118</formula1>
    </dataValidation>
    <dataValidation type="list" allowBlank="1" showInputMessage="1" showErrorMessage="1" sqref="G1119" xr:uid="{F4801BF5-1832-40B5-AD8F-72CA911FBD7D}">
      <formula1>ValidList_G1119</formula1>
    </dataValidation>
    <dataValidation type="list" allowBlank="1" showInputMessage="1" showErrorMessage="1" sqref="H1119" xr:uid="{617AF49B-5485-4810-92C9-46A2AC72C134}">
      <formula1>ValidList_H1119</formula1>
    </dataValidation>
    <dataValidation type="list" allowBlank="1" showInputMessage="1" showErrorMessage="1" sqref="G1122" xr:uid="{E4905EA0-C601-4C6A-A6E4-5444D3DEC999}">
      <formula1>ValidList_G1122</formula1>
    </dataValidation>
  </dataValidations>
  <hyperlinks>
    <hyperlink ref="U2" r:id="rId1" xr:uid="{54E8359F-B21C-477F-A879-370D35AE9292}"/>
    <hyperlink ref="U3" r:id="rId2" xr:uid="{C7B9F026-F081-4BFD-A4EB-8A18AB1A10CF}"/>
    <hyperlink ref="U4" r:id="rId3" xr:uid="{CB292941-37DB-49E4-B0F4-F2A66CA4674C}"/>
    <hyperlink ref="U5" r:id="rId4" xr:uid="{F4391856-254D-40AC-BB7D-ED4EBDFA0101}"/>
    <hyperlink ref="U11" r:id="rId5" xr:uid="{63CBD9D3-C508-4D26-BFC6-9181B426340B}"/>
    <hyperlink ref="U6" r:id="rId6" xr:uid="{7F7AD6DA-C3DF-4492-8C17-96FDC4833B76}"/>
    <hyperlink ref="U7" r:id="rId7" xr:uid="{FFE8CC66-A454-4ED1-BE5E-B1F8CB62A9B8}"/>
    <hyperlink ref="U8" r:id="rId8" xr:uid="{40497DDF-658C-4275-AEEC-D0A1623461C0}"/>
    <hyperlink ref="U9" r:id="rId9" xr:uid="{521DCFA4-7D7B-433E-A285-51D015CE4EB7}"/>
    <hyperlink ref="U10" r:id="rId10" xr:uid="{D85EC198-FD81-4465-8111-2E931AB4A3EE}"/>
    <hyperlink ref="U13" r:id="rId11" xr:uid="{6CF36672-220E-48A5-B379-51E2E6076226}"/>
    <hyperlink ref="U14" r:id="rId12" xr:uid="{4741E216-10C2-475F-8D26-3104EAD7BE4F}"/>
    <hyperlink ref="U17" r:id="rId13" xr:uid="{67EE2905-542C-4D97-8A6C-A0F21913B979}"/>
    <hyperlink ref="U16" r:id="rId14" xr:uid="{11F25555-5225-4174-87E3-13A74859C2FA}"/>
    <hyperlink ref="U15" r:id="rId15" xr:uid="{7DD60D8A-F957-47D4-A266-6C531652D634}"/>
    <hyperlink ref="U12" r:id="rId16" xr:uid="{5012BBC8-F996-4B8B-A1B3-20E51EDC3B6E}"/>
    <hyperlink ref="U21" r:id="rId17" xr:uid="{0CD633EA-FC44-4874-AB06-E050F0954E0B}"/>
    <hyperlink ref="U22" r:id="rId18" xr:uid="{4EEF50A2-1EC7-4E09-8737-DC806234D85A}"/>
    <hyperlink ref="U23" r:id="rId19" xr:uid="{6FF5C8B4-914E-4FB7-B866-DE206E9755DD}"/>
    <hyperlink ref="U20" r:id="rId20" xr:uid="{8BC5590B-5F4C-4128-B1AF-8F7ADF7E528E}"/>
    <hyperlink ref="U25" r:id="rId21" xr:uid="{C884B20A-843A-4E70-88F8-00324E894D5B}"/>
    <hyperlink ref="U26" r:id="rId22" xr:uid="{3118A702-BB46-462A-9DF8-72A344C7099D}"/>
    <hyperlink ref="U28" r:id="rId23" xr:uid="{157714DE-6252-46DD-A19D-81578EEBFCD5}"/>
    <hyperlink ref="U18" r:id="rId24" xr:uid="{A455D9C1-F374-4A98-9468-241128C4D119}"/>
    <hyperlink ref="U30" r:id="rId25" xr:uid="{E98BFF66-6F8B-43FC-BED1-B80C9E41FCC3}"/>
    <hyperlink ref="U33" r:id="rId26" xr:uid="{9544D716-1AE9-42D7-A095-02A13F1FA885}"/>
    <hyperlink ref="U39" r:id="rId27" xr:uid="{BFC23FEE-2E18-432B-B122-DE3A792A3B91}"/>
    <hyperlink ref="U40" r:id="rId28" xr:uid="{4B7549F5-0D50-46FA-A47F-10ADE7D42C0D}"/>
    <hyperlink ref="U41" r:id="rId29" xr:uid="{5D96C93D-DC42-4B89-A1FB-71C9FF6CFCEE}"/>
    <hyperlink ref="U29" r:id="rId30" xr:uid="{2978BAE3-08A2-4EC5-A7AD-2B662549EF19}"/>
    <hyperlink ref="U34" r:id="rId31" xr:uid="{4D064793-409C-4F9B-BA11-5249A6A2BE1E}"/>
    <hyperlink ref="U35" r:id="rId32" xr:uid="{E4B36E7B-568D-4440-B889-8283514B0021}"/>
    <hyperlink ref="U36" r:id="rId33" xr:uid="{6B30CA0C-ED95-4720-B79B-3116F8F14746}"/>
    <hyperlink ref="U37" r:id="rId34" xr:uid="{D43273A8-1E5B-486A-BB81-36095516B671}"/>
    <hyperlink ref="U38" r:id="rId35" xr:uid="{12BF39C8-A39C-4233-9BCD-051D66D5994B}"/>
    <hyperlink ref="U42" r:id="rId36" xr:uid="{A8E73810-EE32-4AB5-926A-45DFB947AC7C}"/>
    <hyperlink ref="U43" r:id="rId37" xr:uid="{185DFFD7-481D-4772-A3D4-64C89027A2F4}"/>
    <hyperlink ref="U44" r:id="rId38" xr:uid="{D109C71D-2EDE-4A00-A78A-3BBEDA4E5405}"/>
    <hyperlink ref="U45" r:id="rId39" xr:uid="{FDF7C712-F1E5-4388-A9B8-E9249EE83149}"/>
    <hyperlink ref="U46" r:id="rId40" xr:uid="{7868C779-65E8-43EE-B3D5-F2929511B347}"/>
    <hyperlink ref="U47" r:id="rId41" xr:uid="{C69F2992-F264-4575-8A7F-6F70328E2C26}"/>
    <hyperlink ref="U19" r:id="rId42" xr:uid="{78FEF1C9-F5B7-4AF0-AD5C-7418D0843DB2}"/>
    <hyperlink ref="U51" r:id="rId43" xr:uid="{99951161-8BEB-4BA7-8CBE-7DF12163A833}"/>
    <hyperlink ref="U32" r:id="rId44" xr:uid="{B00AE208-3453-4D14-B684-A90C494C7313}"/>
    <hyperlink ref="U49" r:id="rId45" xr:uid="{D9CAD48A-67E6-4E18-B512-EBF226D8B71F}"/>
    <hyperlink ref="U48" r:id="rId46" xr:uid="{9CB48F6A-74B8-45AA-8EBB-1BFF6B30A3F0}"/>
    <hyperlink ref="U52" r:id="rId47" xr:uid="{A345B1B3-CE65-42F6-9FFA-1429C56B28E2}"/>
    <hyperlink ref="U55" r:id="rId48" xr:uid="{6314C727-6727-49D6-BFC7-50F2739A3469}"/>
    <hyperlink ref="U56" r:id="rId49" xr:uid="{24FE9FC2-8A9A-421F-9728-D47B86287FA9}"/>
    <hyperlink ref="U57" r:id="rId50" xr:uid="{C771B59F-E877-48E4-AC01-9CC27EAF8D35}"/>
    <hyperlink ref="U58" r:id="rId51" xr:uid="{915DD5DD-5565-4419-8D75-C7421408094D}"/>
    <hyperlink ref="U27" r:id="rId52" xr:uid="{C7B45128-41BC-489E-8EE9-033B65C9BDDB}"/>
    <hyperlink ref="U59" r:id="rId53" xr:uid="{5E1774D0-FD06-4A0E-9749-BE8ED78DB45C}"/>
    <hyperlink ref="U24" r:id="rId54" xr:uid="{C22FC96D-B0B5-45A7-982B-5C6DC58C6C6F}"/>
    <hyperlink ref="U62" r:id="rId55" xr:uid="{AEF546E3-F78A-4915-B176-ECC54B9DD86E}"/>
    <hyperlink ref="U63" r:id="rId56" xr:uid="{F0C5944E-05E4-4FF6-8DEC-EA1826C3A84E}"/>
    <hyperlink ref="U64" r:id="rId57" xr:uid="{3BBA8F15-168D-431A-8931-311E04E2AC91}"/>
    <hyperlink ref="U65" r:id="rId58" xr:uid="{56179D7C-D2C3-40D5-B179-503A7ECEC954}"/>
    <hyperlink ref="U66" r:id="rId59" xr:uid="{8EBD2F27-6D4C-4A69-BC71-2262BC4D2DD7}"/>
    <hyperlink ref="U67" r:id="rId60" xr:uid="{584A8843-4DDF-4C78-8928-0A3C0C3D37F5}"/>
    <hyperlink ref="U68" r:id="rId61" xr:uid="{72FB9B5B-E431-4821-AC7C-B78DB2B6EFB0}"/>
    <hyperlink ref="U71" r:id="rId62" xr:uid="{267E1504-6ED5-4877-B210-BE8287AEF143}"/>
    <hyperlink ref="U73" r:id="rId63" xr:uid="{15DBF802-9647-4014-A497-DAC766FBE596}"/>
    <hyperlink ref="U74" r:id="rId64" xr:uid="{1AE6C006-147A-4084-9C26-F068A10CCDEA}"/>
    <hyperlink ref="U75" r:id="rId65" xr:uid="{7567A218-6929-4801-8E3F-5ED058EE2EA3}"/>
    <hyperlink ref="U76" r:id="rId66" xr:uid="{3C2BB556-0A25-4547-AB33-623463462B00}"/>
    <hyperlink ref="U77" r:id="rId67" xr:uid="{54347AAD-E079-47A3-99EE-11F86041F211}"/>
    <hyperlink ref="U78" r:id="rId68" xr:uid="{86C27B32-3D0B-4A9F-968E-40F6C397A90D}"/>
    <hyperlink ref="U79" r:id="rId69" xr:uid="{8E8887AE-46AC-484F-A5C1-FDC77C323597}"/>
    <hyperlink ref="U80" r:id="rId70" xr:uid="{05092C09-91C3-416D-9B72-A90B4C81DA45}"/>
    <hyperlink ref="U81" r:id="rId71" xr:uid="{6EFB4FE0-8507-41A3-8DF9-9D539EDB43CD}"/>
    <hyperlink ref="U83" r:id="rId72" xr:uid="{FE2600D4-E210-44AD-8D4E-D318C9FD8A02}"/>
    <hyperlink ref="U84" r:id="rId73" xr:uid="{74E0C401-8B9A-451D-B22F-82343CDD19A3}"/>
    <hyperlink ref="U85" r:id="rId74" xr:uid="{45D64B82-2AA6-4488-8663-C52B004C9EDA}"/>
    <hyperlink ref="U50" r:id="rId75" xr:uid="{C427A50F-BA34-479F-80CE-E11B8FCE0A77}"/>
    <hyperlink ref="U53" r:id="rId76" xr:uid="{7F5966B1-3A53-475D-A67A-61D0F1017A12}"/>
    <hyperlink ref="U54" r:id="rId77" xr:uid="{8BB6EA10-A54C-4464-9531-F46725511668}"/>
    <hyperlink ref="U69" r:id="rId78" xr:uid="{EDF17EF4-F9B0-43CB-8D6E-65276D0409AB}"/>
    <hyperlink ref="U70" r:id="rId79" xr:uid="{56DBFA87-1C8D-452C-8C9F-1F1268810F8E}"/>
    <hyperlink ref="U60" r:id="rId80" xr:uid="{EB3D50F7-7FF1-4F50-BAC9-656179B08829}"/>
    <hyperlink ref="U86" r:id="rId81" xr:uid="{3D4D6330-D636-4D74-A15D-E4CE1ED8F1AC}"/>
    <hyperlink ref="U87" r:id="rId82" xr:uid="{E3EF18AD-AC68-47C8-ABD6-7E3DDD401C6C}"/>
    <hyperlink ref="U61" r:id="rId83" xr:uid="{C845B2F3-532C-4DE0-B041-452F2B6D175D}"/>
    <hyperlink ref="U88" r:id="rId84" xr:uid="{937DB318-E8F9-4898-A551-8BD251EDEF29}"/>
    <hyperlink ref="U91" r:id="rId85" xr:uid="{8DE1C2BC-00D4-4A0B-8727-5D258C750DC2}"/>
    <hyperlink ref="U89" r:id="rId86" xr:uid="{77F499F4-B58A-414C-B209-AFC510EBEA04}"/>
    <hyperlink ref="U90" r:id="rId87" xr:uid="{B9CCE377-F20A-4DBF-9BB0-514E6BBCBCF6}"/>
    <hyperlink ref="U92" r:id="rId88" xr:uid="{C942101C-868C-4A19-BFA4-2FCB81B92399}"/>
    <hyperlink ref="U93" r:id="rId89" xr:uid="{05F409BF-33DB-469C-B2A1-EF3A9F78559F}"/>
    <hyperlink ref="U95" r:id="rId90" xr:uid="{70DC44C2-F4FD-43F8-A4DF-D4DBCBD530A1}"/>
    <hyperlink ref="U96" r:id="rId91" xr:uid="{4695B352-3C18-40CB-B9CB-94B7DD68A972}"/>
    <hyperlink ref="U97" r:id="rId92" xr:uid="{0E3F79F2-F397-4BF4-ABFD-239E17EB1274}"/>
    <hyperlink ref="U98" r:id="rId93" xr:uid="{3779EC3E-EC5F-42F4-B4EF-5CF79EEB0735}"/>
    <hyperlink ref="U99" r:id="rId94" xr:uid="{2AC930E2-5F99-485D-A1EE-E974B4AB261D}"/>
    <hyperlink ref="U100" r:id="rId95" xr:uid="{4A8AD0FB-3D6D-48EC-A3FD-BD1F7F0D8893}"/>
    <hyperlink ref="U101" r:id="rId96" xr:uid="{E22640B8-8098-4F08-93CC-5A46130B1BF9}"/>
    <hyperlink ref="U102" r:id="rId97" xr:uid="{F8E1AF41-1F63-41CE-A551-F120841780F0}"/>
    <hyperlink ref="U103" r:id="rId98" xr:uid="{7BD53976-6892-4D73-9238-977B0D18E25A}"/>
    <hyperlink ref="U104" r:id="rId99" xr:uid="{162E8E88-19C2-461D-B55D-E18DCCA6441D}"/>
    <hyperlink ref="U105" r:id="rId100" xr:uid="{B43E72C7-AF55-4112-8538-20F368CBAD2F}"/>
    <hyperlink ref="U106" r:id="rId101" xr:uid="{D5978A89-6CF5-4FC8-A813-77395B081440}"/>
    <hyperlink ref="U107" r:id="rId102" xr:uid="{0C4652E5-7218-49BE-A558-8F6E444B40EC}"/>
    <hyperlink ref="U108" r:id="rId103" xr:uid="{FD2F6591-1F47-42D4-9D51-CC84B2A7AAE9}"/>
    <hyperlink ref="U109" r:id="rId104" xr:uid="{1A863F23-86ED-4436-B1A4-D3F669CC0E90}"/>
    <hyperlink ref="U110" r:id="rId105" xr:uid="{73C51D08-19AA-440B-9477-3797CAF55EE5}"/>
    <hyperlink ref="U111" r:id="rId106" xr:uid="{49C4FFFA-7D2E-4E11-A670-48495FB8BF56}"/>
    <hyperlink ref="U112" r:id="rId107" xr:uid="{51551F11-CE2F-4E6A-9718-235CD10579F8}"/>
    <hyperlink ref="U114" r:id="rId108" xr:uid="{F889F5C3-24EB-47F4-88A2-62F1ADA6D48F}"/>
    <hyperlink ref="U115" r:id="rId109" xr:uid="{7C036A36-730F-418D-A395-02E085C3A7A6}"/>
    <hyperlink ref="U116" r:id="rId110" xr:uid="{5FBB56BA-5ADC-4171-95A7-F342D9E30FBD}"/>
    <hyperlink ref="U117" r:id="rId111" xr:uid="{02B9B15D-BBE1-4C67-8CD0-2404E1A676C8}"/>
    <hyperlink ref="U113" r:id="rId112" xr:uid="{E5D0E20C-8489-498B-93AA-A2EFD856E303}"/>
    <hyperlink ref="U118" r:id="rId113" xr:uid="{B0021774-3AB4-4656-AD0E-73836AA549EE}"/>
    <hyperlink ref="U119" r:id="rId114" xr:uid="{0AB0C16B-9522-41EC-9D4F-EF189CB9F5F5}"/>
    <hyperlink ref="U120" r:id="rId115" xr:uid="{58CEB91E-A8B7-4A79-BA86-67DFFE2FAA66}"/>
    <hyperlink ref="U121" r:id="rId116" xr:uid="{84DE16B1-D905-4431-9BBA-BA95AC67EA39}"/>
    <hyperlink ref="U122" r:id="rId117" xr:uid="{43D1040C-25D3-4413-9453-4C5C4AACDD7B}"/>
    <hyperlink ref="U123" r:id="rId118" xr:uid="{CB01ECEF-8F2C-4FD8-8E78-7632F3D64E89}"/>
    <hyperlink ref="U124" r:id="rId119" xr:uid="{003F54F5-7CD2-47D0-917F-CBCC5060557A}"/>
    <hyperlink ref="U126" r:id="rId120" xr:uid="{A8CDC8E2-F3C6-4725-862B-68D06F762B27}"/>
    <hyperlink ref="U127" r:id="rId121" xr:uid="{D4863B37-BEE7-4853-8295-6B640529207A}"/>
    <hyperlink ref="U128" r:id="rId122" xr:uid="{FA313306-97DC-4529-860C-ECC5BFE88780}"/>
    <hyperlink ref="U129" r:id="rId123" xr:uid="{5C80599D-6C36-4566-B7B1-BEE9AB4C6849}"/>
    <hyperlink ref="U130" r:id="rId124" xr:uid="{C1988A01-91D6-439A-93E8-4C5092D80AE9}"/>
    <hyperlink ref="U132" r:id="rId125" xr:uid="{6C8AD158-2E5C-45E0-943C-569A16991A28}"/>
    <hyperlink ref="U133" r:id="rId126" xr:uid="{A16E4670-9154-4F50-BBFC-91A185359C06}"/>
    <hyperlink ref="U131" r:id="rId127" xr:uid="{47A29255-759D-405A-9DE3-D4F62CB6F9CE}"/>
    <hyperlink ref="U82" r:id="rId128" xr:uid="{F1154C44-8F8E-483A-BD0F-07BDFDDCD3F0}"/>
    <hyperlink ref="U135" r:id="rId129" xr:uid="{41F4310E-A030-435C-BB3C-CF79993D496A}"/>
    <hyperlink ref="U134" r:id="rId130" xr:uid="{AD884F3F-8BAF-4328-9047-1C13F61C29FE}"/>
    <hyperlink ref="U136" r:id="rId131" xr:uid="{22167AC8-2EF0-4792-9001-2CF6E5803A15}"/>
    <hyperlink ref="U137" r:id="rId132" xr:uid="{32548455-44C0-40DB-8132-8DD5A8CB9294}"/>
    <hyperlink ref="U138" r:id="rId133" xr:uid="{032B5220-6F87-464A-A7C2-560BA346E579}"/>
    <hyperlink ref="U139" r:id="rId134" xr:uid="{42F65ECB-ED8D-490B-9A25-13AF1E15D798}"/>
    <hyperlink ref="U140:U141" r:id="rId135" display="L:\Services\SERVICE_DES_TRAVAUX\_NEW SERVEUR DPT\1000_OPE TVX STRAT\2019.11 POLE SANTE\00 ETU PREALABLES\002 AMIANTE\Avenir deconstruction\PLOMB complement" xr:uid="{7AC787BA-FC4F-4231-BC6A-902DBC2ECFCA}"/>
    <hyperlink ref="U142" r:id="rId136" xr:uid="{BE3BE9FE-F66A-4A95-9471-7A6340ABE690}"/>
    <hyperlink ref="U143" r:id="rId137" xr:uid="{A9970EEC-B5E6-45A1-8DA1-2ADDE89F9D7B}"/>
    <hyperlink ref="U144" r:id="rId138" xr:uid="{7E041366-8954-4031-95E1-0ADF3549C6D4}"/>
    <hyperlink ref="U145" r:id="rId139" xr:uid="{7C5D16EF-3D41-4692-9B06-CF30D24565BA}"/>
    <hyperlink ref="U146" r:id="rId140" xr:uid="{DDC1873D-C1EA-4692-8545-C02613B7BE34}"/>
    <hyperlink ref="U147" r:id="rId141" xr:uid="{E378302F-6206-4522-BEBD-B27DA860CC12}"/>
    <hyperlink ref="U148" r:id="rId142" xr:uid="{774EDD60-4FB5-4EB6-8C6C-DC0976945B21}"/>
    <hyperlink ref="U149" r:id="rId143" xr:uid="{5065BF4C-E478-4D1F-AAB3-C4E7CE246C6D}"/>
    <hyperlink ref="U150" r:id="rId144" xr:uid="{732EC90A-13EC-45D8-8871-5F905A99A880}"/>
    <hyperlink ref="U151" r:id="rId145" xr:uid="{C04BF2E7-F33C-4627-A45C-64FE80C50DA6}"/>
    <hyperlink ref="U152" r:id="rId146" xr:uid="{3F063B1F-3CD1-45CF-A234-FB872E4C197B}"/>
    <hyperlink ref="U153" r:id="rId147" xr:uid="{86154EC8-B7E4-43CB-8497-4D0BA7D12329}"/>
    <hyperlink ref="U154" r:id="rId148" xr:uid="{7F4D7EF1-5347-48F8-A1C7-1D37E4E4DD46}"/>
    <hyperlink ref="U156" r:id="rId149" xr:uid="{5DB64D50-60D9-4537-98D5-00463AF90997}"/>
    <hyperlink ref="U157" r:id="rId150" xr:uid="{2E3EBBBF-0F9B-4CD9-A1EC-44DE1229EF46}"/>
    <hyperlink ref="U155" r:id="rId151" xr:uid="{E836A323-2AC5-4D52-8BD7-0D6EB25AF127}"/>
    <hyperlink ref="U158" r:id="rId152" xr:uid="{46DDC073-3548-4ACB-B35A-92B11D1F2287}"/>
    <hyperlink ref="U159" r:id="rId153" xr:uid="{CCA7B206-CF10-4B45-B300-109B2326C24D}"/>
    <hyperlink ref="U160" r:id="rId154" xr:uid="{9E76862A-BF78-4CD1-A5DE-F65540C2F2EE}"/>
    <hyperlink ref="U161" r:id="rId155" xr:uid="{D060541C-9247-4DD5-9378-BF6D40DAFE8B}"/>
    <hyperlink ref="U162" r:id="rId156" xr:uid="{4C190829-60A2-4E83-859F-1F1D0756C231}"/>
    <hyperlink ref="U31" r:id="rId157" xr:uid="{4DD0EA4A-5B39-495E-9E22-C398B67BE4BE}"/>
    <hyperlink ref="U125" r:id="rId158" xr:uid="{CE0F2177-7ED4-407D-9707-1C3DA2F303FE}"/>
    <hyperlink ref="U163" r:id="rId159" xr:uid="{8B12B997-4C04-4A21-ABB6-9EE1F8E95D75}"/>
    <hyperlink ref="U164" r:id="rId160" xr:uid="{E5AB9456-9EB8-4A54-9D76-964B75B9B16E}"/>
    <hyperlink ref="U165" r:id="rId161" xr:uid="{A0C3DE41-07F2-46A4-BB8E-B3A1E1C8B444}"/>
    <hyperlink ref="U166" r:id="rId162" xr:uid="{00100263-B236-4974-83FB-B267232A8AAE}"/>
    <hyperlink ref="U167" r:id="rId163" xr:uid="{4C2ADB8A-4B5B-4BCC-BF5A-5089D3B3D935}"/>
    <hyperlink ref="U168" r:id="rId164" xr:uid="{73404894-CC65-4D3D-8585-B5DAC580B13E}"/>
    <hyperlink ref="U169" r:id="rId165" xr:uid="{7756537C-062C-4370-A03F-85E0914046F6}"/>
    <hyperlink ref="U170" r:id="rId166" xr:uid="{D2281F43-CC0E-4286-BCB0-A6A6F74027F9}"/>
    <hyperlink ref="U171" r:id="rId167" xr:uid="{AB0B9FEC-19CD-4A49-9116-C17EC3FA1DBD}"/>
    <hyperlink ref="U172" r:id="rId168" xr:uid="{01702CBB-9E1B-4C73-BA69-5C7310115E4F}"/>
    <hyperlink ref="U173" r:id="rId169" xr:uid="{BDAF398D-2DC7-4786-ADB7-51D082362C71}"/>
    <hyperlink ref="U174" r:id="rId170" xr:uid="{C3C81D95-3BC9-45B1-AF6E-61197A60E1AC}"/>
    <hyperlink ref="U175" r:id="rId171" xr:uid="{2B9432E5-7249-4917-B654-88E493AF263E}"/>
    <hyperlink ref="U176" r:id="rId172" xr:uid="{17D330F7-0AB6-416A-A600-88C73373E8A5}"/>
    <hyperlink ref="U177" r:id="rId173" xr:uid="{F65F77F0-5756-498E-A5D7-9AE84B1C414B}"/>
    <hyperlink ref="U178" r:id="rId174" xr:uid="{ADFBD040-E81E-48F7-8932-8EE81F2D601C}"/>
    <hyperlink ref="U179" r:id="rId175" xr:uid="{DF4F6D10-E29C-4924-A8E8-4327037E3F64}"/>
    <hyperlink ref="U180" r:id="rId176" xr:uid="{D980B1F5-D770-4F6B-A1A9-B73C2532831D}"/>
    <hyperlink ref="U181" r:id="rId177" xr:uid="{485EB950-AC69-4481-9BC2-D9A8DFEE9DFF}"/>
    <hyperlink ref="U182" r:id="rId178" xr:uid="{65F05B43-0312-4340-8BD2-5CB04E6DC81E}"/>
    <hyperlink ref="U183" r:id="rId179" xr:uid="{C420533A-2C3A-4A90-A7DC-D2F848C04DA7}"/>
    <hyperlink ref="U184" r:id="rId180" xr:uid="{9A7302F7-33BB-4C94-B107-1DE60658B1EB}"/>
    <hyperlink ref="U185" r:id="rId181" xr:uid="{00743F3E-7BCE-4861-ABDE-982EA89594CB}"/>
    <hyperlink ref="U186" r:id="rId182" xr:uid="{E3902846-9AB3-40E8-B81D-8E8921F88610}"/>
    <hyperlink ref="U187" r:id="rId183" xr:uid="{48F97EE5-DBE7-423C-A564-00B261436B61}"/>
    <hyperlink ref="U188" r:id="rId184" xr:uid="{04EAD6CA-F005-42C9-88D5-6D6C9B77B48A}"/>
    <hyperlink ref="U189" r:id="rId185" xr:uid="{39E8B3A8-E8AC-4A9E-B214-EF05B4F7DC3F}"/>
    <hyperlink ref="U190" r:id="rId186" xr:uid="{0139E7D6-B799-49E6-BF38-57B08D5F7517}"/>
    <hyperlink ref="U191" r:id="rId187" xr:uid="{83AD93CB-68F8-40F6-95B0-7BC88C572DB8}"/>
    <hyperlink ref="U192" r:id="rId188" xr:uid="{9168DB7F-1557-4366-ADB3-4134A76C3031}"/>
    <hyperlink ref="U193" r:id="rId189" xr:uid="{85B5D08D-9C94-4B0A-B775-95D15CDF568E}"/>
    <hyperlink ref="U195" r:id="rId190" xr:uid="{1C2DAEF1-C28F-4F2B-885F-A9EE81242B48}"/>
    <hyperlink ref="U197" r:id="rId191" xr:uid="{DF475577-332F-4349-B1D8-59E17112983D}"/>
    <hyperlink ref="U194" r:id="rId192" xr:uid="{8DB83ADE-9B70-4AE1-8780-65F183BAA64A}"/>
    <hyperlink ref="U198" r:id="rId193" xr:uid="{D6C5950E-DBC4-4EDD-A2F6-F1653E7538EE}"/>
    <hyperlink ref="U199" r:id="rId194" xr:uid="{5420504A-CB74-42B8-BA29-581D465DCA99}"/>
    <hyperlink ref="U200" r:id="rId195" xr:uid="{F21ECF8E-48FF-4A5B-AB4A-1DCBE75A0BDF}"/>
    <hyperlink ref="U201" r:id="rId196" xr:uid="{E3C929E0-1A1A-4043-90F0-704F8D332749}"/>
    <hyperlink ref="U202" r:id="rId197" xr:uid="{1B523BB0-74B6-4161-B691-57CB85114D9F}"/>
    <hyperlink ref="U203" r:id="rId198" xr:uid="{E7B49FB6-3B83-4CD6-B385-0DA5B489F52D}"/>
    <hyperlink ref="U207" r:id="rId199" xr:uid="{C901A6AD-3121-47FB-BA73-300E1387D1F7}"/>
    <hyperlink ref="U204" r:id="rId200" xr:uid="{197C0AEF-28DD-4922-9577-6DC19A2E1E4D}"/>
    <hyperlink ref="U205" r:id="rId201" xr:uid="{13500C20-30D7-4703-A96E-DE4D653B0E6D}"/>
    <hyperlink ref="U211" r:id="rId202" xr:uid="{F6293C0A-324E-439F-B8DC-F3C2F4B8A207}"/>
    <hyperlink ref="U212" r:id="rId203" xr:uid="{176A3A32-0B99-4743-A833-871B1F1397FB}"/>
    <hyperlink ref="U213" r:id="rId204" xr:uid="{F09112AF-A946-4D31-B349-13CD6EB4BDA1}"/>
    <hyperlink ref="U214" r:id="rId205" xr:uid="{C7030152-7F87-4435-A692-59B7DBE9EE65}"/>
    <hyperlink ref="U215" r:id="rId206" xr:uid="{29452CBB-1BA9-4F35-BB5E-6A3447D6C9AC}"/>
    <hyperlink ref="U216" r:id="rId207" xr:uid="{446778FD-D522-4959-B1AE-F05F0F1A5425}"/>
    <hyperlink ref="U217" r:id="rId208" xr:uid="{B070DC93-7004-413B-8DBA-7A45017190EF}"/>
    <hyperlink ref="U218" r:id="rId209" xr:uid="{7136F3F9-DFBE-4B7D-9A06-AEE3BF9E54D6}"/>
    <hyperlink ref="U206" r:id="rId210" xr:uid="{BE21C4E8-3480-4460-80D8-D4CC5305A61D}"/>
    <hyperlink ref="U209" r:id="rId211" xr:uid="{E9334052-4BDE-465B-864A-367400515B40}"/>
    <hyperlink ref="U210" r:id="rId212" xr:uid="{1FC21A3A-608F-4127-BE33-5B22FF75F95A}"/>
    <hyperlink ref="U219" r:id="rId213" xr:uid="{8BC0CE57-DBA4-4AA5-9751-8A4255C53AE1}"/>
    <hyperlink ref="U220" r:id="rId214" xr:uid="{526349FF-4DA8-43E4-BAFB-476324AA9F15}"/>
    <hyperlink ref="U221" r:id="rId215" xr:uid="{E1D367BB-179D-47E8-8E40-01B260C38EC9}"/>
    <hyperlink ref="U222" r:id="rId216" xr:uid="{A7E8A0A4-678A-4D6C-B48D-72407AD3BD1A}"/>
    <hyperlink ref="U223" r:id="rId217" xr:uid="{BDE4144F-DABA-4967-9806-31C7CEE9B3FB}"/>
    <hyperlink ref="U226" r:id="rId218" xr:uid="{ADDABD3E-9AB1-46F7-8A74-92222A44AAAF}"/>
    <hyperlink ref="U225" r:id="rId219" xr:uid="{0A52B88A-080E-47F5-895D-08870EF24FF6}"/>
    <hyperlink ref="U224" r:id="rId220" xr:uid="{3D69C576-EE52-45AD-AB43-CAEA49820004}"/>
    <hyperlink ref="U227" r:id="rId221" xr:uid="{B781F41C-4CEA-4780-AA6E-10FD157B1F08}"/>
    <hyperlink ref="U228" r:id="rId222" xr:uid="{FF675D1E-6D5E-4080-83A4-B64EAB0B1531}"/>
    <hyperlink ref="U229" r:id="rId223" xr:uid="{15D8609B-73C6-434A-A216-B9146ECB1365}"/>
    <hyperlink ref="U230" r:id="rId224" xr:uid="{DDEC59F4-24ED-47B9-A1F5-625D00B84DCF}"/>
    <hyperlink ref="U231" r:id="rId225" xr:uid="{CFB3BD1E-2187-4AE1-9AAB-F4C2F7CD21FD}"/>
    <hyperlink ref="U232" r:id="rId226" xr:uid="{B0AEFE28-0811-4ED8-B50D-713240AA1459}"/>
    <hyperlink ref="U233" r:id="rId227" xr:uid="{01C600C8-56D0-4EEF-B166-12F2C4F2BF7C}"/>
    <hyperlink ref="U234" r:id="rId228" xr:uid="{3852A0CA-D519-4A1F-9C49-4931423095F7}"/>
    <hyperlink ref="U235" r:id="rId229" xr:uid="{72DF5806-0FDC-416A-8F24-671CA32F6A24}"/>
    <hyperlink ref="U236" r:id="rId230" xr:uid="{048DE72F-859F-45C1-BB7B-9B5A70D14C82}"/>
    <hyperlink ref="U237" r:id="rId231" xr:uid="{A6B4EA64-0C70-434B-AA8D-A46DEF6C262F}"/>
    <hyperlink ref="U238" r:id="rId232" xr:uid="{524A29FE-B2A4-43FA-A8FA-71C675FBDCDC}"/>
    <hyperlink ref="U240" r:id="rId233" xr:uid="{9CA1C65F-1084-4DD3-B444-DCC01A05947D}"/>
    <hyperlink ref="U242" r:id="rId234" xr:uid="{CC62F321-98DA-4527-87C3-B6D759EFA7F2}"/>
    <hyperlink ref="U241" r:id="rId235" xr:uid="{112A62CB-2170-48F4-8008-98C1D2080A05}"/>
    <hyperlink ref="U244" r:id="rId236" xr:uid="{B682A2F0-2037-48D1-BEC9-8FB5B241386C}"/>
    <hyperlink ref="U245" r:id="rId237" xr:uid="{9BC53C10-8982-4542-BF89-73C19634485C}"/>
    <hyperlink ref="U243" r:id="rId238" xr:uid="{2903555F-7748-4428-A494-44D9885EA0B4}"/>
    <hyperlink ref="U246" r:id="rId239" xr:uid="{7A51525D-747D-4141-9360-89720413B86E}"/>
    <hyperlink ref="U247" r:id="rId240" xr:uid="{BE399E33-9E57-4421-A3B3-BC84E5D4AACD}"/>
    <hyperlink ref="U248" r:id="rId241" xr:uid="{E5D2C0B6-DE41-431B-B63B-6A7130A460ED}"/>
    <hyperlink ref="U239" r:id="rId242" xr:uid="{39E49AEB-19BB-445E-B003-A4DE45DE32C1}"/>
    <hyperlink ref="U249" r:id="rId243" xr:uid="{4854DD86-64B0-483C-8026-5976C20A1E3E}"/>
    <hyperlink ref="U250" r:id="rId244" xr:uid="{F961A9AA-06C3-4137-AE13-DE104A96CA42}"/>
    <hyperlink ref="U253" r:id="rId245" xr:uid="{8AA9667E-940A-4928-B08E-DEC7940205B2}"/>
    <hyperlink ref="U254" r:id="rId246" xr:uid="{7F2CEBD7-37BC-497A-AB71-EB1532EECFD8}"/>
    <hyperlink ref="U255" r:id="rId247" xr:uid="{4078785E-CCE2-49D2-BB2B-EC9B3926F456}"/>
    <hyperlink ref="U256" r:id="rId248" xr:uid="{BE7ACAEE-8CE3-4E40-A633-2D485FEE6C91}"/>
    <hyperlink ref="U257" r:id="rId249" xr:uid="{58833111-8786-4EC2-A5FF-C4BF8293F077}"/>
    <hyperlink ref="U258" r:id="rId250" xr:uid="{4A56B7F7-92FB-4A94-BF82-AE959B5DBDD0}"/>
    <hyperlink ref="U259" r:id="rId251" xr:uid="{884CC8D2-4AF8-4F63-BCB1-54785D066621}"/>
    <hyperlink ref="U260" r:id="rId252" xr:uid="{89803E76-93E2-4B38-A562-C109CFFFD125}"/>
    <hyperlink ref="U261" r:id="rId253" xr:uid="{81249948-7919-416A-AFE5-383EEB249607}"/>
    <hyperlink ref="U262" r:id="rId254" xr:uid="{224025D1-38E6-4003-8360-1BFF87E6161A}"/>
    <hyperlink ref="U263" r:id="rId255" xr:uid="{EF1859BA-F83B-4FCB-B508-66A44FC31371}"/>
    <hyperlink ref="U264" r:id="rId256" xr:uid="{F83062FD-B54D-4DE0-9ECE-3477DCEC3F70}"/>
    <hyperlink ref="U265" r:id="rId257" xr:uid="{8EA2F1AF-8949-4167-9FE6-1F23FB52CE0A}"/>
    <hyperlink ref="U266" r:id="rId258" xr:uid="{30170299-D3B7-4684-9AF1-78E88444DF50}"/>
    <hyperlink ref="U267" r:id="rId259" xr:uid="{672AB287-AA3A-46E6-BC4F-F11DA836E49E}"/>
    <hyperlink ref="U269" r:id="rId260" xr:uid="{469537B3-7EB6-43C8-ABAE-12A6701EE96A}"/>
    <hyperlink ref="U268" r:id="rId261" xr:uid="{A204FE81-97F8-4361-9101-205BBC6B7839}"/>
    <hyperlink ref="U270" r:id="rId262" xr:uid="{0D710905-B884-4988-BCEB-AD7FF6D6F1BB}"/>
    <hyperlink ref="U271" r:id="rId263" xr:uid="{25359A61-183C-47AD-8C8D-53C7119AFDEC}"/>
    <hyperlink ref="U272" r:id="rId264" xr:uid="{6C234D82-A92D-485F-87B2-8C3A6F2AC932}"/>
    <hyperlink ref="U273" r:id="rId265" xr:uid="{9D737500-E56E-4B5A-AC82-ACC985814703}"/>
    <hyperlink ref="U275" r:id="rId266" xr:uid="{9F0CA231-3BBD-4126-9761-B85D75CF236A}"/>
    <hyperlink ref="U276" r:id="rId267" xr:uid="{410ED78A-FFFC-40D8-B369-758AB9D77671}"/>
    <hyperlink ref="U277" r:id="rId268" xr:uid="{9CB3455E-9259-443B-BBF3-802EC7363FC6}"/>
    <hyperlink ref="U274" r:id="rId269" xr:uid="{C0A0F546-DD75-44A6-B3FA-29DFF66F4F74}"/>
    <hyperlink ref="U278" r:id="rId270" xr:uid="{27BCBDD1-7038-4714-AA6D-E779EEA6F766}"/>
    <hyperlink ref="U279" r:id="rId271" xr:uid="{4B21CFC5-210A-459A-9CF7-BF30C0424BDB}"/>
    <hyperlink ref="U280" r:id="rId272" xr:uid="{BA7648BB-0F35-4836-9CF0-9D060C9BAAA2}"/>
    <hyperlink ref="U281" r:id="rId273" xr:uid="{D2DF90CE-D6AF-4A8C-88E7-887265694EA4}"/>
    <hyperlink ref="U282" r:id="rId274" xr:uid="{64F778C7-4CD2-44F2-B34B-7AA1BF4B3961}"/>
    <hyperlink ref="U288" r:id="rId275" xr:uid="{06AD65B6-0631-4CEE-96F6-0677CA6A88F3}"/>
    <hyperlink ref="U283" r:id="rId276" xr:uid="{90BE000A-0B2D-4394-97A7-267AC920D63D}"/>
    <hyperlink ref="U284" r:id="rId277" xr:uid="{3192D0CF-ABB6-4DCF-83D2-1957C0557742}"/>
    <hyperlink ref="U285" r:id="rId278" xr:uid="{3647DBFC-42EB-426C-8663-6893D1EF05B1}"/>
    <hyperlink ref="U286" r:id="rId279" xr:uid="{8F2B1490-F865-4A29-96E7-DB4008152CCA}"/>
    <hyperlink ref="U287" r:id="rId280" xr:uid="{64591C42-08DC-4190-8891-84ED5E762344}"/>
    <hyperlink ref="U289" r:id="rId281" xr:uid="{4B7E2E07-AEE6-43CB-8C26-F3997B1FE8C4}"/>
    <hyperlink ref="U290" r:id="rId282" xr:uid="{9DD08C61-2CA7-4685-9B4C-6765B48DED22}"/>
    <hyperlink ref="U291" r:id="rId283" xr:uid="{579487CB-05EC-460C-BCC9-BB634BF53E20}"/>
    <hyperlink ref="U292" r:id="rId284" xr:uid="{451D5B61-573F-48DD-8051-6FFC6B0D8643}"/>
    <hyperlink ref="U293" r:id="rId285" xr:uid="{A565737E-DB63-4181-9C43-707D861C92DF}"/>
    <hyperlink ref="U294" r:id="rId286" xr:uid="{91A0886D-1924-46EF-9811-C32B58444593}"/>
    <hyperlink ref="U295" r:id="rId287" xr:uid="{CD9BEED9-DB9A-41C7-9D0B-BD4D47087E4C}"/>
    <hyperlink ref="U296" r:id="rId288" xr:uid="{D5B0D2EE-41E0-415D-8FD9-34CCA32A804F}"/>
    <hyperlink ref="U297" r:id="rId289" xr:uid="{57083EF7-5671-4AB7-8241-A73E2152E0C7}"/>
    <hyperlink ref="U298" r:id="rId290" xr:uid="{75821B5C-B411-4EF7-9ADE-96F2F87BC625}"/>
    <hyperlink ref="U302" r:id="rId291" xr:uid="{6D0E5590-A1AB-4116-937E-BBC98615002F}"/>
    <hyperlink ref="U303" r:id="rId292" xr:uid="{761B73EB-7EF4-4C74-8828-3AE395329611}"/>
    <hyperlink ref="U304" r:id="rId293" xr:uid="{4AA6E533-9546-4541-B495-0308B1681CE4}"/>
    <hyperlink ref="U305" r:id="rId294" xr:uid="{555CB251-A70C-481D-B2DA-7EDBCD4F6B1F}"/>
    <hyperlink ref="U306" r:id="rId295" xr:uid="{AF0186C7-E77F-4690-B18D-8897D5D94B8C}"/>
    <hyperlink ref="U307" r:id="rId296" xr:uid="{AC13A9EE-BD72-432C-9729-14DB4E81AE80}"/>
    <hyperlink ref="U308" r:id="rId297" xr:uid="{B0BF8DD0-4572-41D9-B2DE-BB300C083111}"/>
    <hyperlink ref="U309" r:id="rId298" xr:uid="{8D47E059-4134-49E1-9159-DA671C3F33E8}"/>
    <hyperlink ref="U310" r:id="rId299" xr:uid="{A7F86177-68DB-4580-A4C2-010A0BADF336}"/>
    <hyperlink ref="U311" r:id="rId300" xr:uid="{03162029-BD33-489E-ABFE-0904B217D846}"/>
    <hyperlink ref="U312" r:id="rId301" xr:uid="{8F78084F-DB39-4711-B769-D3B6CC0058F4}"/>
    <hyperlink ref="U313" r:id="rId302" xr:uid="{1ED9A6C7-0C3D-4BD1-ADDB-3ACEB75278D4}"/>
    <hyperlink ref="U314" r:id="rId303" xr:uid="{0CAC56A9-73E5-483C-A4EC-8F78085FC05C}"/>
    <hyperlink ref="U315" r:id="rId304" xr:uid="{23E27CA7-86A7-4546-86A6-78BB9569450B}"/>
    <hyperlink ref="U316" r:id="rId305" xr:uid="{E5BA7FD9-12CC-4E59-87C8-265AC5D8A27D}"/>
    <hyperlink ref="U317" r:id="rId306" xr:uid="{F0F2D2D0-803D-46F8-9DA1-963218A43FFC}"/>
    <hyperlink ref="U318" r:id="rId307" xr:uid="{2A27AA53-7AE2-4483-94E3-5DA07F3A0BC0}"/>
    <hyperlink ref="U319" r:id="rId308" xr:uid="{C6A94839-B38A-4F70-90D1-EB8F17070A22}"/>
    <hyperlink ref="U320" r:id="rId309" xr:uid="{457B8572-F4AF-4DEB-8625-882B88563123}"/>
    <hyperlink ref="U321" r:id="rId310" xr:uid="{C48479DD-5691-4994-AE12-65011FB5204B}"/>
    <hyperlink ref="U322" r:id="rId311" xr:uid="{E820A217-EC9E-4167-BEC4-911D7992D758}"/>
    <hyperlink ref="U323" r:id="rId312" xr:uid="{E67C70A3-52C8-4313-A94F-EF1F22BE2AEF}"/>
    <hyperlink ref="U324" r:id="rId313" xr:uid="{679A56BF-9E33-41F6-A831-0EA99204BC6A}"/>
    <hyperlink ref="U299" r:id="rId314" xr:uid="{11919BC2-A9FA-475D-891F-597C570B6A15}"/>
    <hyperlink ref="U301" r:id="rId315" xr:uid="{87F1B670-DAC2-4FEF-B8BD-0E4D5F0781E8}"/>
    <hyperlink ref="U300" r:id="rId316" xr:uid="{7CE6D34B-5951-4F10-B24F-E003D3E2DF8C}"/>
    <hyperlink ref="U325" r:id="rId317" xr:uid="{242B71AB-0944-4DAA-9A64-6C97EF7BA54F}"/>
    <hyperlink ref="U326" r:id="rId318" xr:uid="{A7153BB7-B3B9-441F-94E9-ED42DB85B4C1}"/>
    <hyperlink ref="U327" r:id="rId319" xr:uid="{A0CF80CC-4FA4-471D-85A6-EA01A9E9AB3B}"/>
    <hyperlink ref="U328" r:id="rId320" xr:uid="{D0583505-2559-4648-998F-E1E2E85B5099}"/>
    <hyperlink ref="U329" r:id="rId321" xr:uid="{9185B11A-2D10-4C83-A278-692185200681}"/>
    <hyperlink ref="U330" r:id="rId322" xr:uid="{454315E4-7CA3-4861-8991-2133B74606F5}"/>
    <hyperlink ref="U331" r:id="rId323" xr:uid="{9C93C16E-32BE-4830-81E2-AEEFDE5EAB77}"/>
    <hyperlink ref="U332" r:id="rId324" xr:uid="{38A90CE1-EF78-4987-9B5B-34F18977A2D4}"/>
    <hyperlink ref="U336" r:id="rId325" display="L:\Services\SERVICE_DES_TRAVAUX\_NEW SERVEUR DPT\2000_PLAN TVX COURANT cl2-cl6\2025\130 Suivi plan de travaux 2025\Classe 6\403 S-GALOUL" xr:uid="{F7BA653E-00FC-4277-A415-FAC68704B3B0}"/>
    <hyperlink ref="U337" r:id="rId326" xr:uid="{C5681073-0745-416C-B6DB-BDA6D827739D}"/>
    <hyperlink ref="U338" r:id="rId327" xr:uid="{EE7F4365-02D0-4C1C-90EE-D93666A86851}"/>
    <hyperlink ref="U339" r:id="rId328" xr:uid="{DF00A0B2-1019-46E9-B765-E048100550BD}"/>
    <hyperlink ref="U340" r:id="rId329" xr:uid="{04F1FD7A-9E8C-46E9-830A-CEFD65409C12}"/>
    <hyperlink ref="U341" r:id="rId330" xr:uid="{3DABA1B7-F829-4BA7-961B-23D140CCB829}"/>
    <hyperlink ref="U342" r:id="rId331" xr:uid="{12EEDAE1-973B-4E2D-AE1C-77CA37FEED10}"/>
    <hyperlink ref="U343" r:id="rId332" xr:uid="{C9B454F4-2C96-4980-8A79-7289D229FF1E}"/>
    <hyperlink ref="U344" r:id="rId333" xr:uid="{9CB7D46E-F8AA-4BE8-A98C-0ABCC24E8EDD}"/>
    <hyperlink ref="U345" r:id="rId334" xr:uid="{85BEE901-62D3-4021-A65B-0A855E1F5E37}"/>
    <hyperlink ref="U346" r:id="rId335" xr:uid="{16313309-5D71-45B5-A2CB-ADF172F38105}"/>
    <hyperlink ref="U347" r:id="rId336" xr:uid="{9155C825-6EA5-4D26-80C3-1BAEAF4EA0E8}"/>
    <hyperlink ref="U348" r:id="rId337" xr:uid="{2EF6B6C3-7342-4716-8120-7CB24ACC5A1E}"/>
    <hyperlink ref="U349" r:id="rId338" xr:uid="{9716618D-81C9-4800-A61C-794933CE41E1}"/>
    <hyperlink ref="U333" r:id="rId339" xr:uid="{22CF1931-373B-468D-BA03-17E0A8D5E7FD}"/>
    <hyperlink ref="U350" r:id="rId340" xr:uid="{5DDAFBFC-4BA1-43A0-82F5-A3A53D494321}"/>
    <hyperlink ref="U351" r:id="rId341" xr:uid="{E85759CC-268D-4084-AB8B-C546C50F324F}"/>
    <hyperlink ref="U352" r:id="rId342" xr:uid="{23FB2B9F-7791-4A0B-916C-59DB3BE65E2A}"/>
    <hyperlink ref="U353" r:id="rId343" xr:uid="{B1C1F89A-A3B3-4E45-8136-5742A6913A42}"/>
    <hyperlink ref="U358" r:id="rId344" xr:uid="{8CB2678E-F03D-4161-9608-58E0D434E623}"/>
    <hyperlink ref="U354" r:id="rId345" xr:uid="{D13FF522-E1FC-43E8-863F-BFE91A9C1EFB}"/>
    <hyperlink ref="U355" r:id="rId346" xr:uid="{CB5C22F9-1833-4F51-BEA9-6A034C5EB2E6}"/>
    <hyperlink ref="U356" r:id="rId347" xr:uid="{7ED16856-5E00-4BE4-AF2C-A62BAFB47760}"/>
    <hyperlink ref="U357" r:id="rId348" xr:uid="{3A833575-A326-4342-BA52-A851B3CF416D}"/>
    <hyperlink ref="U208" r:id="rId349" xr:uid="{F26562EB-C74B-4DE4-8BC1-30B6FE2998DE}"/>
    <hyperlink ref="U359" r:id="rId350" xr:uid="{57407A2C-E56C-4EE1-9208-AAA57368D30A}"/>
    <hyperlink ref="U360" r:id="rId351" xr:uid="{F5354E97-5B58-48E2-9BD5-64ACD9615FEB}"/>
    <hyperlink ref="U361" r:id="rId352" xr:uid="{622D6FE0-8AA5-4056-BAF9-46B342AAE075}"/>
    <hyperlink ref="U362" r:id="rId353" xr:uid="{314227E7-56AC-4E04-B3C0-19E3B941322D}"/>
    <hyperlink ref="U364" r:id="rId354" xr:uid="{EEDB5958-31F6-46C3-BAEA-33C5553E28EE}"/>
    <hyperlink ref="U365" r:id="rId355" xr:uid="{CF024727-59F3-44DC-B446-7125F9011082}"/>
    <hyperlink ref="U367" r:id="rId356" xr:uid="{437B0FCF-3D56-4553-8322-57CD7074CFEB}"/>
    <hyperlink ref="U366" r:id="rId357" xr:uid="{FADC22E5-E01A-47EC-9366-C3B29910A569}"/>
    <hyperlink ref="U368" r:id="rId358" xr:uid="{3A7944C4-F531-4DCB-893D-254B37D54D55}"/>
    <hyperlink ref="U369" r:id="rId359" xr:uid="{64196ABF-5756-44C2-BE93-9E7636BB6F4E}"/>
    <hyperlink ref="U370" r:id="rId360" xr:uid="{BDF6987E-393F-422C-B607-91FC857291C7}"/>
    <hyperlink ref="U371" r:id="rId361" xr:uid="{FD572A3D-F43A-433D-8D61-2975DC59E912}"/>
    <hyperlink ref="U375" r:id="rId362" xr:uid="{8341148B-1AC1-41BC-AF38-135F9036A3E4}"/>
    <hyperlink ref="U376" r:id="rId363" xr:uid="{EF45783F-9A90-4C92-82B1-EC0F78213B14}"/>
    <hyperlink ref="U377" r:id="rId364" xr:uid="{54117A5E-5961-40A7-82E1-5CD6F40CB315}"/>
    <hyperlink ref="U378" r:id="rId365" xr:uid="{4384C69D-D686-4279-810A-64E869FD14CC}"/>
    <hyperlink ref="U363" r:id="rId366" xr:uid="{4A5B6E7F-F420-40FE-9692-6347C92B69CF}"/>
    <hyperlink ref="U379" r:id="rId367" xr:uid="{0F9AFB23-94BE-4024-8FED-E159A5EEFDFC}"/>
    <hyperlink ref="U380" r:id="rId368" xr:uid="{EE68EBC5-7770-4566-821B-97F1F4070B3A}"/>
    <hyperlink ref="U381" r:id="rId369" xr:uid="{C980B490-8EC0-477D-B2F4-BB01B8736180}"/>
    <hyperlink ref="U382" r:id="rId370" xr:uid="{57D29159-9C3A-4072-AADC-D22B7E5EC492}"/>
    <hyperlink ref="U383" r:id="rId371" xr:uid="{0FD5C15E-7DBB-4993-8C7D-D821655B258C}"/>
    <hyperlink ref="U384" r:id="rId372" xr:uid="{BB601C20-B789-4CCF-8CE0-2AEC5DFBA1CB}"/>
    <hyperlink ref="U385" r:id="rId373" xr:uid="{0CD6D86B-EECC-42C9-8142-739B3CAA38A6}"/>
    <hyperlink ref="U386" r:id="rId374" xr:uid="{3B58368B-3B65-4BFC-A54D-6009AD97F639}"/>
    <hyperlink ref="U388" r:id="rId375" xr:uid="{0B6A1475-566D-48C2-BAD4-78C2020B3967}"/>
    <hyperlink ref="U389" r:id="rId376" xr:uid="{1CCED7DE-525D-47F7-BFC8-BE2D5E62E582}"/>
    <hyperlink ref="U390" r:id="rId377" xr:uid="{6BDAED82-1812-44A0-AC03-81514BCF1A37}"/>
    <hyperlink ref="U391" r:id="rId378" xr:uid="{2CEBEC35-749D-4437-8CA7-70ADB2A310A3}"/>
    <hyperlink ref="U392" r:id="rId379" xr:uid="{C087AC99-ED42-4D56-87FB-0C43C3C66810}"/>
    <hyperlink ref="U393" r:id="rId380" xr:uid="{325C40B8-DDC8-4E9A-951B-97B7E6BE2E6E}"/>
    <hyperlink ref="U394" r:id="rId381" xr:uid="{3782CE7B-D42F-41C2-BC8F-C97120D7E968}"/>
    <hyperlink ref="U395" r:id="rId382" xr:uid="{34ECA506-81F1-49AD-A693-3E4AD40B8F18}"/>
    <hyperlink ref="U387" r:id="rId383" xr:uid="{23C6F802-0A41-41FD-811F-E7CFE4D6B82A}"/>
    <hyperlink ref="U372" r:id="rId384" xr:uid="{438FE51F-1C32-4611-B34C-D63E8ED22271}"/>
    <hyperlink ref="U396" r:id="rId385" xr:uid="{C2216AF5-FF86-411C-89BE-032AC887549C}"/>
    <hyperlink ref="U398" r:id="rId386" xr:uid="{DC949E86-C2E7-4DB5-B70D-BD24195A7C6F}"/>
    <hyperlink ref="U399" r:id="rId387" xr:uid="{CC405D18-1840-4F73-BFED-EE1DFF813FBF}"/>
    <hyperlink ref="U400" r:id="rId388" xr:uid="{606C9E60-046D-4317-85F1-C7FFF26FE060}"/>
    <hyperlink ref="U401" r:id="rId389" xr:uid="{C8A38A34-8CB3-48D7-932A-02D2A080DCD9}"/>
    <hyperlink ref="U403" r:id="rId390" xr:uid="{4796D612-64BC-48DC-BE22-C0CB58D990ED}"/>
    <hyperlink ref="U402" r:id="rId391" xr:uid="{8403538F-4E56-4098-993C-82E43FBFD1D4}"/>
    <hyperlink ref="U404" r:id="rId392" xr:uid="{B8E38F3D-9CE2-43E7-A7B0-FEE4A7165520}"/>
    <hyperlink ref="U405" r:id="rId393" xr:uid="{0A0BD140-A316-44C7-A146-5BD58837F76A}"/>
    <hyperlink ref="U406" r:id="rId394" xr:uid="{9AE7F401-2728-453C-AFDD-CA2F73DA73D7}"/>
    <hyperlink ref="U407" r:id="rId395" display="L:\Services\SERVICE_DES_TRAVAUX\_NEW SERVEUR DPT\2000_PLAN TVX COURANT cl2-cl6\2025\130 Suivi plan de travaux 2025\Classe 6\303 R-MERONI\LOT 03 - LES PEINTURES PARISIENNES\0407 virtification Bureau Direction" xr:uid="{0C6DFFC9-A1EC-4E74-AE8B-99C5C4A01609}"/>
    <hyperlink ref="U408" r:id="rId396" xr:uid="{A3D4F7EB-8111-4B16-A5A3-DC2837FFFC42}"/>
    <hyperlink ref="U397" r:id="rId397" xr:uid="{9A5614CD-BCBF-4A93-87BC-4507BF52CC6C}"/>
    <hyperlink ref="U409" r:id="rId398" xr:uid="{C3A3CB41-3DFF-46AA-BE4E-8E623DC12F39}"/>
    <hyperlink ref="U410" r:id="rId399" xr:uid="{CC172E82-ECFD-488C-A108-7A943DDDE154}"/>
    <hyperlink ref="U411" r:id="rId400" xr:uid="{1DBF765D-4F0A-427D-9152-FF3D5FC5867B}"/>
    <hyperlink ref="U412" r:id="rId401" xr:uid="{6FB884A8-FC70-4B3A-8F87-C20C3146F966}"/>
    <hyperlink ref="U413" r:id="rId402" xr:uid="{6DB530D7-DAA2-4F0D-BA7E-DE32F03D1474}"/>
    <hyperlink ref="U414" r:id="rId403" display="L:\Services\SERVICE_DES_TRAVAUX\_NEW SERVEUR DPT\2000_PLAN TVX COURANT cl2-cl6\2025\130 Suivi plan de travaux 2025\Classe 6\503 P-EPIS\CONT_220024_lot08_VULCAIN Barriere-Porte Auto\D-0414  MONTREUIL I03  Remplacement lisse barriére articulée barriére 50-05" xr:uid="{5A806532-DAA5-40E4-8BBC-4E0BC9D3E035}"/>
    <hyperlink ref="U94" r:id="rId404" xr:uid="{7D68ABD0-8CFF-4966-87F4-222987F3E8E2}"/>
    <hyperlink ref="U415" r:id="rId405" xr:uid="{E90546A8-8729-4DFE-9461-ECD08484C711}"/>
    <hyperlink ref="U416" r:id="rId406" xr:uid="{57B20AAE-65F2-498B-8219-BB4E1723DDCE}"/>
    <hyperlink ref="U419" r:id="rId407" xr:uid="{406246C7-4308-41F8-862C-A840A9D7D463}"/>
    <hyperlink ref="U420" r:id="rId408" xr:uid="{BC68AB57-C5D9-43D0-9045-86D0B56901BE}"/>
    <hyperlink ref="U423" r:id="rId409" xr:uid="{18922545-792C-411B-8D42-997F0352F673}"/>
    <hyperlink ref="U421" r:id="rId410" xr:uid="{C32541A5-9800-4B8A-B90E-5B8AE867D208}"/>
    <hyperlink ref="U426" r:id="rId411" xr:uid="{E8AAEEE9-1D83-40AA-BF10-D2BF77E68F40}"/>
    <hyperlink ref="U422" r:id="rId412" xr:uid="{4773E563-19C3-47C5-BFD6-A5533F7C03D6}"/>
    <hyperlink ref="U428" r:id="rId413" xr:uid="{A011DDFA-0745-415A-8923-6A56C3568A0F}"/>
    <hyperlink ref="U429" r:id="rId414" display="L:\Services\SERVICE_DES_TRAVAUX\_NEW SERVEUR DPT\2000_PLAN TVX COURANT cl2-cl6\2025\130 Suivi plan de travaux 2025\Classe 6\302 M-ALEVEQUE\LOT 02 - ARTETLEBOIS -MENUISERIE\0429 UCP" xr:uid="{5DDFA40B-CC13-40E7-BD2E-D12AD6A6B292}"/>
    <hyperlink ref="U430" r:id="rId415" xr:uid="{05487629-D216-4ABD-8D15-1EBCF9CE6CB9}"/>
    <hyperlink ref="U431" r:id="rId416" xr:uid="{2A15C992-286A-4F2E-8A43-D61E6CD19A8C}"/>
    <hyperlink ref="U427" r:id="rId417" xr:uid="{55BC0AB9-FB29-4E58-AA3A-2F52639DDD75}"/>
    <hyperlink ref="U433" r:id="rId418" xr:uid="{533DE51A-5986-42A6-9CBC-6D8CA6DC32B5}"/>
    <hyperlink ref="U434" r:id="rId419" xr:uid="{19AF3B3C-0472-49DE-AE0D-219969CB7F93}"/>
    <hyperlink ref="U424" r:id="rId420" xr:uid="{87DBB282-4A9F-484A-B5D3-3A7C9366FDF3}"/>
    <hyperlink ref="U435" r:id="rId421" xr:uid="{60B04C01-E5EA-487D-B78A-0E5119D0520C}"/>
    <hyperlink ref="U436" r:id="rId422" xr:uid="{D7314488-4D2C-4F35-94E9-AF7D50B0F29A}"/>
    <hyperlink ref="U437" r:id="rId423" xr:uid="{6FA6EE9A-54EB-4A54-826A-AD4D33E4F7B0}"/>
    <hyperlink ref="U438" r:id="rId424" xr:uid="{7BB66CFD-2A35-45B5-928D-340B144B3A2B}"/>
    <hyperlink ref="U442" r:id="rId425" xr:uid="{120326AB-0C54-48AB-95E0-4AF9D34B23BC}"/>
    <hyperlink ref="U443" r:id="rId426" xr:uid="{E78F829C-5458-405F-BD4D-9AE3FB4B9053}"/>
    <hyperlink ref="U444" r:id="rId427" xr:uid="{EEF90994-500D-4B50-A0FC-49EF54A9D13D}"/>
    <hyperlink ref="U445" r:id="rId428" xr:uid="{9775BD34-203A-4091-9B6D-176B47C60F39}"/>
    <hyperlink ref="U446" r:id="rId429" xr:uid="{C99EBB30-2583-49E1-BD78-62A48E6F6345}"/>
    <hyperlink ref="U447" r:id="rId430" xr:uid="{782E9BEF-E4C1-4025-B805-F5A2D280583E}"/>
    <hyperlink ref="U448" r:id="rId431" xr:uid="{E3639CC9-23BD-4517-8770-AF75D4219E4D}"/>
    <hyperlink ref="U449" r:id="rId432" xr:uid="{3135C891-0390-4415-898E-93404DB2AF34}"/>
    <hyperlink ref="U1501" r:id="rId433" xr:uid="{E6DE3970-F62C-43F0-B8DF-6FBB5CA3A55A}"/>
    <hyperlink ref="U418" r:id="rId434" xr:uid="{654525EC-33DC-4620-B8BF-133DA786FFE6}"/>
    <hyperlink ref="U450" r:id="rId435" xr:uid="{F9297DED-A537-4ACE-AC92-AFBC2F995106}"/>
    <hyperlink ref="U451" r:id="rId436" xr:uid="{88E6EB54-CC53-4105-9644-B4026478E4BB}"/>
    <hyperlink ref="U432" r:id="rId437" xr:uid="{31700FA0-DBA0-408C-911A-A6EBB8B81AB5}"/>
    <hyperlink ref="U452" r:id="rId438" xr:uid="{3330CC02-EF58-4A79-A875-5159D48BDF04}"/>
    <hyperlink ref="U454" r:id="rId439" xr:uid="{8B37A929-ED4C-4076-BC0F-725E2A67BE93}"/>
    <hyperlink ref="U453" r:id="rId440" xr:uid="{D8DAC76C-3B37-4099-8541-AC084F85A74B}"/>
    <hyperlink ref="U455" r:id="rId441" xr:uid="{5B917B3C-7D39-47F8-A0DE-D556FCEFC8FA}"/>
    <hyperlink ref="U456" r:id="rId442" xr:uid="{5D10F478-F2EF-45A8-8589-72D6226645AD}"/>
    <hyperlink ref="U457" r:id="rId443" xr:uid="{76D0366B-C353-4CD4-85CE-FD403D02A20F}"/>
    <hyperlink ref="U458" r:id="rId444" xr:uid="{1A900F19-8961-47B1-8EA4-9D85E2FF4903}"/>
    <hyperlink ref="U417" r:id="rId445" xr:uid="{5F38DE8E-C479-4866-9CDF-4F805FD26EF3}"/>
    <hyperlink ref="U460" r:id="rId446" xr:uid="{A7B113C6-3B86-47E7-A103-FA90A7472E4A}"/>
    <hyperlink ref="U461" r:id="rId447" xr:uid="{9B84A4A3-4187-4D26-A471-A3B798704E83}"/>
    <hyperlink ref="U462" r:id="rId448" xr:uid="{048CDF9D-2D41-4ACC-8F4C-F554A81ED6BB}"/>
    <hyperlink ref="U463" r:id="rId449" xr:uid="{536CDF99-4FF1-4076-8EF6-F85AF63500E7}"/>
    <hyperlink ref="U464" r:id="rId450" xr:uid="{329CA048-9DC6-4345-BF02-0CEC00F8658B}"/>
    <hyperlink ref="U465" r:id="rId451" xr:uid="{86C4B503-3463-4061-AAFA-F4D0132945E2}"/>
    <hyperlink ref="U459" r:id="rId452" xr:uid="{0E873CBC-4D10-4876-9464-C1B8B982E1CD}"/>
    <hyperlink ref="U466" r:id="rId453" xr:uid="{BA36F825-8B59-4CA8-B9FC-16DAD5B77A56}"/>
    <hyperlink ref="U468" r:id="rId454" xr:uid="{B2F2F757-B582-4327-B416-FB7BBD62EAB3}"/>
    <hyperlink ref="U467" r:id="rId455" xr:uid="{17E74489-ED11-4048-AE01-AD2168F8EA6D}"/>
    <hyperlink ref="U473" r:id="rId456" xr:uid="{13873C02-D5EC-4B4F-BB49-3BFC537CEA30}"/>
    <hyperlink ref="U470" r:id="rId457" xr:uid="{0D32D6B4-3E5B-455E-9891-A6D909F98D4A}"/>
    <hyperlink ref="U471" r:id="rId458" xr:uid="{E7596379-681F-43D3-851A-243EEE7CCDBA}"/>
    <hyperlink ref="U472" r:id="rId459" xr:uid="{6E0271B8-F47A-4754-9A44-359727EC4B23}"/>
    <hyperlink ref="U474" r:id="rId460" xr:uid="{5C305ADC-257E-4C3E-B1D6-7FC7FCE4EDB1}"/>
    <hyperlink ref="U476" r:id="rId461" xr:uid="{1D21798C-C254-4265-8B95-4246664E14BE}"/>
    <hyperlink ref="U477" r:id="rId462" xr:uid="{E7D3A1A9-EA51-4D5A-954F-D6D171DA0331}"/>
    <hyperlink ref="U482" r:id="rId463" xr:uid="{C3515582-B823-4145-AAF7-C4B9C461DC62}"/>
    <hyperlink ref="U483" r:id="rId464" xr:uid="{36ADDC39-8B9B-4B5A-AF58-7B9E70807B23}"/>
    <hyperlink ref="U484" r:id="rId465" xr:uid="{A17682ED-A8B7-40AC-BEB9-BC5AEE1B4BB3}"/>
    <hyperlink ref="U485" r:id="rId466" xr:uid="{E615C955-F197-442C-B63E-3B2789C0A991}"/>
    <hyperlink ref="U486" r:id="rId467" xr:uid="{9DB1E3B2-D3F8-40B0-BCEF-18F87C896CC7}"/>
    <hyperlink ref="U487" r:id="rId468" xr:uid="{6F3EAAF9-4612-4A68-95F5-10AFB3981C84}"/>
    <hyperlink ref="U488" r:id="rId469" xr:uid="{8C328636-4041-4016-923D-7272FC6AF631}"/>
    <hyperlink ref="U489" r:id="rId470" xr:uid="{C3F3FB7C-244D-40E6-8F8C-CBA2CB902C96}"/>
    <hyperlink ref="U490" r:id="rId471" xr:uid="{9101979D-1F90-427F-BCBF-6D801E29B72F}"/>
    <hyperlink ref="U491" r:id="rId472" xr:uid="{A9DAA4FA-32CE-4ACD-A9E8-F2A9EB473F97}"/>
    <hyperlink ref="U493" r:id="rId473" xr:uid="{3C121471-7315-4605-B8CD-F6283B6C768B}"/>
    <hyperlink ref="U494" r:id="rId474" xr:uid="{431F1A27-1EE5-43E2-9E53-F308F7ED15E1}"/>
    <hyperlink ref="U495" r:id="rId475" xr:uid="{3F27B9AD-89A6-421B-9905-68F13DF12EF0}"/>
    <hyperlink ref="U496" r:id="rId476" xr:uid="{3AD43CF8-FE8A-40CA-BD4D-CDD4986A6BF5}"/>
    <hyperlink ref="U497" r:id="rId477" xr:uid="{4B815D6A-9669-4CC8-A87B-519CBA437948}"/>
    <hyperlink ref="U334" r:id="rId478" xr:uid="{468BC93C-E9B5-441D-99F1-1016FEAF1663}"/>
    <hyperlink ref="U498" r:id="rId479" xr:uid="{4555C664-FED7-4396-BCD4-0A27D7BB46C0}"/>
    <hyperlink ref="U500" r:id="rId480" xr:uid="{6EE12622-B498-4517-B14F-8930ADE74268}"/>
    <hyperlink ref="U502" r:id="rId481" xr:uid="{4DCBCFA5-C708-462A-8A1A-36BCD9B97B76}"/>
    <hyperlink ref="U503" r:id="rId482" xr:uid="{0157F589-3DF7-41E2-A242-6EFE104BB1AC}"/>
    <hyperlink ref="U504" r:id="rId483" xr:uid="{A5C23687-3783-49CF-BAB7-35D972AD484C}"/>
    <hyperlink ref="U505" r:id="rId484" xr:uid="{456BE5B1-C367-4514-BB1B-D7AA39E88FB6}"/>
    <hyperlink ref="U506" r:id="rId485" xr:uid="{CB31D776-766E-4DD2-A796-4208AF803BBE}"/>
    <hyperlink ref="U507" r:id="rId486" xr:uid="{CFFCF91F-8653-4EFB-9B39-5AE895B4CF9F}"/>
    <hyperlink ref="U478" r:id="rId487" xr:uid="{6BB2D0C4-B131-4F36-B144-054D87E8BE9A}"/>
    <hyperlink ref="U508" r:id="rId488" xr:uid="{58BA5286-6870-4C6B-841B-CC0A5FE9DA99}"/>
    <hyperlink ref="U509" r:id="rId489" xr:uid="{E429C1F4-F301-4C46-878C-14AB626913BC}"/>
    <hyperlink ref="U510" r:id="rId490" xr:uid="{187F46CF-F04C-465B-9B51-863336A5480B}"/>
    <hyperlink ref="U499" r:id="rId491" xr:uid="{6CC57984-295A-44F6-A16E-D54EE79487BF}"/>
    <hyperlink ref="U511" r:id="rId492" xr:uid="{DACE7B5E-459F-45C9-9B95-9A6BB9DC02F1}"/>
    <hyperlink ref="U492" r:id="rId493" xr:uid="{33C2E6B8-2602-4161-AD53-D63B4FD3D4E1}"/>
    <hyperlink ref="U515" r:id="rId494" xr:uid="{67DDC588-1FA4-4F36-96D2-1FBE669A8042}"/>
    <hyperlink ref="U521" r:id="rId495" xr:uid="{B3B5435D-743C-4B13-A142-D297CF11FCD4}"/>
    <hyperlink ref="U522" r:id="rId496" xr:uid="{13922F3C-74D9-4A04-A9AD-2825B1EF07D7}"/>
    <hyperlink ref="U513" r:id="rId497" xr:uid="{3285E234-112D-4188-AECA-C7F9DACDBE79}"/>
    <hyperlink ref="U523" r:id="rId498" xr:uid="{DDBEA098-A680-425A-8AE3-9849B34BE55F}"/>
    <hyperlink ref="U528" r:id="rId499" xr:uid="{5B028FA4-12E7-46CD-842A-66017A917DD2}"/>
    <hyperlink ref="U524" r:id="rId500" xr:uid="{ABA11DC1-5A72-4EA5-99B9-C121DC0B34A8}"/>
    <hyperlink ref="U529" r:id="rId501" xr:uid="{B043A025-90AB-4B82-AD42-50D3EFC6F669}"/>
    <hyperlink ref="U530" r:id="rId502" xr:uid="{77D965A6-E780-4B5B-BF09-CBD8E953AD73}"/>
    <hyperlink ref="U531" r:id="rId503" xr:uid="{C1A19C32-4D03-426E-A7B7-07E2D0FF65A2}"/>
    <hyperlink ref="U532" r:id="rId504" xr:uid="{3E81529A-474E-4C22-80A8-CF1A7724FF6A}"/>
    <hyperlink ref="U525" r:id="rId505" xr:uid="{24FF8EA3-1AB1-4675-BE90-4F90846A5513}"/>
    <hyperlink ref="U526" r:id="rId506" xr:uid="{EEF6D94A-32F6-4A88-9280-1DD827F8446F}"/>
    <hyperlink ref="U533" r:id="rId507" xr:uid="{E8F19EDC-0484-48D2-AE53-70518CE017AC}"/>
    <hyperlink ref="U480" r:id="rId508" xr:uid="{9E60AEB1-2C50-4FF8-9635-C4240D270D47}"/>
    <hyperlink ref="U440" r:id="rId509" xr:uid="{09127782-54A5-4F7E-AD89-1E1AD3F99941}"/>
    <hyperlink ref="U516" r:id="rId510" xr:uid="{970C7181-1773-498B-8CB1-8A6EAA350095}"/>
    <hyperlink ref="U517" r:id="rId511" xr:uid="{9CBAA2C2-661D-4F32-9CCB-8D8E77D029CB}"/>
    <hyperlink ref="U518" r:id="rId512" xr:uid="{469F0663-E4BC-4215-B702-F37371941373}"/>
    <hyperlink ref="U520" r:id="rId513" xr:uid="{D8FFA008-7C34-4438-88B2-5959FAC2E53C}"/>
    <hyperlink ref="U519" r:id="rId514" xr:uid="{A4259E38-A6D3-4F7C-A195-98732A07C03D}"/>
    <hyperlink ref="U501" r:id="rId515" xr:uid="{38607DC7-7450-478C-BFF3-631F045A55D0}"/>
    <hyperlink ref="U534" r:id="rId516" xr:uid="{9A8B898C-4FEF-4036-89BE-74E098F8D273}"/>
    <hyperlink ref="U535" r:id="rId517" xr:uid="{E9D1BC02-6BB4-4681-B078-F4D713D7E6FD}"/>
    <hyperlink ref="U536" r:id="rId518" xr:uid="{7E396EA4-7389-424E-8581-37ECB28721D5}"/>
    <hyperlink ref="U1500" r:id="rId519" xr:uid="{CC9DF3FA-DED0-4E07-91A3-426841D5C66A}"/>
    <hyperlink ref="U537" r:id="rId520" xr:uid="{F304B718-EEE7-47E1-98F7-81E3D901D0A9}"/>
    <hyperlink ref="U538" r:id="rId521" xr:uid="{F229D0E1-816D-4415-8C0E-6D9FF27586E0}"/>
    <hyperlink ref="U539" r:id="rId522" xr:uid="{B7D1E957-DBF8-4C15-B533-6218219B2C59}"/>
    <hyperlink ref="U540" r:id="rId523" xr:uid="{0B4BC5D8-D5E6-42F8-BD22-687018E269D0}"/>
    <hyperlink ref="U541" r:id="rId524" xr:uid="{52EA877D-C633-47BE-B5DE-949BE6AC023F}"/>
    <hyperlink ref="U542" r:id="rId525" xr:uid="{D24821FF-0C84-41F8-B5CA-694060021A08}"/>
    <hyperlink ref="U543" r:id="rId526" xr:uid="{8C32A2BC-2EB8-4A7F-BA7F-8492507EB48E}"/>
    <hyperlink ref="U544" r:id="rId527" xr:uid="{32FD53C5-6EB3-4D59-9679-D79F43FC7982}"/>
    <hyperlink ref="U545" r:id="rId528" xr:uid="{9EBFDC86-55CE-4277-99CE-DEBC0620179E}"/>
    <hyperlink ref="U546" r:id="rId529" xr:uid="{62257668-D89D-4D79-B362-EF042E2DCA2C}"/>
    <hyperlink ref="U547" r:id="rId530" xr:uid="{8872E3FE-98C8-47A3-B320-A62E50247D71}"/>
    <hyperlink ref="U548" r:id="rId531" xr:uid="{F49A4C16-D293-428B-8560-BAB38927662C}"/>
    <hyperlink ref="U549" r:id="rId532" xr:uid="{D5F717AD-83A1-4386-8B97-F5DA37C5802D}"/>
    <hyperlink ref="U550" r:id="rId533" xr:uid="{7BA53827-07FF-47AA-85EE-8E3C3C627550}"/>
    <hyperlink ref="U551" r:id="rId534" xr:uid="{3FF72F49-EF46-4639-867A-485CD19F9DC0}"/>
    <hyperlink ref="U552" r:id="rId535" xr:uid="{3BACB375-5B87-4887-8F6D-E38DC96908D4}"/>
    <hyperlink ref="U553" r:id="rId536" xr:uid="{9B79E3EC-0BDD-45F6-B195-CE0551207AAD}"/>
    <hyperlink ref="U554" r:id="rId537" xr:uid="{5C34B718-E281-42C4-AEC0-A435C4C9F770}"/>
    <hyperlink ref="U555" r:id="rId538" xr:uid="{583D023B-DC14-4F32-B096-DE2F9C11F6F8}"/>
    <hyperlink ref="U556" r:id="rId539" xr:uid="{468652D2-A538-4DC0-BD03-989C94F746E0}"/>
    <hyperlink ref="U514" r:id="rId540" xr:uid="{A3F5BEAC-2BAC-452E-AE8B-D08EAA95714B}"/>
    <hyperlink ref="U557" r:id="rId541" xr:uid="{A5CFC3F1-9BD9-405F-BB77-8B06C0D4C816}"/>
    <hyperlink ref="U558" r:id="rId542" xr:uid="{B2A55CFF-A6AE-4EFB-96C7-EDA80633B29D}"/>
    <hyperlink ref="U559" r:id="rId543" xr:uid="{66C18F1A-6721-4D37-A6D8-0A7824E5FE8F}"/>
    <hyperlink ref="U560" r:id="rId544" xr:uid="{8B21C46C-82AF-4BB9-8024-FE3AED932307}"/>
    <hyperlink ref="U561" r:id="rId545" xr:uid="{38D84E70-C477-4412-B2DC-2BFF7A0E1C33}"/>
    <hyperlink ref="U562" r:id="rId546" xr:uid="{35F6BFD9-E4FB-4750-B900-74C257D6DCA6}"/>
    <hyperlink ref="U563" r:id="rId547" xr:uid="{40A14687-3A6D-475F-B4FE-06EC957DF829}"/>
    <hyperlink ref="U564" r:id="rId548" xr:uid="{500B6CED-D8C0-49EC-932D-18D794B68B83}"/>
    <hyperlink ref="U565" r:id="rId549" xr:uid="{5FB4B7AC-8A33-4819-9335-FF6B14D36765}"/>
    <hyperlink ref="U566" r:id="rId550" xr:uid="{A6CC2C0E-88F5-4F24-B61A-2AC5E16D3444}"/>
    <hyperlink ref="U567" r:id="rId551" xr:uid="{917F50B5-68F0-4DEB-9C06-1EFD46CAD10E}"/>
    <hyperlink ref="U568" r:id="rId552" xr:uid="{772096A5-93E8-4F7B-A315-B314FF0EB541}"/>
    <hyperlink ref="U569" r:id="rId553" xr:uid="{725D7610-96A9-4EBE-9E9E-CC470B0450D5}"/>
    <hyperlink ref="U571" r:id="rId554" xr:uid="{F30D6933-FF7E-4E3E-A1DA-B8EF7DBE5C0F}"/>
    <hyperlink ref="U570" r:id="rId555" xr:uid="{A769DC06-A60D-4B8E-A955-A790C9F9A6B8}"/>
    <hyperlink ref="U572" r:id="rId556" xr:uid="{FF1AFEF3-4024-4D5D-8B28-6FE36BCABB65}"/>
    <hyperlink ref="U574" r:id="rId557" xr:uid="{ACE6518D-7D18-4D49-B3BB-8CCEFEB83827}"/>
    <hyperlink ref="U575" r:id="rId558" xr:uid="{E9B06831-DF1E-4BD6-92B4-5B6126E9FEFC}"/>
    <hyperlink ref="U576" r:id="rId559" xr:uid="{0008A99C-0DB3-44C7-BAB5-690B6EAD4E4A}"/>
    <hyperlink ref="U577" r:id="rId560" xr:uid="{D4CEF287-70A3-40A2-A43B-622876F10139}"/>
    <hyperlink ref="U579" r:id="rId561" xr:uid="{A626B846-84A3-4E59-AFCF-F61C74AED902}"/>
    <hyperlink ref="U580" r:id="rId562" xr:uid="{0546EE3A-D99C-4C7C-A4FC-21C696A39EFB}"/>
    <hyperlink ref="U582" r:id="rId563" xr:uid="{923CBE60-9CDA-4676-B85E-6171E16823EB}"/>
    <hyperlink ref="U583" r:id="rId564" xr:uid="{D4B4FD1C-46EF-4D77-961C-0EBFEDEC86F3}"/>
    <hyperlink ref="U573" r:id="rId565" xr:uid="{4673F33C-00DE-4AE9-9616-B074CC1C4DBE}"/>
    <hyperlink ref="U72" r:id="rId566" xr:uid="{E686A51A-ECA8-45EC-866C-1368EE62DE96}"/>
    <hyperlink ref="U335" r:id="rId567" xr:uid="{31E06A74-277D-4352-AE43-7D9028350359}"/>
    <hyperlink ref="U586" r:id="rId568" xr:uid="{1B45ABB4-13C7-4030-BEFC-0ADE8719B30E}"/>
    <hyperlink ref="U587" r:id="rId569" display="L:\Services\SERVICE_DES_TRAVAUX\_NEW SERVEUR DPT\2000_PLAN TVX COURANT cl2-cl6\2025\130 Suivi plan de travaux 2025\Classe 6\503 P-EPIS\MBC_LOT04 TBES" xr:uid="{4285736C-EE35-45DA-A2B7-F86E2F8585E1}"/>
    <hyperlink ref="U588" r:id="rId570" xr:uid="{E46CE8B6-ACD2-491D-818F-09275B06A099}"/>
    <hyperlink ref="U589" r:id="rId571" xr:uid="{10AFD18C-BD72-45B8-B23D-A08509F92287}"/>
    <hyperlink ref="U590" r:id="rId572" xr:uid="{F4803B2C-7F0B-43DE-8CAF-D8848C7626C0}"/>
    <hyperlink ref="U591" r:id="rId573" xr:uid="{1854F634-16D6-40D8-AB09-942E01E450F8}"/>
    <hyperlink ref="U585" r:id="rId574" xr:uid="{4A46AEC5-6863-4B82-B3FD-040A077D50D5}"/>
    <hyperlink ref="U578" r:id="rId575" xr:uid="{70B84AD5-2242-464A-9305-E46AC0C0408E}"/>
    <hyperlink ref="U439" r:id="rId576" xr:uid="{A805D26C-3EFC-4E7C-AB32-8A0DB9550C14}"/>
    <hyperlink ref="U592" r:id="rId577" xr:uid="{2C894CC4-017A-42A0-9923-FB6B27ABA589}"/>
    <hyperlink ref="U593" r:id="rId578" xr:uid="{0F7A658A-1D31-45FE-A610-9F961C6EDBCA}"/>
    <hyperlink ref="U597" r:id="rId579" xr:uid="{85C04B26-37B9-4D94-91A8-F1B63018BD13}"/>
    <hyperlink ref="U596" r:id="rId580" xr:uid="{60A8BE98-A5F1-414D-987E-36DF777BAECC}"/>
    <hyperlink ref="U599" r:id="rId581" xr:uid="{3F186E5F-3500-41AB-8100-BF3DB8D463E2}"/>
    <hyperlink ref="U600" r:id="rId582" xr:uid="{35BF1BA6-4768-40C9-9766-C5BAE8D5E7D6}"/>
    <hyperlink ref="U581" r:id="rId583" xr:uid="{8F48B7A3-0856-4655-8321-BBEFE38CBD22}"/>
    <hyperlink ref="U601" r:id="rId584" xr:uid="{1F420FC3-2BF3-4479-8E1E-C5710A42769E}"/>
    <hyperlink ref="U602" r:id="rId585" xr:uid="{2F892BF7-2A67-40FB-B057-17D13C2234E3}"/>
    <hyperlink ref="U604" r:id="rId586" xr:uid="{CE840548-9366-4607-8D87-FE50A08C0515}"/>
    <hyperlink ref="U606" r:id="rId587" xr:uid="{DCAD0AF8-559B-492C-8F0E-914CC7EF40A7}"/>
    <hyperlink ref="U607" r:id="rId588" xr:uid="{54905906-2E5B-4E9C-9153-5EFCD98FAFDE}"/>
    <hyperlink ref="U608" r:id="rId589" xr:uid="{DEE24EF6-2AD8-423B-AA37-F740AB7E2BF1}"/>
    <hyperlink ref="U609" r:id="rId590" xr:uid="{93A642BC-6074-4295-8385-29325A4697C1}"/>
    <hyperlink ref="U584" r:id="rId591" xr:uid="{04D5864B-11EA-48BB-943C-63E6431DA974}"/>
    <hyperlink ref="U612" r:id="rId592" xr:uid="{5B98E9AA-B9EF-43F7-873F-3D49EB5D6717}"/>
    <hyperlink ref="U613" r:id="rId593" xr:uid="{7E8B3B6E-AE4B-4590-A957-0F8228880A76}"/>
    <hyperlink ref="U614" r:id="rId594" xr:uid="{1A603C7C-574F-453C-87AF-250E560F08DB}"/>
    <hyperlink ref="U615" r:id="rId595" xr:uid="{FD3EE4DF-2F54-48DA-8FA7-1F0967642880}"/>
    <hyperlink ref="U616" r:id="rId596" xr:uid="{3D9768D7-F129-4CF6-BB33-828BE9BDC4BC}"/>
    <hyperlink ref="U618" r:id="rId597" xr:uid="{97F03C6C-AB9F-437D-BF2F-1DAAC5F8E405}"/>
    <hyperlink ref="U619" r:id="rId598" xr:uid="{F7EBB465-EE7A-4315-8E3D-6F14561F73E2}"/>
    <hyperlink ref="U620" r:id="rId599" xr:uid="{1A5186F5-3BF9-4788-A132-F5EBF20A3439}"/>
    <hyperlink ref="U621" r:id="rId600" xr:uid="{67F07D79-D171-4EF3-B2AC-1EA8AA8413C3}"/>
    <hyperlink ref="U610" r:id="rId601" xr:uid="{72FC588A-EF32-495F-83AB-73D5C7EC772F}"/>
    <hyperlink ref="U611" r:id="rId602" xr:uid="{3E671B38-24CC-453D-9BFF-268556503BBB}"/>
    <hyperlink ref="U622" r:id="rId603" xr:uid="{282BF023-2D68-4FC7-892A-DECC21AE16FA}"/>
    <hyperlink ref="U623" r:id="rId604" xr:uid="{37717193-5A23-44D5-BD1A-718AE34702A0}"/>
    <hyperlink ref="U624" r:id="rId605" xr:uid="{5E8CDEEF-0CD5-48F9-B344-DD63E930668B}"/>
    <hyperlink ref="U625" r:id="rId606" xr:uid="{DE466E98-8215-445F-8D22-2519DAB6F50E}"/>
    <hyperlink ref="U626" r:id="rId607" xr:uid="{73C48470-54BC-4582-942F-4C5A25CEF0E2}"/>
    <hyperlink ref="U627" r:id="rId608" xr:uid="{B399D1C2-079E-4DAC-942A-8A4F83848823}"/>
    <hyperlink ref="U628" r:id="rId609" xr:uid="{D50C0BA4-5288-4D5B-B14D-A0D4E8F7416A}"/>
    <hyperlink ref="U629" r:id="rId610" xr:uid="{C19CA754-B2E2-420E-B06F-13E73253F8DF}"/>
    <hyperlink ref="U630" r:id="rId611" xr:uid="{D0582816-595D-4C44-860C-AD42F67296B3}"/>
    <hyperlink ref="U631" r:id="rId612" xr:uid="{CFFEE079-C35D-4A21-A59E-0FB149DEBFEB}"/>
    <hyperlink ref="U595" r:id="rId613" xr:uid="{B2945C89-D7EC-4E64-BF27-94D210E02C4C}"/>
    <hyperlink ref="U633" r:id="rId614" xr:uid="{CC97EC75-1FA6-4518-96F1-389C50996A70}"/>
    <hyperlink ref="U594" r:id="rId615" xr:uid="{6B2AD3F4-67F1-4797-B9A5-21497B7C6465}"/>
    <hyperlink ref="U634" r:id="rId616" xr:uid="{E9175D10-31A8-4EF3-B607-CE7C7E7CFFFB}"/>
    <hyperlink ref="U635" r:id="rId617" xr:uid="{47B5984E-B0E3-4F2B-AF51-C90A818A9890}"/>
    <hyperlink ref="U637" r:id="rId618" xr:uid="{2C11BC52-8C71-4A8A-A9D7-447A942A70A5}"/>
    <hyperlink ref="U636" r:id="rId619" xr:uid="{F73102BD-ABDB-4478-8A20-D55D587B90DF}"/>
    <hyperlink ref="U638" r:id="rId620" xr:uid="{0616A78A-8D6A-48BF-8B01-0120A274CD38}"/>
    <hyperlink ref="U639" r:id="rId621" xr:uid="{19003B38-0A2B-460B-80B2-A58AF09290F8}"/>
    <hyperlink ref="U640" r:id="rId622" xr:uid="{1115ECD7-DBFA-4A35-BEF9-11C79B8F5E3E}"/>
    <hyperlink ref="U641" r:id="rId623" xr:uid="{002A487D-0EB5-435E-B118-30E90C1FB3A7}"/>
    <hyperlink ref="U642" r:id="rId624" xr:uid="{0B1C41F3-CDED-4B31-BFE6-8C5410F60689}"/>
    <hyperlink ref="U644" r:id="rId625" xr:uid="{7FF259CC-D4F5-413D-8FC2-1742B2954EEE}"/>
    <hyperlink ref="U643" r:id="rId626" xr:uid="{DA9D25C8-9CB8-4B69-9D6F-71751F606D8C}"/>
    <hyperlink ref="U598" r:id="rId627" xr:uid="{8500EEFE-311C-4358-8476-020CFF7508CF}"/>
    <hyperlink ref="U512" r:id="rId628" xr:uid="{781D82FB-7D3A-4EC3-B82D-A33ABD80090E}"/>
    <hyperlink ref="U645" r:id="rId629" xr:uid="{D0CBD3D3-48A9-457B-A93A-1FA43D70F4C9}"/>
    <hyperlink ref="U646" r:id="rId630" xr:uid="{99FD5BF8-7689-42AA-ACF5-AAEB65F780E1}"/>
    <hyperlink ref="U647" r:id="rId631" xr:uid="{9F980687-E411-478A-8B5A-B0346B1443D5}"/>
    <hyperlink ref="U648" r:id="rId632" xr:uid="{3A2BA2FF-5242-4C5C-B6B8-318FB4E94B82}"/>
    <hyperlink ref="U649" r:id="rId633" xr:uid="{7F2C2D86-2285-4EC8-9F3C-9FF745DFE8D7}"/>
    <hyperlink ref="U650" r:id="rId634" xr:uid="{11523B02-198E-4CB0-A74B-7943E5F8F045}"/>
    <hyperlink ref="U654" r:id="rId635" xr:uid="{5600A920-8E11-4989-BC29-CD34C6B19C28}"/>
    <hyperlink ref="U658" r:id="rId636" xr:uid="{9C946D8B-7042-4D5A-880B-2D96F5E14B30}"/>
    <hyperlink ref="U659" r:id="rId637" xr:uid="{AB6BC9A5-E7C4-47FF-86B3-6F429AB77E8D}"/>
    <hyperlink ref="U655" r:id="rId638" xr:uid="{E800A32C-D0B5-4ABD-A037-3490D7447A0E}"/>
    <hyperlink ref="U657" r:id="rId639" xr:uid="{045DC29E-F6DF-4B1A-A8BB-D3A49A6FD016}"/>
    <hyperlink ref="U660" r:id="rId640" xr:uid="{C316962C-4D60-4546-90FA-7104CE960744}"/>
    <hyperlink ref="U661" r:id="rId641" xr:uid="{96814BCF-ABCE-4EC7-8782-6BA532A1D4E2}"/>
    <hyperlink ref="U662" r:id="rId642" xr:uid="{E07E0BD9-71F1-49C7-8546-7E81A691903F}"/>
    <hyperlink ref="U663" r:id="rId643" xr:uid="{9A00AE25-BFFC-4871-9B31-504384940635}"/>
    <hyperlink ref="U664" r:id="rId644" xr:uid="{97E75214-F24D-47BB-8548-2A75070D1A5F}"/>
    <hyperlink ref="U665" r:id="rId645" xr:uid="{0ECA053C-6B38-4799-BB3F-9E52D243A2F7}"/>
    <hyperlink ref="U666" r:id="rId646" xr:uid="{94AB5728-19BF-43B2-9A9C-BA49448F253E}"/>
    <hyperlink ref="U667" r:id="rId647" xr:uid="{BB07DC4A-B5D2-4D50-BDA6-F24E565A1AE0}"/>
    <hyperlink ref="U668" r:id="rId648" xr:uid="{0FDDA54E-68FA-4598-BCF8-E81148BCBE93}"/>
    <hyperlink ref="U669" r:id="rId649" xr:uid="{A60F866E-4B49-4C76-BE4F-D65103401B8D}"/>
    <hyperlink ref="U671" r:id="rId650" xr:uid="{A62EFBCD-6B5D-4F74-BDDE-EED1AEAB0704}"/>
    <hyperlink ref="U672" r:id="rId651" xr:uid="{B6A8F975-F8B4-4FE0-B896-8CC0F039DDB8}"/>
    <hyperlink ref="U673" r:id="rId652" xr:uid="{1C8DAD56-D766-4A13-8C52-9E4F81139C84}"/>
    <hyperlink ref="U674" r:id="rId653" xr:uid="{8BBB6C34-3B0B-4251-A77E-F63A644C88B0}"/>
    <hyperlink ref="U675" r:id="rId654" xr:uid="{5A49CB9C-11F9-42FA-A484-8E0EE923CA60}"/>
    <hyperlink ref="U676" r:id="rId655" xr:uid="{2EEB5597-4FC5-4B0D-B63F-94614CE8E466}"/>
    <hyperlink ref="U481" r:id="rId656" xr:uid="{2D732A34-BB43-43C0-A199-2A467C49892C}"/>
    <hyperlink ref="U677" r:id="rId657" xr:uid="{A6B03357-4680-4C89-B191-85E93F75BDDD}"/>
    <hyperlink ref="U678" r:id="rId658" xr:uid="{71B821F5-E708-4266-8FAD-E90BFD733C97}"/>
    <hyperlink ref="U679" r:id="rId659" xr:uid="{B9995D20-128C-4AE6-9D4D-B33246DA85B5}"/>
    <hyperlink ref="U681" r:id="rId660" xr:uid="{A4CC4D1E-C689-4755-ABB3-0700DC9DBE00}"/>
    <hyperlink ref="U682" r:id="rId661" xr:uid="{736DBBA8-F13D-4F7E-9D64-D7EE9B359A42}"/>
    <hyperlink ref="U688" r:id="rId662" xr:uid="{AF1B9E2F-8CDF-41BB-8986-5BF23987344D}"/>
    <hyperlink ref="U684" r:id="rId663" xr:uid="{6523EB02-D592-4761-B079-53B0D0ED1212}"/>
    <hyperlink ref="U685" r:id="rId664" xr:uid="{E3ABB11A-05A9-4B42-80F7-6DB0DA25E015}"/>
    <hyperlink ref="U686" r:id="rId665" xr:uid="{13962DC2-908E-4243-8803-71419E080A8B}"/>
    <hyperlink ref="U687" r:id="rId666" xr:uid="{5F2FB99C-B92D-4B5D-A945-EA011ED7C4FE}"/>
    <hyperlink ref="U690" r:id="rId667" xr:uid="{E92EE7B9-1156-4840-9C9B-89A590E51D4C}"/>
    <hyperlink ref="U670" r:id="rId668" xr:uid="{BE589D0E-1066-4954-82D7-13129F8E74FD}"/>
    <hyperlink ref="U689" r:id="rId669" xr:uid="{0CFBF71D-D3A4-4E6F-81D9-B040F60B50B7}"/>
    <hyperlink ref="U691" r:id="rId670" xr:uid="{9E754348-711E-4ADC-9137-023547B5DE39}"/>
    <hyperlink ref="U617" r:id="rId671" xr:uid="{0FE6F0E5-02DC-4CD3-8E1F-712FE85261FF}"/>
    <hyperlink ref="U692" r:id="rId672" xr:uid="{F3D7251D-BB95-4DCD-8EE4-19A177F9C953}"/>
    <hyperlink ref="U693" r:id="rId673" xr:uid="{B20DBC85-FD8B-422F-9983-F588D63D90A1}"/>
    <hyperlink ref="U694" r:id="rId674" xr:uid="{BA7F72B1-DAB5-4003-BB61-D03F5D1D3505}"/>
    <hyperlink ref="U695" r:id="rId675" display="\\SRV-EPS-fai11.epsve.local\DPT\Services\SERVICE_DES_TRAVAUX\_NEW SERVEUR DPT\2000_PLAN TVX COURANT cl2-cl6\2025\130 Suivi plan de travaux 2025\Classe 2\opération AMT\AC2P\695" xr:uid="{D1CF2843-1845-44F9-B028-A7AAC3C3FD97}"/>
    <hyperlink ref="U696" r:id="rId676" xr:uid="{C2B6BC19-CBB6-4EFF-8A22-A48E726298DA}"/>
    <hyperlink ref="U697" r:id="rId677" xr:uid="{C2AAEFF5-BF70-48B1-B8E9-EB97E2124748}"/>
    <hyperlink ref="U698" r:id="rId678" xr:uid="{0E263D4D-00F5-46B3-983E-96D1C9181ED6}"/>
    <hyperlink ref="U699" r:id="rId679" xr:uid="{1C42034C-B275-4965-A25B-316229E967E6}"/>
    <hyperlink ref="U700" r:id="rId680" xr:uid="{886D6B39-21AF-43CB-A711-A3C13A38BAF3}"/>
    <hyperlink ref="U701" r:id="rId681" xr:uid="{4A15A267-2263-4DEE-9F24-6EE1964D9EF5}"/>
    <hyperlink ref="U703" r:id="rId682" xr:uid="{A083EE13-DD4F-4981-A4B5-BBD6E38F51EB}"/>
    <hyperlink ref="U704" r:id="rId683" xr:uid="{40655820-D6ED-4EBF-B320-FBE9908220B6}"/>
    <hyperlink ref="U705" r:id="rId684" xr:uid="{A5AF622E-8D1E-4338-BC18-D9264F4F2661}"/>
    <hyperlink ref="U706" r:id="rId685" xr:uid="{CCEDDA3C-D4AD-4F5F-A479-4B78CFBAB091}"/>
    <hyperlink ref="U707" r:id="rId686" xr:uid="{730198CF-ADAA-4A8E-8DAC-5E2D5DC455C0}"/>
    <hyperlink ref="U708" r:id="rId687" xr:uid="{304511B6-B76A-48D3-9751-F2C0151CA502}"/>
    <hyperlink ref="U709" r:id="rId688" xr:uid="{EF8D5A42-D39D-46E8-B9AD-35CFB13D9DA8}"/>
    <hyperlink ref="U710" r:id="rId689" xr:uid="{1749F439-FD84-4E56-AE34-C4020CE0D987}"/>
    <hyperlink ref="U711" r:id="rId690" xr:uid="{29242E07-52C5-40E2-BCDC-13FADFE17D8A}"/>
    <hyperlink ref="U712" r:id="rId691" xr:uid="{0EB78146-D459-4B4F-AAAC-6B1C9AE5D8A1}"/>
    <hyperlink ref="U713" r:id="rId692" xr:uid="{AFEE536A-4681-4E94-82C0-0FE346F42DA7}"/>
    <hyperlink ref="U702" r:id="rId693" display="L:\Services\SERVICE_DES_TRAVAUX\_NEW SERVEUR DPT\2000_PLAN TVX COURANT cl2-cl6\2025\130 Suivi plan de travaux 2025\Classe 6\501 E-MINGANT\CONT_220026_lot01_SCHINDLER\0704" xr:uid="{E947EC01-4ECD-4A7B-8C90-CC4E86D52F37}"/>
    <hyperlink ref="U683" r:id="rId694" xr:uid="{B509C1AA-0FD8-49F7-9CA2-425F6270D15A}"/>
    <hyperlink ref="U632" r:id="rId695" xr:uid="{00B4308D-D6E6-436F-B3C8-6B26C99BD5F1}"/>
    <hyperlink ref="U714" r:id="rId696" xr:uid="{CAA177AD-2F72-4D58-A479-502BA696789A}"/>
    <hyperlink ref="U715" r:id="rId697" xr:uid="{D3BE34D2-DD7E-478C-85F2-E354DB77362C}"/>
    <hyperlink ref="U716" r:id="rId698" xr:uid="{90FA08FD-BFCE-49D9-9EC4-0A86A901873A}"/>
    <hyperlink ref="U717" r:id="rId699" xr:uid="{58619AFE-CC1D-4E7B-8F61-9B6B88F33A00}"/>
    <hyperlink ref="U719" r:id="rId700" xr:uid="{AD3FF37A-8E4C-4B0F-BE1F-C00D66A12CC3}"/>
    <hyperlink ref="U720" r:id="rId701" xr:uid="{E995A4DA-9DC8-4E99-89CD-A6C9359707AA}"/>
    <hyperlink ref="U718" r:id="rId702" xr:uid="{08F5CA57-AB08-47EB-8224-ECC9ED42FA14}"/>
    <hyperlink ref="U441" r:id="rId703" xr:uid="{4D461AAD-9D79-4748-9A34-29E497D4F998}"/>
    <hyperlink ref="U721" r:id="rId704" xr:uid="{87DAC2F3-A4AA-4CF0-9CCE-AC51719166FE}"/>
    <hyperlink ref="U722" r:id="rId705" xr:uid="{0B7D85A7-2762-4436-AD05-37D67E5EDE05}"/>
    <hyperlink ref="U723" r:id="rId706" xr:uid="{94EBC92D-FA46-4EBA-A499-7CE67B1D280B}"/>
    <hyperlink ref="U724" r:id="rId707" xr:uid="{8B3B338D-2C6B-4E57-A196-7C0F02229781}"/>
    <hyperlink ref="U725" r:id="rId708" xr:uid="{BCED4768-3AC9-4BE1-A01C-4A28B635AF2E}"/>
    <hyperlink ref="U726" r:id="rId709" xr:uid="{8E82CC77-0A81-495B-A82E-846261A43DC4}"/>
    <hyperlink ref="U727" r:id="rId710" xr:uid="{B8F154DC-0A0E-4231-B5A4-354603EF1891}"/>
    <hyperlink ref="U731" r:id="rId711" xr:uid="{82E725EC-EDCC-4E5A-99C0-6DC77758C776}"/>
    <hyperlink ref="U728" r:id="rId712" xr:uid="{49FD7040-4429-4DB6-BFC2-1140E177E22C}"/>
    <hyperlink ref="U729" r:id="rId713" xr:uid="{D5CE38A9-35D5-4EF8-852D-E801EF9B2D61}"/>
    <hyperlink ref="U730" r:id="rId714" xr:uid="{CCC4A5CF-F11C-4CC5-A799-19F56A0B6E0D}"/>
    <hyperlink ref="U732" r:id="rId715" xr:uid="{FD182501-CA8C-4A0C-82F2-25917321C491}"/>
    <hyperlink ref="U733" r:id="rId716" xr:uid="{B46EDCFE-F3B9-4800-9ACF-F3F249BED5F2}"/>
    <hyperlink ref="U734" r:id="rId717" xr:uid="{79D7D458-5E13-4546-9620-9E09A4FC82FC}"/>
    <hyperlink ref="U736" r:id="rId718" xr:uid="{B09E2B9D-E61C-4666-A83F-A18091CC511F}"/>
    <hyperlink ref="U735" r:id="rId719" xr:uid="{2142FFC0-82AF-49AF-91DF-5217E5211E2A}"/>
    <hyperlink ref="U737" r:id="rId720" xr:uid="{D791FFA5-D6C4-4B2C-BDB8-0828D85DBB36}"/>
    <hyperlink ref="U738" r:id="rId721" xr:uid="{45F1EAEE-E1A5-483B-B979-268228A8E3DD}"/>
    <hyperlink ref="U739" r:id="rId722" xr:uid="{0550B6C2-3B59-4E65-BE89-57D8CA4FDEE3}"/>
    <hyperlink ref="U740" r:id="rId723" xr:uid="{B3C3724F-F41A-4D6D-AC49-B81A84A07D0D}"/>
    <hyperlink ref="U741" r:id="rId724" xr:uid="{4E2A0DEA-C482-4697-908C-DF2E612BCFBE}"/>
    <hyperlink ref="U742" r:id="rId725" xr:uid="{9D97F4BD-3F0E-41E6-9F30-FCC20996AC0D}"/>
    <hyperlink ref="U743" r:id="rId726" xr:uid="{BBDBDC70-1312-4397-86DE-09B84BE409BB}"/>
    <hyperlink ref="U744" r:id="rId727" xr:uid="{93052498-7924-41D8-87C7-223E6D4B341A}"/>
    <hyperlink ref="U745" r:id="rId728" xr:uid="{799513AC-F697-4780-B848-EA130C2D3DE2}"/>
    <hyperlink ref="U746" r:id="rId729" xr:uid="{73627A44-4945-4DF6-B3AA-2E393C3DE412}"/>
    <hyperlink ref="U747" r:id="rId730" xr:uid="{39052BE2-5497-47D0-B23D-140F1FBB0E0B}"/>
    <hyperlink ref="U748" r:id="rId731" xr:uid="{AD6F63DB-BD3D-46D7-9D42-B5470CE075AE}"/>
    <hyperlink ref="U749" r:id="rId732" xr:uid="{AD121645-F2C6-458C-9144-837471A01023}"/>
    <hyperlink ref="U750" r:id="rId733" xr:uid="{B0626D8C-48A7-473D-9FD1-38D0CF011BDA}"/>
    <hyperlink ref="U751" r:id="rId734" xr:uid="{279BA643-7F23-4C21-90AD-0F904B82803B}"/>
    <hyperlink ref="U752" r:id="rId735" xr:uid="{818EBAC5-3C54-4E90-B2A2-71DD7B2D315C}"/>
    <hyperlink ref="U753" r:id="rId736" xr:uid="{7EF1FCB6-408D-40AE-958D-7F7D9DB0A4ED}"/>
    <hyperlink ref="U755" r:id="rId737" xr:uid="{6603951C-E2E8-4E25-AA56-748B6E762B0F}"/>
    <hyperlink ref="U756" r:id="rId738" xr:uid="{4FA102FB-081E-40B5-AFBB-7CC6A85DC641}"/>
    <hyperlink ref="U757" r:id="rId739" xr:uid="{1CDE6FF6-AD70-4A2C-BA2D-9BADBB6F0FBE}"/>
    <hyperlink ref="U758" r:id="rId740" xr:uid="{DFCDBC33-1579-45EB-B9D2-EC2B0B5FBA04}"/>
    <hyperlink ref="U759" r:id="rId741" xr:uid="{2A174FB4-9CC9-4BE1-95BC-744319BC736B}"/>
    <hyperlink ref="U760" r:id="rId742" xr:uid="{F8584394-5749-4F27-BEDB-AE9B1DC74394}"/>
    <hyperlink ref="U761" r:id="rId743" xr:uid="{175B10A6-88AA-4015-BD1E-132B5F70477C}"/>
    <hyperlink ref="U762" r:id="rId744" xr:uid="{5BC05211-FD23-44EB-AC52-16885B764C0E}"/>
    <hyperlink ref="U763" r:id="rId745" xr:uid="{71ED0D40-5396-4C35-BD71-B301EAE6D565}"/>
    <hyperlink ref="U764" r:id="rId746" xr:uid="{496AD82B-5CDF-4472-B013-60E24FAEBA3E}"/>
    <hyperlink ref="U765" r:id="rId747" xr:uid="{2F8BA558-F338-42D9-999D-1A2308767C84}"/>
    <hyperlink ref="U766" r:id="rId748" xr:uid="{EE373188-4D2D-43EF-85D0-324B889902DD}"/>
    <hyperlink ref="U767" r:id="rId749" xr:uid="{56A89ADD-75A3-4AF0-90C2-0DB3B17A5210}"/>
    <hyperlink ref="U768" r:id="rId750" xr:uid="{D629F2A3-64A2-4DEB-8AF3-6542201A0772}"/>
    <hyperlink ref="U769" r:id="rId751" xr:uid="{5212648D-5716-4CF7-A2DF-A28714E317CE}"/>
    <hyperlink ref="U770" r:id="rId752" xr:uid="{5F880E14-B1B9-468B-9415-D252943B3862}"/>
    <hyperlink ref="U771" r:id="rId753" xr:uid="{ACEA3F34-884D-4D80-8C43-D810BD250C06}"/>
    <hyperlink ref="U772" r:id="rId754" xr:uid="{47B4AC8F-DB50-46FE-8E7F-B32EB9DE366C}"/>
    <hyperlink ref="U652" r:id="rId755" xr:uid="{AC4E2FBF-9A3F-49EE-99DA-37870E94EADB}"/>
    <hyperlink ref="U773" r:id="rId756" xr:uid="{0583999F-106E-4CC3-AFFC-1B805164682C}"/>
    <hyperlink ref="U774" r:id="rId757" xr:uid="{0FD9BC07-2E56-442A-9A00-A4D9F4EED0B1}"/>
    <hyperlink ref="U775" r:id="rId758" xr:uid="{3441D611-94A0-4CA4-A10B-51259DE2F376}"/>
    <hyperlink ref="U776" r:id="rId759" xr:uid="{39E81FE2-2472-4FE6-9E89-A644D53B93B1}"/>
    <hyperlink ref="U778" r:id="rId760" xr:uid="{227B0749-0A3F-4047-B4F8-120717C015B1}"/>
    <hyperlink ref="U651" r:id="rId761" xr:uid="{427BCBE2-D5F2-4E79-8087-CB3CCC1021F6}"/>
    <hyperlink ref="U605" r:id="rId762" xr:uid="{DBE57C2F-6446-4D6A-897B-DBAA966A1ED1}"/>
    <hyperlink ref="U783" r:id="rId763" xr:uid="{04F0A7CA-90D9-471B-A875-5AE3C4BBA9DF}"/>
    <hyperlink ref="U784" r:id="rId764" xr:uid="{326B48C5-BB4B-489D-AB33-3AEA9219C216}"/>
    <hyperlink ref="U754" r:id="rId765" xr:uid="{271B0668-F1A9-46E3-B9FF-BADBCC9E8B3A}"/>
    <hyperlink ref="U653" r:id="rId766" xr:uid="{0D088EDD-A775-4E2F-A56C-845DF528CBB4}"/>
    <hyperlink ref="U785" r:id="rId767" xr:uid="{8E24C683-657C-4490-9D97-D06D37701A37}"/>
    <hyperlink ref="U779" r:id="rId768" xr:uid="{71E910BA-A098-45B1-AF74-E9660B115484}"/>
    <hyperlink ref="U786" r:id="rId769" xr:uid="{1821C37E-7AD8-4DF8-8635-0C26AE6A6325}"/>
    <hyperlink ref="U787" r:id="rId770" xr:uid="{277A3AED-F373-4F92-BDAA-85302EE229DF}"/>
    <hyperlink ref="U788" r:id="rId771" xr:uid="{5872F24C-696E-469E-9B22-77CF80A7B57D}"/>
    <hyperlink ref="U790" r:id="rId772" xr:uid="{EC976ADA-6FB9-4045-9BA2-CAD0681187AF}"/>
    <hyperlink ref="U777" r:id="rId773" xr:uid="{C57BFF59-8C6F-4B29-A965-C3385622422E}"/>
    <hyperlink ref="U791" r:id="rId774" xr:uid="{870C90DC-4EF5-4668-BCF0-9B41889AD011}"/>
    <hyperlink ref="U792" r:id="rId775" xr:uid="{252E9A73-DFFD-4E20-A451-96E3E15884FA}"/>
    <hyperlink ref="U793" r:id="rId776" xr:uid="{757B3C9B-B286-4820-95EE-3BEA266B4C53}"/>
    <hyperlink ref="U794" r:id="rId777" xr:uid="{22041E04-AD51-456F-8D8A-40A22230E0DE}"/>
    <hyperlink ref="U795" r:id="rId778" xr:uid="{FF72D895-AA4F-4CE5-8734-977E387AA628}"/>
    <hyperlink ref="U796" r:id="rId779" xr:uid="{0DAB0DDA-E4D9-41DF-A3E7-FA54309CC06E}"/>
    <hyperlink ref="U797" r:id="rId780" xr:uid="{7F14A46C-6F78-4F21-A918-04FED7C250B9}"/>
    <hyperlink ref="U798" r:id="rId781" xr:uid="{1F145324-2ED8-4C91-8C63-05D720AE9F47}"/>
    <hyperlink ref="U799" r:id="rId782" xr:uid="{31E03DBC-0232-42A9-957A-D4009B346B1E}"/>
    <hyperlink ref="U801" r:id="rId783" xr:uid="{597ED695-F941-4734-8581-734809EBCD0B}"/>
    <hyperlink ref="U802" r:id="rId784" xr:uid="{4DC54930-85F5-4966-80C5-2AF7DD8CB1B5}"/>
    <hyperlink ref="U803" r:id="rId785" xr:uid="{82F4FF85-4EDE-48AD-8692-7DC7B77684C0}"/>
    <hyperlink ref="U804" r:id="rId786" xr:uid="{166DCA43-3D80-4D75-9F0F-EC3DE1C147B1}"/>
    <hyperlink ref="U805" r:id="rId787" xr:uid="{4EE80E85-010D-47CC-8ADB-A01C60D0E180}"/>
    <hyperlink ref="U806" r:id="rId788" xr:uid="{67D02573-B12F-40DE-9ED6-42A963039CE1}"/>
    <hyperlink ref="U469" r:id="rId789" xr:uid="{27FC2C92-D51B-404B-A8B3-6943F3B8BF9E}"/>
    <hyperlink ref="U807" r:id="rId790" xr:uid="{EEF9A6F1-FA53-49D1-B203-B40433E48F44}"/>
    <hyperlink ref="U800" r:id="rId791" xr:uid="{D5989C7D-0BDD-45F6-83A4-0339ECA0C4AE}"/>
    <hyperlink ref="U809" r:id="rId792" xr:uid="{7967D2CE-583C-4586-AE5A-7B85462B250F}"/>
    <hyperlink ref="U810" r:id="rId793" xr:uid="{6B728FE1-E653-4025-9BEC-CF3E4CC39B27}"/>
    <hyperlink ref="U811" r:id="rId794" xr:uid="{6A5797AC-33BD-4601-9966-6DEEC3F2E454}"/>
    <hyperlink ref="U812" r:id="rId795" xr:uid="{179E1A67-A720-411C-9326-CE7184E4617B}"/>
    <hyperlink ref="U813" r:id="rId796" xr:uid="{9C448420-82C9-479D-95D3-6EFA50256190}"/>
    <hyperlink ref="U808" r:id="rId797" xr:uid="{D54845A1-BA21-4DBA-8CB7-6936F7739B44}"/>
    <hyperlink ref="U815" r:id="rId798" xr:uid="{E457BAA4-DA18-48E6-962C-C0C3BE727816}"/>
    <hyperlink ref="U818" r:id="rId799" xr:uid="{E9DAB8DD-10B9-4CCA-B282-1CA2E0739D5C}"/>
    <hyperlink ref="U819" r:id="rId800" xr:uid="{57F1DA7E-3955-43AF-AE30-1B53514FB95D}"/>
    <hyperlink ref="U820" r:id="rId801" xr:uid="{1F815CD1-DCFD-4BDA-AE11-AA6C41FB31FE}"/>
    <hyperlink ref="U821" r:id="rId802" xr:uid="{899A7A0E-6DF8-4399-A26B-5C7C472D0DB7}"/>
    <hyperlink ref="U822" r:id="rId803" xr:uid="{602B6153-361C-43F9-8893-7843467332B0}"/>
    <hyperlink ref="U823" r:id="rId804" xr:uid="{5ADEE05A-1F80-4B33-B5A8-33F250752F8D}"/>
    <hyperlink ref="U816" r:id="rId805" xr:uid="{D6CDD542-B0F7-4895-A504-1C6B0D6EB40F}"/>
    <hyperlink ref="U824" r:id="rId806" xr:uid="{35A762B2-B7CB-44C0-B0E8-66FF78FE3EA3}"/>
    <hyperlink ref="U826" r:id="rId807" xr:uid="{A531DDEA-E219-4918-9602-C38867308E58}"/>
    <hyperlink ref="U827" r:id="rId808" xr:uid="{01E73E84-5F35-4F6D-B4EB-7F74D4464D44}"/>
    <hyperlink ref="U825" r:id="rId809" xr:uid="{B7332B79-C1D9-4DC7-96D6-BB63BE634B99}"/>
    <hyperlink ref="U828" r:id="rId810" xr:uid="{C744D87E-5F50-4FB5-99C7-48B922345155}"/>
    <hyperlink ref="U829" r:id="rId811" xr:uid="{2D2B2881-C79C-40B3-963E-405EC4ACCCE0}"/>
    <hyperlink ref="U830" r:id="rId812" xr:uid="{16F462B1-80E8-4B68-9774-F2D6BBE87E40}"/>
    <hyperlink ref="U831" r:id="rId813" xr:uid="{5C7D01EA-DA49-461F-94DF-963AB2DB982F}"/>
    <hyperlink ref="U832" r:id="rId814" xr:uid="{CDD8CD15-380A-4CE1-89A0-57116EAE361C}"/>
    <hyperlink ref="U833" r:id="rId815" xr:uid="{3EF71D9E-1379-4AD3-8B43-C7F15EADCD7B}"/>
    <hyperlink ref="U834" r:id="rId816" xr:uid="{B8510BAB-B07D-4240-9759-F4B97CAF8C34}"/>
    <hyperlink ref="U835" r:id="rId817" xr:uid="{E83F6AA6-54EC-428A-8E19-66DA535338FA}"/>
    <hyperlink ref="U836" r:id="rId818" xr:uid="{4BD1D913-9CD0-4C7B-8450-7160CFAD94DE}"/>
    <hyperlink ref="U837" r:id="rId819" xr:uid="{36BD87EC-07E4-4476-A53A-DA65E5D9AA08}"/>
    <hyperlink ref="U838" r:id="rId820" xr:uid="{039570AA-A71A-492E-9824-2D831CE09B06}"/>
    <hyperlink ref="U814" r:id="rId821" xr:uid="{AE4C22C0-8FD4-4CB8-BB26-D257A71820F9}"/>
    <hyperlink ref="U839" r:id="rId822" xr:uid="{EB9E3D9C-7FB6-4D37-B4BC-8CADF36ABD7B}"/>
    <hyperlink ref="U840" r:id="rId823" xr:uid="{7A1BCFE1-461F-4A3B-9F31-A22342AE9C18}"/>
    <hyperlink ref="U841" r:id="rId824" xr:uid="{720D457F-EB0D-4DE8-8A6C-3C38ECF47C8D}"/>
    <hyperlink ref="U842" r:id="rId825" xr:uid="{1901070B-46A0-4CCE-9E4F-20B78F74E8A1}"/>
    <hyperlink ref="U843" r:id="rId826" xr:uid="{A0F27055-5DE9-4EE7-8196-5705F53530F9}"/>
    <hyperlink ref="U844" r:id="rId827" xr:uid="{3777C7BF-5378-463D-812F-5D3EE641962D}"/>
    <hyperlink ref="U845" r:id="rId828" xr:uid="{9AB3DDA5-991B-4888-91BD-BEBD889DB155}"/>
    <hyperlink ref="U846" r:id="rId829" xr:uid="{16060108-CEEB-4B54-A2D6-CEC48062AA37}"/>
    <hyperlink ref="U847" r:id="rId830" xr:uid="{7BCBE5D6-ACB4-4683-BB50-79FDC634C549}"/>
    <hyperlink ref="U848" r:id="rId831" xr:uid="{2F3E722B-F93E-4A1B-9138-1F4DB80C7531}"/>
    <hyperlink ref="U850" r:id="rId832" xr:uid="{20B7C73E-57C6-41E9-A0AF-AA91E708FF30}"/>
    <hyperlink ref="U852" r:id="rId833" xr:uid="{D1A32A58-15A3-450E-891A-0ACDDC1269AE}"/>
    <hyperlink ref="U853" r:id="rId834" xr:uid="{D877C5A6-4407-405E-9378-318FB2DBD689}"/>
    <hyperlink ref="U854" r:id="rId835" xr:uid="{CFD96FEF-DE98-418D-8473-8CCCE5241C3D}"/>
    <hyperlink ref="U855" r:id="rId836" xr:uid="{74E2962C-E097-465D-806C-0ED8507F248E}"/>
    <hyperlink ref="U856" r:id="rId837" xr:uid="{113763A1-E174-4BF9-A38F-D6FAC5BFFC9D}"/>
    <hyperlink ref="U857" r:id="rId838" xr:uid="{5D24C08F-8F8C-4289-9E25-E071E9B1A538}"/>
    <hyperlink ref="U858" r:id="rId839" xr:uid="{04485E81-D2C4-471D-B5DB-2C06E1C7C035}"/>
    <hyperlink ref="U859" r:id="rId840" xr:uid="{9963F521-415E-45AC-B032-310EF1662F74}"/>
    <hyperlink ref="U860" r:id="rId841" xr:uid="{6482B1A5-48C4-45FD-AA8E-2F4E15D177BB}"/>
    <hyperlink ref="U861" r:id="rId842" xr:uid="{6B1785FD-B692-4A12-AE6D-7A219298317D}"/>
    <hyperlink ref="U862" r:id="rId843" xr:uid="{EC879CFB-253F-494F-A989-EEFEB6E740A1}"/>
    <hyperlink ref="U863" r:id="rId844" xr:uid="{FE867AA4-166E-46CD-B014-03C631F7619E}"/>
    <hyperlink ref="U864" r:id="rId845" xr:uid="{53560291-53B0-4611-A376-ED4921720848}"/>
    <hyperlink ref="U865" r:id="rId846" xr:uid="{0362B3DB-7767-4307-BA1A-D03807D941B7}"/>
    <hyperlink ref="U876" r:id="rId847" xr:uid="{EE81AD90-7EEA-43F6-99F9-523D31ECFAD3}"/>
    <hyperlink ref="U866" r:id="rId848" xr:uid="{381E3BF4-63BE-4529-BAD0-90F8D92C7AF9}"/>
    <hyperlink ref="U875" r:id="rId849" xr:uid="{82D44074-BFA3-4EC4-BE59-A941B09846FA}"/>
    <hyperlink ref="U874" r:id="rId850" xr:uid="{6232961A-F990-4F57-92A8-8CE321C67573}"/>
    <hyperlink ref="U867" r:id="rId851" xr:uid="{6D1F5B2B-0811-4FEB-8D5D-B9223DA58CB7}"/>
    <hyperlink ref="U868" r:id="rId852" xr:uid="{EC7DC128-0F5D-40FA-8600-2A3CED2C1512}"/>
    <hyperlink ref="U869" r:id="rId853" xr:uid="{C3F58ACD-8957-4B53-B4ED-A31D1C1073A6}"/>
    <hyperlink ref="U870" r:id="rId854" xr:uid="{6EDB15EA-309B-43DB-BADE-976C359BA7C9}"/>
    <hyperlink ref="U871" r:id="rId855" xr:uid="{A4A552DE-230D-47F6-B3F8-14A7C16660E2}"/>
    <hyperlink ref="U872" r:id="rId856" xr:uid="{29942A1E-7C09-454B-ADFC-611904471AAA}"/>
    <hyperlink ref="U873" r:id="rId857" xr:uid="{288AB8BE-E52E-4356-989F-13D73EC4626B}"/>
    <hyperlink ref="U877" r:id="rId858" xr:uid="{DA573EAA-7118-43EF-8C04-671E4C436F19}"/>
    <hyperlink ref="U878" r:id="rId859" xr:uid="{AC8C3AA1-E924-4081-81D6-8EF70D00BA44}"/>
    <hyperlink ref="U879" r:id="rId860" xr:uid="{4BB86A26-3BA1-4096-B7B3-034E28CD3F37}"/>
    <hyperlink ref="U880" r:id="rId861" xr:uid="{316BFE89-B23E-4DC8-AD9D-A52E0C697E71}"/>
    <hyperlink ref="U881" r:id="rId862" xr:uid="{828A6FF5-8FB4-4AB8-A282-E1179604E5C4}"/>
    <hyperlink ref="U882" r:id="rId863" xr:uid="{24381148-A2BD-4CC2-AFF2-40613D957563}"/>
    <hyperlink ref="U885" r:id="rId864" xr:uid="{166F3471-2991-4A10-883C-7ACC08DBD905}"/>
    <hyperlink ref="U883" r:id="rId865" xr:uid="{EA0DD311-FADD-4120-999D-D3776B0FE2A9}"/>
    <hyperlink ref="U884" r:id="rId866" xr:uid="{A5909C7F-A3C2-4146-B821-BAAFC4DFB3AD}"/>
    <hyperlink ref="U888" r:id="rId867" xr:uid="{D367094B-1F0A-40F3-A81E-028436814EA9}"/>
    <hyperlink ref="U886" r:id="rId868" xr:uid="{3109D995-110A-4CB4-9464-310784AA4F41}"/>
    <hyperlink ref="U887" r:id="rId869" xr:uid="{8B854631-4909-4656-8DA3-CC7A08FC4025}"/>
    <hyperlink ref="U889" r:id="rId870" xr:uid="{2CD402F6-D224-42B2-88A5-36277B71DF4B}"/>
    <hyperlink ref="U890" r:id="rId871" xr:uid="{704FFB83-2DC4-418F-A294-420B78A28BC9}"/>
    <hyperlink ref="U891" r:id="rId872" xr:uid="{677C655A-8D3E-4F38-A653-52FBB63F60FF}"/>
    <hyperlink ref="U892" r:id="rId873" xr:uid="{34ACBF31-AFD7-436D-AAF6-C73A07AE3532}"/>
    <hyperlink ref="U893" r:id="rId874" xr:uid="{97A2B39C-8A72-4239-9423-7633546AECB8}"/>
    <hyperlink ref="U894" r:id="rId875" xr:uid="{316CF919-A8B5-4545-9E12-C275E2A58037}"/>
    <hyperlink ref="U895" r:id="rId876" xr:uid="{0C7FF476-76FC-40F4-8CD8-70F6148B5D70}"/>
    <hyperlink ref="U896" r:id="rId877" xr:uid="{C526DBB6-A8E5-4A22-8F34-B3469F3F9CCE}"/>
    <hyperlink ref="U897" r:id="rId878" xr:uid="{F4FE448D-F857-4C92-A3BA-0ED727CBCDF7}"/>
    <hyperlink ref="U898" r:id="rId879" xr:uid="{693139EC-C848-4FB2-83F9-4165D2E789C8}"/>
    <hyperlink ref="U899" r:id="rId880" xr:uid="{42DBD4B4-A6C8-403F-AA23-54B737368C9D}"/>
    <hyperlink ref="U900" r:id="rId881" xr:uid="{6B9847D2-4056-42B0-B8AB-1A6388FD5D50}"/>
    <hyperlink ref="U902" r:id="rId882" xr:uid="{FCBA3BDD-0B8A-4ACE-ABD6-07C005B07B03}"/>
    <hyperlink ref="U903" r:id="rId883" xr:uid="{0A4E678A-9554-4774-B6D4-A71B57FDDE09}"/>
    <hyperlink ref="U904" r:id="rId884" xr:uid="{A6A4C85F-BEC0-47DC-A60A-920534B7E775}"/>
    <hyperlink ref="U905" r:id="rId885" xr:uid="{6B0ADB6A-199F-4C28-B515-9643BB066244}"/>
    <hyperlink ref="U906" r:id="rId886" xr:uid="{F703BFC7-4454-4CF2-81E5-146C1D3F002D}"/>
    <hyperlink ref="U907" r:id="rId887" xr:uid="{485B1556-30AA-42C4-B235-0704B1A5AD58}"/>
    <hyperlink ref="U908" r:id="rId888" xr:uid="{CF0F0161-6EC7-42D9-A40F-274DCA78F34E}"/>
    <hyperlink ref="U909" r:id="rId889" xr:uid="{E0A8157B-311F-4B2B-B102-D350A698D00E}"/>
    <hyperlink ref="U910" r:id="rId890" xr:uid="{BE503AFF-6B58-4C00-933B-F664F3A31B66}"/>
    <hyperlink ref="U911" r:id="rId891" xr:uid="{D3491463-2FA3-4F33-93D3-AA91D1199840}"/>
    <hyperlink ref="U912" r:id="rId892" xr:uid="{A63CE8F4-D07A-456F-A4F3-51743EA5ED81}"/>
    <hyperlink ref="U913" r:id="rId893" xr:uid="{03CFC5FF-73A6-49F5-B4A3-3495CA202ACC}"/>
    <hyperlink ref="U914" r:id="rId894" xr:uid="{1AA69FEB-1EAE-4991-AD82-A51F7873B654}"/>
    <hyperlink ref="U915" r:id="rId895" xr:uid="{22958C54-C4B3-43BF-ABE3-1EF20373517D}"/>
    <hyperlink ref="U916" r:id="rId896" xr:uid="{E3A9AD02-FBCC-421D-9F75-2BA9D98CE18B}"/>
    <hyperlink ref="U917" r:id="rId897" xr:uid="{C3452F1E-B5C0-4860-8478-1F007F8EC03E}"/>
    <hyperlink ref="U918" r:id="rId898" xr:uid="{76BA2ED8-977E-433B-AC91-C3EC5DDEBE8E}"/>
    <hyperlink ref="U919" r:id="rId899" xr:uid="{260D4421-5FEA-41DF-B428-C0E0DF75BF20}"/>
    <hyperlink ref="U920" r:id="rId900" xr:uid="{1528714D-C380-49AE-A233-BF25AE523DC6}"/>
    <hyperlink ref="U922" r:id="rId901" xr:uid="{B02AF04B-2B0E-41B4-BEC8-D3E8EB0999E9}"/>
    <hyperlink ref="U923" r:id="rId902" xr:uid="{EF2962A8-4E3C-4F89-97E4-96AF3ADA094B}"/>
    <hyperlink ref="U924" r:id="rId903" xr:uid="{45B6AAA6-87CE-49B2-8211-0C8014AA0D78}"/>
    <hyperlink ref="U925" r:id="rId904" xr:uid="{A2229B59-1A84-4D50-8781-275FE35032D8}"/>
    <hyperlink ref="U926" r:id="rId905" xr:uid="{5F7B5834-FA86-4ACE-8C41-C2E56F92CADB}"/>
    <hyperlink ref="U927" r:id="rId906" xr:uid="{74966605-A5DF-45F6-B332-6711A729AD39}"/>
    <hyperlink ref="U930" r:id="rId907" xr:uid="{06536037-0685-41CA-A9E6-068204D36293}"/>
    <hyperlink ref="U851" r:id="rId908" xr:uid="{91C0D9C2-E864-4960-A78A-112E85FE1FBF}"/>
    <hyperlink ref="U931" r:id="rId909" xr:uid="{869B9CD3-C7FE-4A08-9C10-CA4BCE4C3C3A}"/>
    <hyperlink ref="U932" r:id="rId910" xr:uid="{21F7BBD3-DC6F-4D77-9FE8-72D394503139}"/>
    <hyperlink ref="U933" r:id="rId911" xr:uid="{4A7C32FA-F9AD-4677-9419-AAB594022C1E}"/>
    <hyperlink ref="U934" r:id="rId912" xr:uid="{F35C852B-6137-40A6-9437-E6AC8EC24297}"/>
    <hyperlink ref="U928" r:id="rId913" xr:uid="{90A697CD-4821-40AD-9AD0-41428118C71B}"/>
    <hyperlink ref="U935" r:id="rId914" xr:uid="{A7BBEF03-4F49-4D6C-8C08-929CC15F09F3}"/>
    <hyperlink ref="U936" r:id="rId915" xr:uid="{A5922A3C-2F6D-4789-A63B-B56CFB9E2B8F}"/>
    <hyperlink ref="U937" r:id="rId916" xr:uid="{D1BA9FFF-0247-49AE-8407-9AC9740FE348}"/>
    <hyperlink ref="U938" r:id="rId917" xr:uid="{6C8930E2-B63B-4B7E-9C5C-A8D5474256BE}"/>
    <hyperlink ref="U939" r:id="rId918" xr:uid="{B1E5765A-454F-4ADB-BC6D-DD4481865178}"/>
    <hyperlink ref="U849" r:id="rId919" xr:uid="{6D07959D-281F-496D-BF5D-763B15BA811A}"/>
    <hyperlink ref="U940" r:id="rId920" xr:uid="{54A2E104-F64B-40B9-A66A-3038149BC352}"/>
    <hyperlink ref="U941" r:id="rId921" xr:uid="{98142C0F-47D9-4645-942A-EAFDF0DD475C}"/>
    <hyperlink ref="U929" r:id="rId922" xr:uid="{11126674-FAB6-4C38-A77C-9DC796E32AB2}"/>
    <hyperlink ref="U943" r:id="rId923" xr:uid="{E537D33F-8044-4375-A815-8720602C5957}"/>
    <hyperlink ref="U944" r:id="rId924" xr:uid="{675E774E-B194-43BE-B705-4F272AF3870B}"/>
    <hyperlink ref="U945" r:id="rId925" xr:uid="{5D989850-EE29-4E89-8469-23F5CA8F7162}"/>
    <hyperlink ref="U946" r:id="rId926" xr:uid="{6B0C37BD-2058-4C91-A673-DE38B147D0F4}"/>
    <hyperlink ref="U948" r:id="rId927" xr:uid="{D37872FF-4179-4843-B852-C01E0BF1E0A4}"/>
    <hyperlink ref="U947" r:id="rId928" xr:uid="{6B14428D-6D7F-4ACC-9F6E-EBD58665376C}"/>
    <hyperlink ref="U949" r:id="rId929" xr:uid="{C20F4D4B-2F30-48AB-AFCE-906A3D09FBB0}"/>
    <hyperlink ref="U951" r:id="rId930" xr:uid="{EA7B4726-B2DD-4007-81F2-32603C17705D}"/>
    <hyperlink ref="U950" r:id="rId931" xr:uid="{F6251F96-43AE-4DF3-8111-A564C13693A4}"/>
    <hyperlink ref="U921" r:id="rId932" xr:uid="{A9FDFF0D-7946-4817-9AF6-2355D71A1970}"/>
    <hyperlink ref="U953" r:id="rId933" xr:uid="{96E69C9F-4D87-4429-A92D-D0DF3BE0B145}"/>
    <hyperlink ref="U952" r:id="rId934" xr:uid="{0CCF3152-F155-4934-BAE0-49A1142B9BE9}"/>
    <hyperlink ref="U954" r:id="rId935" xr:uid="{B6D8FC8F-08D3-4C41-AC8E-63B7022BC511}"/>
    <hyperlink ref="U955" r:id="rId936" xr:uid="{447C1C23-0DB8-4588-8D91-BD9966AF634C}"/>
    <hyperlink ref="U956" r:id="rId937" xr:uid="{936DC99B-856B-40B7-93D9-388CCE1DF964}"/>
    <hyperlink ref="U957" r:id="rId938" xr:uid="{989F1ED8-DC3B-4538-AF62-B397966B1391}"/>
    <hyperlink ref="U958" r:id="rId939" xr:uid="{9348E320-FB88-4959-984A-B0AED9FC2454}"/>
    <hyperlink ref="U959" r:id="rId940" xr:uid="{4C43DC91-96CC-49BD-9F52-C96B86E6E0F8}"/>
    <hyperlink ref="U960" r:id="rId941" xr:uid="{9C6201AB-CEFA-4BC6-9760-045A77AF690E}"/>
    <hyperlink ref="U961" r:id="rId942" xr:uid="{320A6CE1-E398-4EE0-9A00-55DA7CC12F9C}"/>
    <hyperlink ref="U963" r:id="rId943" xr:uid="{160FBB95-65FD-4E59-85F8-9437DFD427DC}"/>
    <hyperlink ref="U962" r:id="rId944" xr:uid="{28908986-CC55-48B3-A907-D67A250CEC7F}"/>
    <hyperlink ref="U964" r:id="rId945" xr:uid="{63266951-9BE1-438C-BA15-7342F5147445}"/>
    <hyperlink ref="U965" r:id="rId946" xr:uid="{7DEF3B85-C27C-4508-B648-FEC08A1BEE11}"/>
    <hyperlink ref="U966" r:id="rId947" xr:uid="{0F074C71-CB2A-4FF9-BBEB-BD0589CDC031}"/>
    <hyperlink ref="U967" r:id="rId948" xr:uid="{76711EFD-D211-4016-B7B5-8AB157EBCE4F}"/>
    <hyperlink ref="U968" r:id="rId949" xr:uid="{88726A70-3140-4DF5-8582-4DDC55635481}"/>
    <hyperlink ref="U969" r:id="rId950" xr:uid="{1A9D752A-FEA4-49AE-8E9C-76FFC982406D}"/>
    <hyperlink ref="U942" r:id="rId951" xr:uid="{72737B62-9DE8-443F-AFC9-05F8E2BC5C0E}"/>
    <hyperlink ref="U970" r:id="rId952" xr:uid="{7846B39A-486C-4E44-94DD-61856860AFCB}"/>
    <hyperlink ref="U971" r:id="rId953" xr:uid="{5C3764A8-1E81-4DDD-A8AC-A0AA86302900}"/>
    <hyperlink ref="U972" r:id="rId954" xr:uid="{BCC0E0DE-3074-4173-808A-2272D178B155}"/>
    <hyperlink ref="U973" r:id="rId955" xr:uid="{2AD34041-0880-4BAE-B826-8BC8562653EF}"/>
    <hyperlink ref="U782" r:id="rId956" xr:uid="{FB71FF0D-0E54-4FB8-8D4F-D64B86229E6B}"/>
    <hyperlink ref="U974" r:id="rId957" xr:uid="{8B6E4103-C0D8-410B-AA2F-49255AA92037}"/>
    <hyperlink ref="U975" r:id="rId958" xr:uid="{97C07A21-65C0-4611-96EB-5CF5D3D58470}"/>
    <hyperlink ref="U976" r:id="rId959" xr:uid="{3E8F1361-484A-4E84-9D49-D7A914BED825}"/>
    <hyperlink ref="U977" r:id="rId960" xr:uid="{9E3404AA-A06A-4F0A-9C3B-FC3479ED2026}"/>
    <hyperlink ref="U978" r:id="rId961" xr:uid="{979FED8B-4934-40FC-B93E-25E826A705B8}"/>
    <hyperlink ref="U979" r:id="rId962" xr:uid="{CAE42C0E-EAF2-42CE-89A8-7C91425E2625}"/>
    <hyperlink ref="U980" r:id="rId963" xr:uid="{D840A08B-2942-4805-8DC4-3DD56D7C3B11}"/>
    <hyperlink ref="U981" r:id="rId964" xr:uid="{94BB3923-AC66-4C1E-BD1A-833D64504C04}"/>
    <hyperlink ref="U982" r:id="rId965" xr:uid="{BB99471D-8EAA-41D1-90E9-64D1A792C32E}"/>
    <hyperlink ref="U983" r:id="rId966" xr:uid="{C4243A19-4E1E-4012-82BC-94C06974BD38}"/>
    <hyperlink ref="U984" r:id="rId967" xr:uid="{5DFB759C-84CA-458E-9EB8-FDDE7300B355}"/>
    <hyperlink ref="U1005" r:id="rId968" xr:uid="{89A163D1-B400-4BAD-B5A8-E4D2D4BC402D}"/>
    <hyperlink ref="U1006" r:id="rId969" xr:uid="{8D617E61-A9A4-4617-AA55-C410FFFB2DD9}"/>
    <hyperlink ref="U1007" r:id="rId970" xr:uid="{8FABB79F-28E4-480F-8A22-8D4F66C572AC}"/>
    <hyperlink ref="U1008" r:id="rId971" xr:uid="{DAFC99A7-FE14-4AD0-8CFB-5EF75DBAC2CE}"/>
    <hyperlink ref="U1009" r:id="rId972" xr:uid="{65EB26B6-E15F-4A08-8040-13B00A54D676}"/>
    <hyperlink ref="U1010" r:id="rId973" xr:uid="{16396D41-11D3-42A3-AC86-3273889F562D}"/>
    <hyperlink ref="U1011" r:id="rId974" xr:uid="{A5C07F9E-281E-4485-98A8-774AA17B2DDF}"/>
    <hyperlink ref="U1012" r:id="rId975" xr:uid="{A886702E-6BFB-478E-B53A-F34806AEB927}"/>
    <hyperlink ref="U985" r:id="rId976" xr:uid="{E056AB7B-E57B-497A-A907-833C640B2CA3}"/>
    <hyperlink ref="U986" r:id="rId977" xr:uid="{E430C8E3-1DF0-4151-8378-5AB8887E1E7A}"/>
    <hyperlink ref="U987" r:id="rId978" xr:uid="{3C9564BD-0CE3-4995-B33E-81E79B8B8A55}"/>
    <hyperlink ref="U988" r:id="rId979" xr:uid="{5B5E6964-F425-4AFD-AC91-4D6FBBBA00D9}"/>
    <hyperlink ref="U989" r:id="rId980" xr:uid="{AFF0DED7-BB57-4B0C-A3DF-D436B220498B}"/>
    <hyperlink ref="U990" r:id="rId981" xr:uid="{ADAB1651-2D8A-4DA3-AC07-315A89EA828D}"/>
    <hyperlink ref="U991" r:id="rId982" xr:uid="{1D353339-5A2B-44A1-83E3-56EDC4F26A01}"/>
    <hyperlink ref="U992" r:id="rId983" xr:uid="{4C812481-024B-4E96-8796-2DE5741CF27E}"/>
    <hyperlink ref="U993" r:id="rId984" xr:uid="{51EA2AC9-6060-4339-BC6E-20646F7C3A7D}"/>
    <hyperlink ref="U994" r:id="rId985" xr:uid="{639D0A1E-A56B-4998-9D29-3298E1E443A4}"/>
    <hyperlink ref="U995" r:id="rId986" xr:uid="{4D5A1347-C54D-4611-A7D0-12393FE4120F}"/>
    <hyperlink ref="U996" r:id="rId987" xr:uid="{C880C40C-B42F-426F-B06D-CABF8251F84E}"/>
    <hyperlink ref="U997" r:id="rId988" xr:uid="{B97BAACA-74CA-4092-AD37-AB4BAA072A91}"/>
    <hyperlink ref="U998" r:id="rId989" xr:uid="{D569F230-2655-4EA2-8AA0-F25B5982ADF5}"/>
    <hyperlink ref="U999" r:id="rId990" xr:uid="{552CFDA2-EBF8-4CD7-9612-75469AE854BC}"/>
    <hyperlink ref="U1000" r:id="rId991" xr:uid="{3B035E4D-F2F9-4C90-831A-407C382CA45E}"/>
    <hyperlink ref="U1001" r:id="rId992" xr:uid="{9750FCA0-FCC1-47F2-A7CA-4AA7A79D6846}"/>
    <hyperlink ref="U1002" r:id="rId993" xr:uid="{B7272BD5-51DD-4EFA-BBB6-58AB35C7D804}"/>
    <hyperlink ref="U1003" r:id="rId994" xr:uid="{A08D0C5A-AB9A-41FC-9E51-81AC8A7EBA7C}"/>
    <hyperlink ref="U1004" r:id="rId995" xr:uid="{E371302D-E897-4F2A-87AC-0A145C6770E3}"/>
    <hyperlink ref="U251" r:id="rId996" xr:uid="{FDA3B042-B642-468A-BF44-4B65EAD65791}"/>
    <hyperlink ref="U252" r:id="rId997" xr:uid="{F8075D47-5EA6-415F-A5C0-39C5321F07F8}"/>
    <hyperlink ref="U1013" r:id="rId998" xr:uid="{581CAC37-518E-4413-9D1C-66A93B9044EB}"/>
    <hyperlink ref="U1014" r:id="rId999" xr:uid="{EEADCDFF-6E72-4A4C-92BB-F2D7F27C61C5}"/>
    <hyperlink ref="U1015" r:id="rId1000" xr:uid="{13444236-5014-4928-B2D5-B8E1F39F6A91}"/>
    <hyperlink ref="U1016" r:id="rId1001" xr:uid="{259B5900-DD92-4484-B48C-1161964C807E}"/>
    <hyperlink ref="U1017" r:id="rId1002" xr:uid="{CC8411EB-2718-4408-B921-743C8E18A98F}"/>
    <hyperlink ref="U1018" r:id="rId1003" xr:uid="{AEA68E24-57CD-4DA7-99A5-09808A3B16BD}"/>
    <hyperlink ref="U1019" r:id="rId1004" xr:uid="{B0E1195E-1AAD-4A8A-8E6B-DC5824739AE7}"/>
    <hyperlink ref="U1020" r:id="rId1005" xr:uid="{B7FA1D4D-455A-47F0-A7FC-27E9585663D7}"/>
    <hyperlink ref="U1021" r:id="rId1006" xr:uid="{4B305FA2-10F4-405D-9111-AA3B44F94E44}"/>
    <hyperlink ref="U1023" r:id="rId1007" xr:uid="{C63E8B9F-4DF6-4A61-B42F-2616CF82E7EF}"/>
    <hyperlink ref="U1022" r:id="rId1008" xr:uid="{F152B561-6E98-44E3-8E6C-854C6DC938CC}"/>
    <hyperlink ref="U1025" r:id="rId1009" xr:uid="{CCCB9F99-279C-4E21-8C35-F459A05DF409}"/>
    <hyperlink ref="U1026" r:id="rId1010" xr:uid="{2571844D-E98B-487C-8707-79C83482618D}"/>
    <hyperlink ref="U1027" r:id="rId1011" xr:uid="{A42B9462-16E2-4318-B0FD-74A50137633A}"/>
    <hyperlink ref="U1028" r:id="rId1012" xr:uid="{B4397A53-C3EE-4B0E-82F7-116F774BC45C}"/>
    <hyperlink ref="U1029" r:id="rId1013" xr:uid="{44209872-7AE5-4C1A-AD63-D1147AA04E53}"/>
    <hyperlink ref="U1033" r:id="rId1014" xr:uid="{B7010C76-161C-497B-8B64-31332A00ABED}"/>
    <hyperlink ref="U1034" r:id="rId1015" xr:uid="{2E05B9AE-E6F7-403E-9D55-F05EE04C59BB}"/>
    <hyperlink ref="U1035" r:id="rId1016" xr:uid="{61CE06E0-38F0-47DF-8FAB-0D115378FE96}"/>
    <hyperlink ref="U1030" r:id="rId1017" xr:uid="{ACAE42DD-93B1-4A63-89FD-E62D9D253662}"/>
    <hyperlink ref="U1031" r:id="rId1018" xr:uid="{8424AC75-8D2D-4CAB-A27D-D4AE982E3680}"/>
    <hyperlink ref="U1032" r:id="rId1019" xr:uid="{1E69D79F-2858-4D27-938C-84589A35F02F}"/>
    <hyperlink ref="U1036" r:id="rId1020" xr:uid="{9752EAAB-3043-46FC-973A-603FE0207C43}"/>
    <hyperlink ref="U1037" r:id="rId1021" xr:uid="{CD2BC368-0D2C-4207-B36B-56E28023641E}"/>
    <hyperlink ref="U1038" r:id="rId1022" xr:uid="{6D13CAB0-D70A-49CA-93A9-443F22657A27}"/>
    <hyperlink ref="U1040" r:id="rId1023" xr:uid="{89DD44A5-FCC8-466B-A150-7350F6D6187C}"/>
    <hyperlink ref="U1041" r:id="rId1024" xr:uid="{C3EFCF22-DBA8-4D7E-9DC0-0D1B27568EA9}"/>
    <hyperlink ref="U1042" r:id="rId1025" xr:uid="{A5D04079-E767-4DC5-AAA7-A903853DB988}"/>
    <hyperlink ref="U1043" r:id="rId1026" xr:uid="{CA8C338A-39EE-4336-80A4-30AE7C2FCD5A}"/>
    <hyperlink ref="U1044" r:id="rId1027" xr:uid="{083D018A-80BF-4A89-BCF5-6E35788895AE}"/>
    <hyperlink ref="U1024" r:id="rId1028" xr:uid="{44F1868B-0802-468E-A373-262675DA87C5}"/>
    <hyperlink ref="U1045" r:id="rId1029" xr:uid="{CAD461C6-91CD-4D34-AD87-F9DB72435332}"/>
    <hyperlink ref="U1046" r:id="rId1030" xr:uid="{93B996DE-D0CA-44DA-B56C-165BCC104BAC}"/>
    <hyperlink ref="U1047" r:id="rId1031" xr:uid="{BFDBFF52-F319-4805-9D3C-75DEAFC0B23F}"/>
    <hyperlink ref="U1048" r:id="rId1032" xr:uid="{C3478DA1-8CC7-4E67-B559-58D85C4EE1C9}"/>
    <hyperlink ref="U1049" r:id="rId1033" xr:uid="{1ACBF2F9-A1AC-4F2C-83E5-E56E923737F9}"/>
    <hyperlink ref="U1050" r:id="rId1034" xr:uid="{EE1E517B-E1BA-4771-9E93-E82DB8C191B4}"/>
    <hyperlink ref="U1051" r:id="rId1035" xr:uid="{91E48B7A-0763-47BB-98D5-6DE0BB95AFE3}"/>
    <hyperlink ref="U1052" r:id="rId1036" xr:uid="{34290E7B-42A2-4271-B102-8CD352BDBE77}"/>
    <hyperlink ref="U1053" r:id="rId1037" xr:uid="{B526AB04-EDFE-4241-AE5E-B82A29787669}"/>
    <hyperlink ref="U1054" r:id="rId1038" xr:uid="{D5B510E9-8043-4EA4-8899-F827ED84B199}"/>
    <hyperlink ref="U1055" r:id="rId1039" xr:uid="{8F34CAF1-3A1D-4F70-8DFB-17BA08D7BAD7}"/>
    <hyperlink ref="U1056" r:id="rId1040" xr:uid="{5DCEA339-9AE3-448D-8D46-11D19ED9AE41}"/>
    <hyperlink ref="U1057" r:id="rId1041" xr:uid="{A5224317-D941-4344-9962-335046C6003E}"/>
    <hyperlink ref="U1058" r:id="rId1042" xr:uid="{26B6CC33-D122-4FA2-94F3-35679E983296}"/>
    <hyperlink ref="U1059" r:id="rId1043" xr:uid="{0232948E-6EE4-4824-9504-7E99F30A53C6}"/>
    <hyperlink ref="U1060" r:id="rId1044" xr:uid="{30BB993E-6FB1-4E51-A6B0-6FC8E1A8C7A7}"/>
    <hyperlink ref="U1061" r:id="rId1045" xr:uid="{519A8E4D-9E1D-4315-812D-E533D5C67379}"/>
    <hyperlink ref="U1062" r:id="rId1046" xr:uid="{BCF8F22A-D0BB-4A56-A079-A8E2F46110BE}"/>
    <hyperlink ref="U1063" r:id="rId1047" xr:uid="{DDE950CE-76D9-4C77-A53D-8E82252B19A3}"/>
    <hyperlink ref="U1064" r:id="rId1048" xr:uid="{35A023B7-4B1C-403A-BB8C-198A00D20A39}"/>
    <hyperlink ref="U1065" r:id="rId1049" xr:uid="{59C5F5C0-1C41-4B12-AD5B-36C203FD9470}"/>
    <hyperlink ref="U1066" r:id="rId1050" xr:uid="{B9818BF5-037D-4BC8-A286-F013CB3333E4}"/>
    <hyperlink ref="U1067" r:id="rId1051" xr:uid="{9C5AD0F0-59F3-4DE1-8B29-F397C75DF0A7}"/>
    <hyperlink ref="U1068" r:id="rId1052" xr:uid="{F9897747-CD13-40CA-B1C4-30FD3ACEAB44}"/>
    <hyperlink ref="U1069" r:id="rId1053" xr:uid="{22FF701D-2B5C-41CE-B08C-9B118BC1C5B3}"/>
    <hyperlink ref="U1070" r:id="rId1054" xr:uid="{721779B7-063A-4AFC-9D0C-D986CF460448}"/>
    <hyperlink ref="U1071" r:id="rId1055" xr:uid="{E1B56E1E-B441-471C-B2C4-8830EDF5A9E8}"/>
    <hyperlink ref="U1074" r:id="rId1056" xr:uid="{0B784DE1-3DBE-4E60-BCC5-72C12A42754C}"/>
    <hyperlink ref="U1075" r:id="rId1057" xr:uid="{06788EB4-130E-4E52-AF5E-35DF2A6AEACF}"/>
    <hyperlink ref="U1081" r:id="rId1058" xr:uid="{0C8CEF3F-D9FC-4D34-8958-B48B75D8DD45}"/>
    <hyperlink ref="U1076" r:id="rId1059" xr:uid="{7F589A1B-6FAB-44D2-B99E-B713B082CD77}"/>
    <hyperlink ref="U1077" r:id="rId1060" xr:uid="{AB615ED3-8181-48BB-B08A-6DC4B1D1FC68}"/>
    <hyperlink ref="U1078" r:id="rId1061" xr:uid="{E834ADCF-86C0-4728-967C-060E25ECB926}"/>
    <hyperlink ref="U1079" r:id="rId1062" xr:uid="{B99C9B14-4AA8-42C0-82F0-139D0A12E172}"/>
    <hyperlink ref="U1080" r:id="rId1063" xr:uid="{BDAEB880-32AD-472D-AFB9-0DBD8DDF2674}"/>
    <hyperlink ref="U1082" r:id="rId1064" xr:uid="{56DFC145-88BE-4EDC-B4A8-2E93BD9A7C63}"/>
    <hyperlink ref="U1083" r:id="rId1065" xr:uid="{F3DC99DF-8880-4518-A58A-5FCCCB703422}"/>
    <hyperlink ref="U789" r:id="rId1066" display="\\SRV-EPS-fai11.epsve.local\DPT\Services\SERVICE_DES_TRAVAUX\_NEW SERVEUR DPT\2000_PLAN TVX COURANT cl2-cl6\2025\130 Suivi plan de travaux 2025\Classe 2\T2025014  Ex IFSI DAHL\DEVIS" xr:uid="{9303E216-BAD4-4853-B1C2-4935F6B3E83F}"/>
    <hyperlink ref="U1084" r:id="rId1067" xr:uid="{0BEAC879-3E89-4863-BB78-F3CA9030509D}"/>
    <hyperlink ref="U1085" r:id="rId1068" xr:uid="{D677DBE3-78A1-41F9-9835-4CACF3FD10BE}"/>
    <hyperlink ref="U1086" r:id="rId1069" xr:uid="{C64A3CC9-4631-47C8-9FFA-B255343E7EEE}"/>
    <hyperlink ref="U1087" r:id="rId1070" xr:uid="{37B3A716-F5D3-4081-8E91-AD9D32520403}"/>
    <hyperlink ref="U1088" r:id="rId1071" xr:uid="{5601ACE7-DC7D-4912-905D-44809CDE8843}"/>
    <hyperlink ref="U1089" r:id="rId1072" xr:uid="{2AD578F4-83D4-417D-BBB0-1DB095033639}"/>
    <hyperlink ref="U1103" r:id="rId1073" xr:uid="{DA258F0E-8E80-4307-86DD-A81EECCC735A}"/>
    <hyperlink ref="U1104" r:id="rId1074" xr:uid="{A016D08C-D95E-4348-A5BF-8044227C88CA}"/>
    <hyperlink ref="U1090" r:id="rId1075" xr:uid="{7AA6A7FD-E1B9-419B-9271-B2AAE87B0C5F}"/>
    <hyperlink ref="U1091" r:id="rId1076" xr:uid="{AC1CABCF-D7B3-468C-9307-B635CC85D1E0}"/>
    <hyperlink ref="U1093" r:id="rId1077" xr:uid="{74DA4FA3-77CA-472D-B1E9-AFB0FDE79F8D}"/>
    <hyperlink ref="U1092" r:id="rId1078" xr:uid="{55D94712-B218-42F5-AB94-F6FC81CC9B25}"/>
    <hyperlink ref="U1094" r:id="rId1079" xr:uid="{C194D910-95CA-4626-AC49-11E5410D3E45}"/>
    <hyperlink ref="U1095" r:id="rId1080" xr:uid="{3D7904A8-0740-400B-9ADF-1D9F2361E34E}"/>
    <hyperlink ref="U1096" r:id="rId1081" xr:uid="{88B8B87E-0119-4E5C-9FCF-2785999EE20D}"/>
    <hyperlink ref="U1097" r:id="rId1082" xr:uid="{FBC0E799-E6C9-412D-8048-F43F6E62D1B5}"/>
    <hyperlink ref="U1098" r:id="rId1083" xr:uid="{2D2DA9B9-27A8-4463-BE86-CD723B514830}"/>
    <hyperlink ref="U1099" r:id="rId1084" xr:uid="{C4E4F607-1C3E-4EA8-95C5-F320D2B2062D}"/>
    <hyperlink ref="U1100" r:id="rId1085" xr:uid="{40FBB429-42A7-4C76-A9AC-09E442DDC362}"/>
    <hyperlink ref="U1101" r:id="rId1086" xr:uid="{B301D6E5-043E-4095-A923-F0EDEF8E8516}"/>
    <hyperlink ref="U1102" r:id="rId1087" xr:uid="{387D03E0-9506-400F-8192-22617D4787DE}"/>
    <hyperlink ref="U1105" r:id="rId1088" xr:uid="{DFA9A82C-1459-42E3-B691-77438ADF734D}"/>
    <hyperlink ref="U1106" r:id="rId1089" xr:uid="{B9E57FB3-DA47-45A2-A476-0C1BBA9DB210}"/>
    <hyperlink ref="U1107" r:id="rId1090" xr:uid="{CD535D4C-A0BF-4ABC-9E9A-0A219C5EBA3D}"/>
    <hyperlink ref="U1108" r:id="rId1091" xr:uid="{5FD57E30-D51B-4776-A85D-4394A9C8C866}"/>
    <hyperlink ref="U1109" r:id="rId1092" xr:uid="{ABC704B1-E34D-41CD-8736-97F279A5856C}"/>
    <hyperlink ref="U1110" r:id="rId1093" xr:uid="{E5B13769-30A8-4FA0-9690-8C51F4DCF876}"/>
    <hyperlink ref="U1111" r:id="rId1094" xr:uid="{8DD0FD93-9DC7-4F83-97BB-A4451E8427CA}"/>
    <hyperlink ref="U1112" r:id="rId1095" xr:uid="{A7295FED-5F5E-4FD9-A0CA-0D889DA13D64}"/>
    <hyperlink ref="U1113" r:id="rId1096" xr:uid="{1081F249-9071-459F-85C5-51C7303DA6A8}"/>
    <hyperlink ref="U1114" r:id="rId1097" xr:uid="{8CE6D629-2A38-4174-99F6-032E74A36270}"/>
    <hyperlink ref="U1117" r:id="rId1098" xr:uid="{EB038AD7-A44A-479B-BB79-72FE3696CEAE}"/>
    <hyperlink ref="U1116" r:id="rId1099" xr:uid="{6327A288-625E-438B-B830-4F1F5F09A282}"/>
    <hyperlink ref="U1118" r:id="rId1100" xr:uid="{5698BF9A-8855-412E-B8FD-A5D0120A688F}"/>
    <hyperlink ref="U1119" r:id="rId1101" xr:uid="{C7A0A16F-8BA1-4788-BE1F-FC74FB5ACBD7}"/>
    <hyperlink ref="U1120" r:id="rId1102" xr:uid="{7A8F35CA-5A48-41DB-AC98-E916CED2B9BD}"/>
    <hyperlink ref="U1121" r:id="rId1103" xr:uid="{F25539C5-6878-4213-B0D5-AC48504AF035}"/>
    <hyperlink ref="U1122" r:id="rId1104" xr:uid="{ECE07B82-0725-405D-AFCB-BF97ECF35211}"/>
    <hyperlink ref="U475" r:id="rId1105" xr:uid="{2A2C530B-E84A-4178-A717-3129E1A482DA}"/>
  </hyperlinks>
  <pageMargins left="0.35433070866141736" right="0.35433070866141736" top="0.74803149606299213" bottom="0.74803149606299213" header="0.31496062992125984" footer="0.31496062992125984"/>
  <pageSetup paperSize="8" scale="10" orientation="landscape" horizontalDpi="1200" verticalDpi="1200" r:id="rId1106"/>
  <drawing r:id="rId1107"/>
  <legacyDrawing r:id="rId1108"/>
  <mc:AlternateContent xmlns:mc="http://schemas.openxmlformats.org/markup-compatibility/2006">
    <mc:Choice Requires="x14">
      <controls>
        <mc:AlternateContent xmlns:mc="http://schemas.openxmlformats.org/markup-compatibility/2006">
          <mc:Choice Requires="x14">
            <control shapeId="1051" r:id="rId1109" name="Button 27">
              <controlPr defaultSize="0" print="0" autoFill="0" autoPict="0" macro="[0]!BtnAjoutEntreprise_Click">
                <anchor moveWithCells="1" sizeWithCells="1">
                  <from>
                    <xdr:col>2</xdr:col>
                    <xdr:colOff>1630680</xdr:colOff>
                    <xdr:row>0</xdr:row>
                    <xdr:rowOff>38100</xdr:rowOff>
                  </from>
                  <to>
                    <xdr:col>2</xdr:col>
                    <xdr:colOff>1821180</xdr:colOff>
                    <xdr:row>0</xdr:row>
                    <xdr:rowOff>182880</xdr:rowOff>
                  </to>
                </anchor>
              </controlPr>
            </control>
          </mc:Choice>
        </mc:AlternateContent>
        <mc:AlternateContent xmlns:mc="http://schemas.openxmlformats.org/markup-compatibility/2006">
          <mc:Choice Requires="x14">
            <control shapeId="1052" r:id="rId1110" name="Button 28">
              <controlPr defaultSize="0" print="0" autoFill="0" autoPict="0" macro="[0]!BtnAjoutCategorie_Click">
                <anchor moveWithCells="1" sizeWithCells="1">
                  <from>
                    <xdr:col>8</xdr:col>
                    <xdr:colOff>68580</xdr:colOff>
                    <xdr:row>0</xdr:row>
                    <xdr:rowOff>68580</xdr:rowOff>
                  </from>
                  <to>
                    <xdr:col>8</xdr:col>
                    <xdr:colOff>297180</xdr:colOff>
                    <xdr:row>0</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2" id="{43F0B94F-2302-4E36-B3C6-0445F80A1B06}">
            <xm:f>AND(D2&lt;&gt;"",COUNTIF(OFFSET(UFS!$E$2,MATCH(D2,UFS!$A$2:$A$175,0)-1,0,COUNTIF(UFS!$A$2:$A$175,D2),1),M2)=0)</xm:f>
            <x14:dxf/>
          </x14:cfRule>
          <xm:sqref>M2:M332 M335:M1499</xm:sqref>
        </x14:conditionalFormatting>
        <x14:conditionalFormatting xmlns:xm="http://schemas.microsoft.com/office/excel/2006/main">
          <x14:cfRule type="expression" priority="23" id="{DBF49FC9-DF31-4782-A2C5-ED6A2984C332}">
            <xm:f>AND(D2&lt;&gt;"",COUNTIF(OFFSET(UFS!$F$2,MATCH(D2,UFS!$A$2:$A$175,0)-1,0,COUNTIF(UFS!$A$2:$A$175,D2),1),N2)=0)</xm:f>
            <x14:dxf/>
          </x14:cfRule>
          <xm:sqref>N2:N332 N335:N409 N411:N1499</xm:sqref>
        </x14:conditionalFormatting>
        <x14:conditionalFormatting xmlns:xm="http://schemas.microsoft.com/office/excel/2006/main">
          <x14:cfRule type="expression" priority="31" id="{43F0B94F-2302-4E36-B3C6-0445F80A1B06}">
            <xm:f>AND(D333&lt;&gt;"",COUNTIF(OFFSET(UFS!$E$2,MATCH(D333,UFS!$A$2:$A$175,0)-1,0,COUNTIF(UFS!$A$2:$A$175,D333),1),M334)=0)</xm:f>
            <x14:dxf/>
          </x14:cfRule>
          <xm:sqref>M334</xm:sqref>
        </x14:conditionalFormatting>
        <x14:conditionalFormatting xmlns:xm="http://schemas.microsoft.com/office/excel/2006/main">
          <x14:cfRule type="expression" priority="33" id="{DBF49FC9-DF31-4782-A2C5-ED6A2984C332}">
            <xm:f>AND(D333&lt;&gt;"",COUNTIF(OFFSET(UFS!$F$2,MATCH(D333,UFS!$A$2:$A$175,0)-1,0,COUNTIF(UFS!$A$2:$A$175,D333),1),N334)=0)</xm:f>
            <x14:dxf/>
          </x14:cfRule>
          <xm:sqref>N334</xm:sqref>
        </x14:conditionalFormatting>
        <x14:conditionalFormatting xmlns:xm="http://schemas.microsoft.com/office/excel/2006/main">
          <x14:cfRule type="expression" priority="4" id="{96E64CB3-14E5-4D3E-BC49-80343A77A946}">
            <xm:f>AND(E410&lt;&gt;"",COUNTIF(OFFSET(UFS!$E$2,MATCH(E410,UFS!$A$2:$A$175,0)-1,0,COUNTIF(UFS!$A$2:$A$175,E410),1),N410)=0)</xm:f>
            <x14:dxf/>
          </x14:cfRule>
          <xm:sqref>N410</xm:sqref>
        </x14:conditionalFormatting>
      </x14:conditionalFormattings>
    </ext>
    <ext xmlns:x14="http://schemas.microsoft.com/office/spreadsheetml/2009/9/main" uri="{CCE6A557-97BC-4b89-ADB6-D9C93CAAB3DF}">
      <x14:dataValidations xmlns:xm="http://schemas.microsoft.com/office/excel/2006/main" count="1895">
        <x14:dataValidation type="list" allowBlank="1" showInputMessage="1" showErrorMessage="1" xr:uid="{A13CBF9C-F15A-49D1-866A-C95417C34AE0}">
          <x14:formula1>
            <xm:f>CategorieHomogene!$D$553:$D$573</xm:f>
          </x14:formula1>
          <xm:sqref>Q1506</xm:sqref>
        </x14:dataValidation>
        <x14:dataValidation type="list" allowBlank="1" showInputMessage="1" showErrorMessage="1" xr:uid="{15FB602E-65BE-41D4-9DB5-54235AFF9CB6}">
          <x14:formula1>
            <xm:f>CategorieHomogene!$D$198:$D$224</xm:f>
          </x14:formula1>
          <xm:sqref>I1044:I1063 I2:I1042 I1065:I1072 I1074:I1085 I1087:I1112 I1115:I1500</xm:sqref>
        </x14:dataValidation>
        <x14:dataValidation type="list" allowBlank="1" showInputMessage="1" showErrorMessage="1" xr:uid="{5F5DDDB5-E196-4DD6-BA33-E5250FEFB9B4}">
          <x14:formula1>
            <xm:f>Entreprises!$A$2:$A$75</xm:f>
          </x14:formula1>
          <xm:sqref>C2:C1068 C1071 C1085 C1087:C1088 C1107:C1109 C1123:C1500</xm:sqref>
        </x14:dataValidation>
        <x14:dataValidation type="list" allowBlank="1" showInputMessage="1" showErrorMessage="1" xr:uid="{7DA0233B-2A52-4219-9E6D-4DE531C274D8}">
          <x14:formula1>
            <xm:f>CodesProjets!$A$1:$A$4</xm:f>
          </x14:formula1>
          <xm:sqref>X2:X1500</xm:sqref>
        </x14:dataValidation>
        <x14:dataValidation type="list" allowBlank="1" showInputMessage="1" showErrorMessage="1" xr:uid="{129AFB5A-7271-4DB8-8687-11E62E30BF26}">
          <x14:formula1>
            <xm:f>ReferentsDPT!A2:A16</xm:f>
          </x14:formula1>
          <xm:sqref>B923</xm:sqref>
        </x14:dataValidation>
        <x14:dataValidation type="list" allowBlank="1" showInputMessage="1" showErrorMessage="1" xr:uid="{DC21E7CD-969A-47A5-A1CB-D4BDEEECB7B5}">
          <x14:formula1>
            <xm:f>ReferentsDPT!A2:A16</xm:f>
          </x14:formula1>
          <xm:sqref>B790</xm:sqref>
        </x14:dataValidation>
        <x14:dataValidation type="list" allowBlank="1" showInputMessage="1" showErrorMessage="1" xr:uid="{6DF48BFA-D04F-4F6E-A3CD-DDABF5F0FDA9}">
          <x14:formula1>
            <xm:f>Classes!A2:A4</xm:f>
          </x14:formula1>
          <xm:sqref>E790</xm:sqref>
        </x14:dataValidation>
        <x14:dataValidation type="list" allowBlank="1" showInputMessage="1" showErrorMessage="1" xr:uid="{FF9C2242-88F2-457B-AFD1-E756E1E4DE4C}">
          <x14:formula1>
            <xm:f>ReferentsDPT!A2:A16</xm:f>
          </x14:formula1>
          <xm:sqref>B791</xm:sqref>
        </x14:dataValidation>
        <x14:dataValidation type="list" allowBlank="1" showInputMessage="1" showErrorMessage="1" xr:uid="{4BAFAF00-F9D0-4837-AB16-4F45DC055D8A}">
          <x14:formula1>
            <xm:f>Classes!A2:A4</xm:f>
          </x14:formula1>
          <xm:sqref>E791</xm:sqref>
        </x14:dataValidation>
        <x14:dataValidation type="list" allowBlank="1" showInputMessage="1" showErrorMessage="1" xr:uid="{C8A52E39-91A6-4145-82A7-98E6AEC783E6}">
          <x14:formula1>
            <xm:f>ReferentsDPT!A2:A16</xm:f>
          </x14:formula1>
          <xm:sqref>B792</xm:sqref>
        </x14:dataValidation>
        <x14:dataValidation type="list" allowBlank="1" showInputMessage="1" showErrorMessage="1" xr:uid="{26225EC0-8354-4C63-A2CB-43C531D45DA8}">
          <x14:formula1>
            <xm:f>Classes!A2:A4</xm:f>
          </x14:formula1>
          <xm:sqref>E792</xm:sqref>
        </x14:dataValidation>
        <x14:dataValidation type="list" allowBlank="1" showInputMessage="1" showErrorMessage="1" xr:uid="{CB4D0173-6CC8-4488-B304-E6575A1BD8FA}">
          <x14:formula1>
            <xm:f>ReferentsDPT!A2:A16</xm:f>
          </x14:formula1>
          <xm:sqref>B793:B796</xm:sqref>
        </x14:dataValidation>
        <x14:dataValidation type="list" allowBlank="1" showInputMessage="1" showErrorMessage="1" xr:uid="{84E09C30-F5BF-4BFB-BF8C-320956DCDA6F}">
          <x14:formula1>
            <xm:f>Classes!A2:A4</xm:f>
          </x14:formula1>
          <xm:sqref>E793</xm:sqref>
        </x14:dataValidation>
        <x14:dataValidation type="list" allowBlank="1" showInputMessage="1" showErrorMessage="1" xr:uid="{76885691-D18C-4916-BD83-F772CA871051}">
          <x14:formula1>
            <xm:f>Classes!A2:A4</xm:f>
          </x14:formula1>
          <xm:sqref>E794</xm:sqref>
        </x14:dataValidation>
        <x14:dataValidation type="list" allowBlank="1" showInputMessage="1" showErrorMessage="1" xr:uid="{F22DFABC-9BFC-4714-81FC-658D2A66BEA3}">
          <x14:formula1>
            <xm:f>Classes!A2:A4</xm:f>
          </x14:formula1>
          <xm:sqref>E795</xm:sqref>
        </x14:dataValidation>
        <x14:dataValidation type="list" allowBlank="1" showInputMessage="1" showErrorMessage="1" xr:uid="{4BE7EC6C-2B47-4943-8A62-77C8DEE38817}">
          <x14:formula1>
            <xm:f>Classes!A2:A4</xm:f>
          </x14:formula1>
          <xm:sqref>E796</xm:sqref>
        </x14:dataValidation>
        <x14:dataValidation type="list" allowBlank="1" showInputMessage="1" showErrorMessage="1" xr:uid="{DA5A2B80-9B61-4AC3-85F0-246196E4A663}">
          <x14:formula1>
            <xm:f>ReferentsDPT!A2:A16</xm:f>
          </x14:formula1>
          <xm:sqref>B798</xm:sqref>
        </x14:dataValidation>
        <x14:dataValidation type="list" allowBlank="1" showInputMessage="1" showErrorMessage="1" xr:uid="{1C8AD98D-4C17-4DD7-A7F7-CDBAEC339AD3}">
          <x14:formula1>
            <xm:f>Classes!A2:A4</xm:f>
          </x14:formula1>
          <xm:sqref>E798</xm:sqref>
        </x14:dataValidation>
        <x14:dataValidation type="list" allowBlank="1" showInputMessage="1" showErrorMessage="1" xr:uid="{3DA20BB3-F25B-4974-8CFD-E04FB7115148}">
          <x14:formula1>
            <xm:f>ReferentsDPT!A2:A16</xm:f>
          </x14:formula1>
          <xm:sqref>B799</xm:sqref>
        </x14:dataValidation>
        <x14:dataValidation type="list" allowBlank="1" showInputMessage="1" showErrorMessage="1" xr:uid="{29FE9AE6-28EB-44A5-8D8C-C69163D8AD05}">
          <x14:formula1>
            <xm:f>Classes!A2:A4</xm:f>
          </x14:formula1>
          <xm:sqref>E799</xm:sqref>
        </x14:dataValidation>
        <x14:dataValidation type="list" allowBlank="1" showInputMessage="1" showErrorMessage="1" xr:uid="{E1F7C0A9-5D58-47B1-AF29-D641FB470877}">
          <x14:formula1>
            <xm:f>Classes!A2:A4</xm:f>
          </x14:formula1>
          <xm:sqref>E800</xm:sqref>
        </x14:dataValidation>
        <x14:dataValidation type="list" allowBlank="1" showInputMessage="1" showErrorMessage="1" xr:uid="{243CBBC9-9F0D-4CD3-A526-6D5B6429189A}">
          <x14:formula1>
            <xm:f>ReferentsDPT!A2:A16</xm:f>
          </x14:formula1>
          <xm:sqref>B800</xm:sqref>
        </x14:dataValidation>
        <x14:dataValidation type="list" allowBlank="1" showInputMessage="1" showErrorMessage="1" xr:uid="{F433F750-9EF5-4896-8498-8D72A59A8209}">
          <x14:formula1>
            <xm:f>ReferentsDPT!A2:A16</xm:f>
          </x14:formula1>
          <xm:sqref>B801</xm:sqref>
        </x14:dataValidation>
        <x14:dataValidation type="list" allowBlank="1" showInputMessage="1" showErrorMessage="1" xr:uid="{40619E25-4FDA-4C44-A2BB-A00628ACFD1B}">
          <x14:formula1>
            <xm:f>Classes!A2:A4</xm:f>
          </x14:formula1>
          <xm:sqref>E801</xm:sqref>
        </x14:dataValidation>
        <x14:dataValidation type="list" allowBlank="1" showInputMessage="1" showErrorMessage="1" xr:uid="{5E02877C-5E1C-494E-A953-2CD9592CC139}">
          <x14:formula1>
            <xm:f>ReferentsDPT!A2:A16</xm:f>
          </x14:formula1>
          <xm:sqref>B802</xm:sqref>
        </x14:dataValidation>
        <x14:dataValidation type="list" allowBlank="1" showInputMessage="1" showErrorMessage="1" xr:uid="{D1FFE68B-FFCB-4205-B236-5D5E3A3FBA9F}">
          <x14:formula1>
            <xm:f>Classes!A2:A4</xm:f>
          </x14:formula1>
          <xm:sqref>E802</xm:sqref>
        </x14:dataValidation>
        <x14:dataValidation type="list" allowBlank="1" showInputMessage="1" showErrorMessage="1" xr:uid="{5AEA2EDE-6159-4A8C-971B-EED64D70DAFA}">
          <x14:formula1>
            <xm:f>ReferentsDPT!A2:A16</xm:f>
          </x14:formula1>
          <xm:sqref>B803</xm:sqref>
        </x14:dataValidation>
        <x14:dataValidation type="list" allowBlank="1" showInputMessage="1" showErrorMessage="1" xr:uid="{6E7AC8BF-FCBE-4384-B496-C80729964961}">
          <x14:formula1>
            <xm:f>Classes!A2:A4</xm:f>
          </x14:formula1>
          <xm:sqref>E803</xm:sqref>
        </x14:dataValidation>
        <x14:dataValidation type="list" allowBlank="1" showInputMessage="1" showErrorMessage="1" xr:uid="{AD2A46C3-D1BF-47FE-8A5F-A10B7698E638}">
          <x14:formula1>
            <xm:f>ReferentsDPT!A2:A16</xm:f>
          </x14:formula1>
          <xm:sqref>B804</xm:sqref>
        </x14:dataValidation>
        <x14:dataValidation type="list" allowBlank="1" showInputMessage="1" showErrorMessage="1" xr:uid="{C3D82DDF-B557-4283-BDF3-D6B271CF5AE4}">
          <x14:formula1>
            <xm:f>Classes!A2:A4</xm:f>
          </x14:formula1>
          <xm:sqref>E804</xm:sqref>
        </x14:dataValidation>
        <x14:dataValidation type="list" allowBlank="1" showInputMessage="1" showErrorMessage="1" xr:uid="{8077CEF2-A25C-4BFC-A5ED-6C2C5A7D26E4}">
          <x14:formula1>
            <xm:f>ReferentsDPT!A2:A16</xm:f>
          </x14:formula1>
          <xm:sqref>B807</xm:sqref>
        </x14:dataValidation>
        <x14:dataValidation type="list" allowBlank="1" showInputMessage="1" showErrorMessage="1" xr:uid="{DDE5D8B1-5A93-4601-A496-85999B62B017}">
          <x14:formula1>
            <xm:f>Classes!A2:A4</xm:f>
          </x14:formula1>
          <xm:sqref>E807</xm:sqref>
        </x14:dataValidation>
        <x14:dataValidation type="list" allowBlank="1" showInputMessage="1" showErrorMessage="1" xr:uid="{25BD0D52-B7A9-4AF4-BD95-B96BCF7D4BBC}">
          <x14:formula1>
            <xm:f>ReferentsDPT!A2:A16</xm:f>
          </x14:formula1>
          <xm:sqref>B809</xm:sqref>
        </x14:dataValidation>
        <x14:dataValidation type="list" allowBlank="1" showInputMessage="1" showErrorMessage="1" xr:uid="{20308675-FD63-4585-836B-727EC9BA1251}">
          <x14:formula1>
            <xm:f>Classes!A2:A4</xm:f>
          </x14:formula1>
          <xm:sqref>E809</xm:sqref>
        </x14:dataValidation>
        <x14:dataValidation type="list" allowBlank="1" showInputMessage="1" showErrorMessage="1" xr:uid="{613CA556-75D1-4FD6-AB08-25B3AB2CF92E}">
          <x14:formula1>
            <xm:f>ReferentsDPT!A2:A16</xm:f>
          </x14:formula1>
          <xm:sqref>B810</xm:sqref>
        </x14:dataValidation>
        <x14:dataValidation type="list" allowBlank="1" showInputMessage="1" showErrorMessage="1" xr:uid="{6D77877D-C57B-44B5-A7B1-ED849DE1456E}">
          <x14:formula1>
            <xm:f>Classes!A2:A4</xm:f>
          </x14:formula1>
          <xm:sqref>E810</xm:sqref>
        </x14:dataValidation>
        <x14:dataValidation type="list" allowBlank="1" showInputMessage="1" showErrorMessage="1" xr:uid="{44E9CCDE-531E-40C2-BE37-F2335FE6304B}">
          <x14:formula1>
            <xm:f>ReferentsDPT!A2:A16</xm:f>
          </x14:formula1>
          <xm:sqref>B811</xm:sqref>
        </x14:dataValidation>
        <x14:dataValidation type="list" allowBlank="1" showInputMessage="1" showErrorMessage="1" xr:uid="{A9D5F113-4B92-41EC-9999-686C37EBE1BE}">
          <x14:formula1>
            <xm:f>Classes!A2:A4</xm:f>
          </x14:formula1>
          <xm:sqref>E811</xm:sqref>
        </x14:dataValidation>
        <x14:dataValidation type="list" allowBlank="1" showInputMessage="1" showErrorMessage="1" xr:uid="{2D12D236-59B5-492D-8A1C-ECFD34CCAE6A}">
          <x14:formula1>
            <xm:f>ReferentsDPT!A2:A16</xm:f>
          </x14:formula1>
          <xm:sqref>B812</xm:sqref>
        </x14:dataValidation>
        <x14:dataValidation type="list" allowBlank="1" showInputMessage="1" showErrorMessage="1" xr:uid="{1865B115-0D3A-4E93-B8D4-07D6B26B2611}">
          <x14:formula1>
            <xm:f>Classes!A2:A4</xm:f>
          </x14:formula1>
          <xm:sqref>E812</xm:sqref>
        </x14:dataValidation>
        <x14:dataValidation type="list" allowBlank="1" showInputMessage="1" showErrorMessage="1" xr:uid="{7A59A3DF-2E83-47AC-BD52-42B7353046C9}">
          <x14:formula1>
            <xm:f>ReferentsDPT!A2:A16</xm:f>
          </x14:formula1>
          <xm:sqref>B813</xm:sqref>
        </x14:dataValidation>
        <x14:dataValidation type="list" allowBlank="1" showInputMessage="1" showErrorMessage="1" xr:uid="{85235FE6-3144-4358-B579-C15D3AFC5347}">
          <x14:formula1>
            <xm:f>Classes!A2:A4</xm:f>
          </x14:formula1>
          <xm:sqref>E813</xm:sqref>
        </x14:dataValidation>
        <x14:dataValidation type="list" allowBlank="1" showInputMessage="1" showErrorMessage="1" xr:uid="{10CDD08A-E43A-4F80-AE81-DC0DB3175843}">
          <x14:formula1>
            <xm:f>ReferentsDPT!A2:A16</xm:f>
          </x14:formula1>
          <xm:sqref>B816</xm:sqref>
        </x14:dataValidation>
        <x14:dataValidation type="list" allowBlank="1" showInputMessage="1" showErrorMessage="1" xr:uid="{99DD6EF3-DF53-4701-8396-076DD2B8D6AA}">
          <x14:formula1>
            <xm:f>Classes!A2:A4</xm:f>
          </x14:formula1>
          <xm:sqref>E816</xm:sqref>
        </x14:dataValidation>
        <x14:dataValidation type="list" allowBlank="1" showInputMessage="1" showErrorMessage="1" xr:uid="{16BB80CC-74CB-4A45-932C-557189A055C4}">
          <x14:formula1>
            <xm:f>ReferentsDPT!A2:A16</xm:f>
          </x14:formula1>
          <xm:sqref>B817</xm:sqref>
        </x14:dataValidation>
        <x14:dataValidation type="list" allowBlank="1" showInputMessage="1" showErrorMessage="1" xr:uid="{58D90FB8-C62D-4AD6-8F22-691F799273E5}">
          <x14:formula1>
            <xm:f>Classes!A2:A4</xm:f>
          </x14:formula1>
          <xm:sqref>E817</xm:sqref>
        </x14:dataValidation>
        <x14:dataValidation type="list" allowBlank="1" showInputMessage="1" showErrorMessage="1" xr:uid="{AB954155-8B6A-45C3-B070-A60BA7F6B58C}">
          <x14:formula1>
            <xm:f>ReferentsDPT!A2:A16</xm:f>
          </x14:formula1>
          <xm:sqref>B819</xm:sqref>
        </x14:dataValidation>
        <x14:dataValidation type="list" allowBlank="1" showInputMessage="1" showErrorMessage="1" xr:uid="{29325AFD-B2CD-4886-BA55-2F34D5BF230B}">
          <x14:formula1>
            <xm:f>Classes!A2:A4</xm:f>
          </x14:formula1>
          <xm:sqref>E819</xm:sqref>
        </x14:dataValidation>
        <x14:dataValidation type="list" allowBlank="1" showInputMessage="1" showErrorMessage="1" xr:uid="{AD976691-58EC-42D0-BB8F-A3EB15D4C87B}">
          <x14:formula1>
            <xm:f>ReferentsDPT!A2:A16</xm:f>
          </x14:formula1>
          <xm:sqref>B821</xm:sqref>
        </x14:dataValidation>
        <x14:dataValidation type="list" allowBlank="1" showInputMessage="1" showErrorMessage="1" xr:uid="{AF79FBEF-F30B-4950-8B3D-5153E145CD9F}">
          <x14:formula1>
            <xm:f>ReferentsDPT!A2:A16</xm:f>
          </x14:formula1>
          <xm:sqref>B822</xm:sqref>
        </x14:dataValidation>
        <x14:dataValidation type="list" allowBlank="1" showInputMessage="1" showErrorMessage="1" xr:uid="{A19B876E-31FC-4AEC-83B6-D1F524280024}">
          <x14:formula1>
            <xm:f>ReferentsDPT!A2:A16</xm:f>
          </x14:formula1>
          <xm:sqref>B823</xm:sqref>
        </x14:dataValidation>
        <x14:dataValidation type="list" allowBlank="1" showInputMessage="1" showErrorMessage="1" xr:uid="{6DFEF45F-564A-4B90-9F6C-7A19392B955C}">
          <x14:formula1>
            <xm:f>ReferentsDPT!A2:A16</xm:f>
          </x14:formula1>
          <xm:sqref>B824</xm:sqref>
        </x14:dataValidation>
        <x14:dataValidation type="list" allowBlank="1" showInputMessage="1" showErrorMessage="1" xr:uid="{5C5C6A5B-77EE-42CE-BF66-2024F6C455C0}">
          <x14:formula1>
            <xm:f>Classes!A2:A4</xm:f>
          </x14:formula1>
          <xm:sqref>E821</xm:sqref>
        </x14:dataValidation>
        <x14:dataValidation type="list" allowBlank="1" showInputMessage="1" showErrorMessage="1" xr:uid="{9B292274-8106-4E9E-BA53-E7E998E3D11D}">
          <x14:formula1>
            <xm:f>Classes!A2:A4</xm:f>
          </x14:formula1>
          <xm:sqref>E822</xm:sqref>
        </x14:dataValidation>
        <x14:dataValidation type="list" allowBlank="1" showInputMessage="1" showErrorMessage="1" xr:uid="{6D7EE27D-884D-403D-9E59-091CC15B2A35}">
          <x14:formula1>
            <xm:f>Classes!A2:A4</xm:f>
          </x14:formula1>
          <xm:sqref>E823</xm:sqref>
        </x14:dataValidation>
        <x14:dataValidation type="list" allowBlank="1" showInputMessage="1" showErrorMessage="1" xr:uid="{44AE6B63-4F5A-42C5-99A1-6E513EC2B39A}">
          <x14:formula1>
            <xm:f>Classes!A2:A4</xm:f>
          </x14:formula1>
          <xm:sqref>E824</xm:sqref>
        </x14:dataValidation>
        <x14:dataValidation type="list" allowBlank="1" showInputMessage="1" showErrorMessage="1" xr:uid="{EA9AAAD2-D13F-4113-BE8A-D30552E6FE0A}">
          <x14:formula1>
            <xm:f>ReferentsDPT!A2:A16</xm:f>
          </x14:formula1>
          <xm:sqref>B825</xm:sqref>
        </x14:dataValidation>
        <x14:dataValidation type="list" allowBlank="1" showInputMessage="1" showErrorMessage="1" xr:uid="{5540DE0D-5ADF-4709-99EE-00C3E9759F12}">
          <x14:formula1>
            <xm:f>Classes!A2:A4</xm:f>
          </x14:formula1>
          <xm:sqref>E825</xm:sqref>
        </x14:dataValidation>
        <x14:dataValidation type="list" allowBlank="1" showInputMessage="1" showErrorMessage="1" xr:uid="{3986512F-B4C5-40B6-A55C-B6959718E34A}">
          <x14:formula1>
            <xm:f>Classes!A2:A4</xm:f>
          </x14:formula1>
          <xm:sqref>E818</xm:sqref>
        </x14:dataValidation>
        <x14:dataValidation type="list" allowBlank="1" showInputMessage="1" showErrorMessage="1" xr:uid="{2F8FEF54-671F-4A81-84FB-EF22BAFA2443}">
          <x14:formula1>
            <xm:f>ReferentsDPT!A2:A16</xm:f>
          </x14:formula1>
          <xm:sqref>B826</xm:sqref>
        </x14:dataValidation>
        <x14:dataValidation type="list" allowBlank="1" showInputMessage="1" showErrorMessage="1" xr:uid="{5287E929-02EA-4956-B680-746C32983A0C}">
          <x14:formula1>
            <xm:f>ReferentsDPT!A2:A16</xm:f>
          </x14:formula1>
          <xm:sqref>B827</xm:sqref>
        </x14:dataValidation>
        <x14:dataValidation type="list" allowBlank="1" showInputMessage="1" showErrorMessage="1" xr:uid="{20D27FA1-8277-4E27-8662-57A4D0B91ED7}">
          <x14:formula1>
            <xm:f>ReferentsDPT!A2:A16</xm:f>
          </x14:formula1>
          <xm:sqref>B828</xm:sqref>
        </x14:dataValidation>
        <x14:dataValidation type="list" allowBlank="1" showInputMessage="1" showErrorMessage="1" xr:uid="{ED031B2A-A8C4-479C-87AA-6BAD05EF7833}">
          <x14:formula1>
            <xm:f>Classes!A2:A4</xm:f>
          </x14:formula1>
          <xm:sqref>E826</xm:sqref>
        </x14:dataValidation>
        <x14:dataValidation type="list" allowBlank="1" showInputMessage="1" showErrorMessage="1" xr:uid="{D6A481B7-31F7-419A-91FD-F23F67566DFA}">
          <x14:formula1>
            <xm:f>Classes!A2:A4</xm:f>
          </x14:formula1>
          <xm:sqref>E828</xm:sqref>
        </x14:dataValidation>
        <x14:dataValidation type="list" allowBlank="1" showInputMessage="1" showErrorMessage="1" xr:uid="{CC480773-BA03-424E-9C05-939A2B67995D}">
          <x14:formula1>
            <xm:f>ReferentsDPT!A2:A16</xm:f>
          </x14:formula1>
          <xm:sqref>B829</xm:sqref>
        </x14:dataValidation>
        <x14:dataValidation type="list" allowBlank="1" showInputMessage="1" showErrorMessage="1" xr:uid="{972B800F-CA0D-4CF4-9DDB-6B8B67012C04}">
          <x14:formula1>
            <xm:f>Classes!A2:A4</xm:f>
          </x14:formula1>
          <xm:sqref>E829</xm:sqref>
        </x14:dataValidation>
        <x14:dataValidation type="list" allowBlank="1" showInputMessage="1" showErrorMessage="1" xr:uid="{AAA96024-F6C9-42BD-ACC0-4697E06E8B68}">
          <x14:formula1>
            <xm:f>Classes!A2:A4</xm:f>
          </x14:formula1>
          <xm:sqref>E827</xm:sqref>
        </x14:dataValidation>
        <x14:dataValidation type="list" allowBlank="1" showInputMessage="1" showErrorMessage="1" xr:uid="{002F5B2D-5B77-4E7F-9019-F671C8DE1A2A}">
          <x14:formula1>
            <xm:f>ReferentsDPT!A2:A16</xm:f>
          </x14:formula1>
          <xm:sqref>B830</xm:sqref>
        </x14:dataValidation>
        <x14:dataValidation type="list" allowBlank="1" showInputMessage="1" showErrorMessage="1" xr:uid="{E20256BF-5815-41A7-BADA-E05515C6CF9E}">
          <x14:formula1>
            <xm:f>Classes!A2:A4</xm:f>
          </x14:formula1>
          <xm:sqref>E830</xm:sqref>
        </x14:dataValidation>
        <x14:dataValidation type="list" allowBlank="1" showInputMessage="1" showErrorMessage="1" xr:uid="{3FE9369D-9984-40A0-8CEF-11F92FEB2457}">
          <x14:formula1>
            <xm:f>ReferentsDPT!A2:A16</xm:f>
          </x14:formula1>
          <xm:sqref>B831</xm:sqref>
        </x14:dataValidation>
        <x14:dataValidation type="list" allowBlank="1" showInputMessage="1" showErrorMessage="1" xr:uid="{A5773178-7500-444C-8A3B-DFF8A5A05EE1}">
          <x14:formula1>
            <xm:f>Classes!A2:A4</xm:f>
          </x14:formula1>
          <xm:sqref>E831</xm:sqref>
        </x14:dataValidation>
        <x14:dataValidation type="list" allowBlank="1" showInputMessage="1" showErrorMessage="1" xr:uid="{850A8475-5C78-4C30-8FDA-9F60E93ADF9D}">
          <x14:formula1>
            <xm:f>ReferentsDPT!A2:A16</xm:f>
          </x14:formula1>
          <xm:sqref>B832</xm:sqref>
        </x14:dataValidation>
        <x14:dataValidation type="list" allowBlank="1" showInputMessage="1" showErrorMessage="1" xr:uid="{DB97FDF0-9058-4EDE-853B-343E7D62909D}">
          <x14:formula1>
            <xm:f>Classes!A2:A4</xm:f>
          </x14:formula1>
          <xm:sqref>E832</xm:sqref>
        </x14:dataValidation>
        <x14:dataValidation type="list" allowBlank="1" showInputMessage="1" showErrorMessage="1" xr:uid="{4C6914AF-E063-4BE1-ABF9-AB9613D62D58}">
          <x14:formula1>
            <xm:f>ReferentsDPT!A2:A16</xm:f>
          </x14:formula1>
          <xm:sqref>B834</xm:sqref>
        </x14:dataValidation>
        <x14:dataValidation type="list" allowBlank="1" showInputMessage="1" showErrorMessage="1" xr:uid="{37E7E643-2398-4FED-97E5-CBA75DC908DE}">
          <x14:formula1>
            <xm:f>ReferentsDPT!A2:A16</xm:f>
          </x14:formula1>
          <xm:sqref>B835</xm:sqref>
        </x14:dataValidation>
        <x14:dataValidation type="list" allowBlank="1" showInputMessage="1" showErrorMessage="1" xr:uid="{612EE3D3-ECD6-4E96-9184-830BC4F5FBFD}">
          <x14:formula1>
            <xm:f>Classes!A2:A4</xm:f>
          </x14:formula1>
          <xm:sqref>E834</xm:sqref>
        </x14:dataValidation>
        <x14:dataValidation type="list" allowBlank="1" showInputMessage="1" showErrorMessage="1" xr:uid="{5CEC1BF9-A7A4-49B0-9EF0-AF9657C36970}">
          <x14:formula1>
            <xm:f>Classes!A2:A4</xm:f>
          </x14:formula1>
          <xm:sqref>E835</xm:sqref>
        </x14:dataValidation>
        <x14:dataValidation type="list" allowBlank="1" showInputMessage="1" showErrorMessage="1" xr:uid="{0D486D7C-C8B9-400D-A539-BC63AF3F2F18}">
          <x14:formula1>
            <xm:f>ReferentsDPT!A2:A16</xm:f>
          </x14:formula1>
          <xm:sqref>B836</xm:sqref>
        </x14:dataValidation>
        <x14:dataValidation type="list" allowBlank="1" showInputMessage="1" showErrorMessage="1" xr:uid="{4F1E25DA-B4C3-4004-B573-F11682695562}">
          <x14:formula1>
            <xm:f>Classes!A2:A4</xm:f>
          </x14:formula1>
          <xm:sqref>E836</xm:sqref>
        </x14:dataValidation>
        <x14:dataValidation type="list" allowBlank="1" showInputMessage="1" showErrorMessage="1" xr:uid="{8DBDF11D-8F23-421A-A7E6-433C26BF30FD}">
          <x14:formula1>
            <xm:f>ReferentsDPT!A2:A16</xm:f>
          </x14:formula1>
          <xm:sqref>B838</xm:sqref>
        </x14:dataValidation>
        <x14:dataValidation type="list" allowBlank="1" showInputMessage="1" showErrorMessage="1" xr:uid="{8163FC4A-F9F4-49FA-B7B5-F0F9612D5790}">
          <x14:formula1>
            <xm:f>Classes!A2:A4</xm:f>
          </x14:formula1>
          <xm:sqref>E838</xm:sqref>
        </x14:dataValidation>
        <x14:dataValidation type="list" allowBlank="1" showInputMessage="1" showErrorMessage="1" xr:uid="{9C5B8AF6-6C58-4130-80D7-E19BD5D7F1F9}">
          <x14:formula1>
            <xm:f>ReferentsDPT!A2:A16</xm:f>
          </x14:formula1>
          <xm:sqref>B840</xm:sqref>
        </x14:dataValidation>
        <x14:dataValidation type="list" allowBlank="1" showInputMessage="1" showErrorMessage="1" xr:uid="{B07B31CA-8506-4307-97AB-EADAE4ECEAA9}">
          <x14:formula1>
            <xm:f>Classes!A2:A4</xm:f>
          </x14:formula1>
          <xm:sqref>E840</xm:sqref>
        </x14:dataValidation>
        <x14:dataValidation type="list" allowBlank="1" showInputMessage="1" showErrorMessage="1" xr:uid="{8692D167-70BB-46A5-944F-D4D67F3CEA8B}">
          <x14:formula1>
            <xm:f>ReferentsDPT!A2:A16</xm:f>
          </x14:formula1>
          <xm:sqref>B841</xm:sqref>
        </x14:dataValidation>
        <x14:dataValidation type="list" allowBlank="1" showInputMessage="1" showErrorMessage="1" xr:uid="{5CAF1CF6-FDBD-4C4E-A1E9-BCDCB064E285}">
          <x14:formula1>
            <xm:f>Classes!A2:A4</xm:f>
          </x14:formula1>
          <xm:sqref>E841</xm:sqref>
        </x14:dataValidation>
        <x14:dataValidation type="list" allowBlank="1" showInputMessage="1" showErrorMessage="1" xr:uid="{13DBD3B4-E2ED-447E-A2FE-2F508DD88266}">
          <x14:formula1>
            <xm:f>ReferentsDPT!A2:A16</xm:f>
          </x14:formula1>
          <xm:sqref>B842</xm:sqref>
        </x14:dataValidation>
        <x14:dataValidation type="list" allowBlank="1" showInputMessage="1" showErrorMessage="1" xr:uid="{A48B0995-C088-4066-B265-D96C3237A39F}">
          <x14:formula1>
            <xm:f>Classes!A2:A4</xm:f>
          </x14:formula1>
          <xm:sqref>E842</xm:sqref>
        </x14:dataValidation>
        <x14:dataValidation type="list" allowBlank="1" showInputMessage="1" showErrorMessage="1" xr:uid="{7A74FEB9-4013-4E8A-BF4D-48CEA8F4E5F4}">
          <x14:formula1>
            <xm:f>ReferentsDPT!A2:A16</xm:f>
          </x14:formula1>
          <xm:sqref>B843</xm:sqref>
        </x14:dataValidation>
        <x14:dataValidation type="list" allowBlank="1" showInputMessage="1" showErrorMessage="1" xr:uid="{774C5044-1BC1-410D-9652-0E701FD8798C}">
          <x14:formula1>
            <xm:f>Classes!A2:A4</xm:f>
          </x14:formula1>
          <xm:sqref>E843</xm:sqref>
        </x14:dataValidation>
        <x14:dataValidation type="list" allowBlank="1" showInputMessage="1" showErrorMessage="1" xr:uid="{50E680EB-0BA7-4C29-B2DF-CA91057A9E2A}">
          <x14:formula1>
            <xm:f>ReferentsDPT!A2:A16</xm:f>
          </x14:formula1>
          <xm:sqref>B844</xm:sqref>
        </x14:dataValidation>
        <x14:dataValidation type="list" allowBlank="1" showInputMessage="1" showErrorMessage="1" xr:uid="{F5D40E92-486C-49D9-B66A-D28190972F4A}">
          <x14:formula1>
            <xm:f>Classes!A2:A4</xm:f>
          </x14:formula1>
          <xm:sqref>E844</xm:sqref>
        </x14:dataValidation>
        <x14:dataValidation type="list" allowBlank="1" showInputMessage="1" showErrorMessage="1" xr:uid="{E24D15B6-F5DA-4D08-AA97-A8F8A2DF3E9B}">
          <x14:formula1>
            <xm:f>ReferentsDPT!A2:A16</xm:f>
          </x14:formula1>
          <xm:sqref>B845</xm:sqref>
        </x14:dataValidation>
        <x14:dataValidation type="list" allowBlank="1" showInputMessage="1" showErrorMessage="1" xr:uid="{FE78B8F8-8C09-4609-A1DD-6641CC7A9A2E}">
          <x14:formula1>
            <xm:f>Classes!A2:A4</xm:f>
          </x14:formula1>
          <xm:sqref>E845</xm:sqref>
        </x14:dataValidation>
        <x14:dataValidation type="list" allowBlank="1" showInputMessage="1" showErrorMessage="1" xr:uid="{4EF8A20B-360B-4DE7-88A2-CDE3D90A641F}">
          <x14:formula1>
            <xm:f>ReferentsDPT!A2:A16</xm:f>
          </x14:formula1>
          <xm:sqref>B846</xm:sqref>
        </x14:dataValidation>
        <x14:dataValidation type="list" allowBlank="1" showInputMessage="1" showErrorMessage="1" xr:uid="{A637F85E-3A2C-4F0A-A117-00120E4CC034}">
          <x14:formula1>
            <xm:f>Classes!A2:A4</xm:f>
          </x14:formula1>
          <xm:sqref>E846</xm:sqref>
        </x14:dataValidation>
        <x14:dataValidation type="list" allowBlank="1" showInputMessage="1" showErrorMessage="1" xr:uid="{11BA1D8C-BE94-4674-8CFA-78D5F806045A}">
          <x14:formula1>
            <xm:f>ReferentsDPT!A2:A16</xm:f>
          </x14:formula1>
          <xm:sqref>B849</xm:sqref>
        </x14:dataValidation>
        <x14:dataValidation type="list" allowBlank="1" showInputMessage="1" showErrorMessage="1" xr:uid="{36265581-0DBE-4FF2-9E51-2CDE2E225FE6}">
          <x14:formula1>
            <xm:f>Classes!A2:A4</xm:f>
          </x14:formula1>
          <xm:sqref>E849</xm:sqref>
        </x14:dataValidation>
        <x14:dataValidation type="list" allowBlank="1" showInputMessage="1" showErrorMessage="1" xr:uid="{60CEDAF9-897D-4CAD-B828-F63B5BF65DC6}">
          <x14:formula1>
            <xm:f>ReferentsDPT!A2:A16</xm:f>
          </x14:formula1>
          <xm:sqref>B850</xm:sqref>
        </x14:dataValidation>
        <x14:dataValidation type="list" allowBlank="1" showInputMessage="1" showErrorMessage="1" xr:uid="{DA9D5121-DBC8-43CF-85B8-AEDDDB8FC755}">
          <x14:formula1>
            <xm:f>Classes!A2:A4</xm:f>
          </x14:formula1>
          <xm:sqref>E850</xm:sqref>
        </x14:dataValidation>
        <x14:dataValidation type="list" allowBlank="1" showInputMessage="1" showErrorMessage="1" xr:uid="{E6720F83-AFB9-4E5E-8E8D-995467D0D6E0}">
          <x14:formula1>
            <xm:f>ReferentsDPT!A2:A16</xm:f>
          </x14:formula1>
          <xm:sqref>B851</xm:sqref>
        </x14:dataValidation>
        <x14:dataValidation type="list" allowBlank="1" showInputMessage="1" showErrorMessage="1" xr:uid="{C46E9BF1-3886-4D10-BCD0-30F8DC69AC3A}">
          <x14:formula1>
            <xm:f>Classes!A2:A4</xm:f>
          </x14:formula1>
          <xm:sqref>E851</xm:sqref>
        </x14:dataValidation>
        <x14:dataValidation type="list" allowBlank="1" showInputMessage="1" showErrorMessage="1" xr:uid="{B17DCAAC-4BA6-4549-8D69-4CF0D6E0DC44}">
          <x14:formula1>
            <xm:f>ReferentsDPT!A2:A16</xm:f>
          </x14:formula1>
          <xm:sqref>B852</xm:sqref>
        </x14:dataValidation>
        <x14:dataValidation type="list" allowBlank="1" showInputMessage="1" showErrorMessage="1" xr:uid="{BB8A5706-D4CC-4C9C-8C71-174EA8788474}">
          <x14:formula1>
            <xm:f>ReferentsDPT!A2:A16</xm:f>
          </x14:formula1>
          <xm:sqref>B853</xm:sqref>
        </x14:dataValidation>
        <x14:dataValidation type="list" allowBlank="1" showInputMessage="1" showErrorMessage="1" xr:uid="{593882D1-308B-468A-87D8-44DD96339E2F}">
          <x14:formula1>
            <xm:f>ReferentsDPT!A2:A16</xm:f>
          </x14:formula1>
          <xm:sqref>B854</xm:sqref>
        </x14:dataValidation>
        <x14:dataValidation type="list" allowBlank="1" showInputMessage="1" showErrorMessage="1" xr:uid="{27B5C34B-D901-4EB3-890D-CB042D59E524}">
          <x14:formula1>
            <xm:f>Classes!A2:A4</xm:f>
          </x14:formula1>
          <xm:sqref>E852</xm:sqref>
        </x14:dataValidation>
        <x14:dataValidation type="list" allowBlank="1" showInputMessage="1" showErrorMessage="1" xr:uid="{C92899DA-FAC6-4A73-B72C-1B510763FA7B}">
          <x14:formula1>
            <xm:f>Classes!A2:A4</xm:f>
          </x14:formula1>
          <xm:sqref>E853</xm:sqref>
        </x14:dataValidation>
        <x14:dataValidation type="list" allowBlank="1" showInputMessage="1" showErrorMessage="1" xr:uid="{03B55E8B-93DE-4AC1-BF78-528E89F0A6CE}">
          <x14:formula1>
            <xm:f>Classes!A2:A4</xm:f>
          </x14:formula1>
          <xm:sqref>E854</xm:sqref>
        </x14:dataValidation>
        <x14:dataValidation type="list" allowBlank="1" showInputMessage="1" showErrorMessage="1" xr:uid="{0A9CF74C-D774-4EB6-8BE7-28B161305F4A}">
          <x14:formula1>
            <xm:f>ReferentsDPT!A2:A16</xm:f>
          </x14:formula1>
          <xm:sqref>B856</xm:sqref>
        </x14:dataValidation>
        <x14:dataValidation type="list" allowBlank="1" showInputMessage="1" showErrorMessage="1" xr:uid="{EE555C4A-2AC8-4C67-BAF8-AE7EEB6DA669}">
          <x14:formula1>
            <xm:f>Classes!A2:A4</xm:f>
          </x14:formula1>
          <xm:sqref>E856</xm:sqref>
        </x14:dataValidation>
        <x14:dataValidation type="list" allowBlank="1" showInputMessage="1" showErrorMessage="1" xr:uid="{6C384D2E-F76C-4EFC-B08A-64F555D422F5}">
          <x14:formula1>
            <xm:f>ReferentsDPT!A2:A16</xm:f>
          </x14:formula1>
          <xm:sqref>B857</xm:sqref>
        </x14:dataValidation>
        <x14:dataValidation type="list" allowBlank="1" showInputMessage="1" showErrorMessage="1" xr:uid="{1113C339-F82C-475A-AB4B-AFEFB197AA3B}">
          <x14:formula1>
            <xm:f>Classes!A2:A4</xm:f>
          </x14:formula1>
          <xm:sqref>E857</xm:sqref>
        </x14:dataValidation>
        <x14:dataValidation type="list" allowBlank="1" showInputMessage="1" showErrorMessage="1" xr:uid="{7080AA49-EF04-4BD2-B51E-037E3D03B0CA}">
          <x14:formula1>
            <xm:f>ReferentsDPT!A2:A16</xm:f>
          </x14:formula1>
          <xm:sqref>B858</xm:sqref>
        </x14:dataValidation>
        <x14:dataValidation type="list" allowBlank="1" showInputMessage="1" showErrorMessage="1" xr:uid="{8D2A5EA6-7C81-4845-8053-57C9E67AC85F}">
          <x14:formula1>
            <xm:f>Classes!A2:A4</xm:f>
          </x14:formula1>
          <xm:sqref>E858</xm:sqref>
        </x14:dataValidation>
        <x14:dataValidation type="list" allowBlank="1" showInputMessage="1" showErrorMessage="1" xr:uid="{DF766B77-AC93-4538-B33B-0F083C90C3FA}">
          <x14:formula1>
            <xm:f>ReferentsDPT!A2:A16</xm:f>
          </x14:formula1>
          <xm:sqref>B859</xm:sqref>
        </x14:dataValidation>
        <x14:dataValidation type="list" allowBlank="1" showInputMessage="1" showErrorMessage="1" xr:uid="{E080249C-9231-4ADF-A15D-3294D9742064}">
          <x14:formula1>
            <xm:f>Classes!A2:A4</xm:f>
          </x14:formula1>
          <xm:sqref>E859</xm:sqref>
        </x14:dataValidation>
        <x14:dataValidation type="list" allowBlank="1" showInputMessage="1" showErrorMessage="1" xr:uid="{9D29317A-6D67-4F74-9277-F89C6E5F048E}">
          <x14:formula1>
            <xm:f>Classes!A2:A4</xm:f>
          </x14:formula1>
          <xm:sqref>E860</xm:sqref>
        </x14:dataValidation>
        <x14:dataValidation type="list" allowBlank="1" showInputMessage="1" showErrorMessage="1" xr:uid="{F790B504-291F-4D11-8A33-2DBF27C45192}">
          <x14:formula1>
            <xm:f>ReferentsDPT!A2:A16</xm:f>
          </x14:formula1>
          <xm:sqref>B860</xm:sqref>
        </x14:dataValidation>
        <x14:dataValidation type="list" allowBlank="1" showInputMessage="1" showErrorMessage="1" xr:uid="{DFBC8943-EF61-4CC0-B141-16ED621B6804}">
          <x14:formula1>
            <xm:f>ReferentsDPT!A2:A16</xm:f>
          </x14:formula1>
          <xm:sqref>B861</xm:sqref>
        </x14:dataValidation>
        <x14:dataValidation type="list" allowBlank="1" showInputMessage="1" showErrorMessage="1" xr:uid="{D071537D-05B0-4C44-B163-2D21B883742A}">
          <x14:formula1>
            <xm:f>Classes!A2:A4</xm:f>
          </x14:formula1>
          <xm:sqref>E861</xm:sqref>
        </x14:dataValidation>
        <x14:dataValidation type="list" allowBlank="1" showInputMessage="1" showErrorMessage="1" xr:uid="{C1811A8E-A372-4068-9ECB-FAC84A8490EF}">
          <x14:formula1>
            <xm:f>ReferentsDPT!A2:A16</xm:f>
          </x14:formula1>
          <xm:sqref>B865</xm:sqref>
        </x14:dataValidation>
        <x14:dataValidation type="list" allowBlank="1" showInputMessage="1" showErrorMessage="1" xr:uid="{FCB6FE9F-C883-4EDD-8FD0-88A1151B8896}">
          <x14:formula1>
            <xm:f>Classes!A2:A4</xm:f>
          </x14:formula1>
          <xm:sqref>E865</xm:sqref>
        </x14:dataValidation>
        <x14:dataValidation type="list" allowBlank="1" showInputMessage="1" showErrorMessage="1" xr:uid="{4AB536A7-2F8B-4302-A421-D54DFDA81037}">
          <x14:formula1>
            <xm:f>ReferentsDPT!A2:A16</xm:f>
          </x14:formula1>
          <xm:sqref>B866</xm:sqref>
        </x14:dataValidation>
        <x14:dataValidation type="list" allowBlank="1" showInputMessage="1" showErrorMessage="1" xr:uid="{7C54D88B-5A4B-4B01-B1D8-CFB7A200A409}">
          <x14:formula1>
            <xm:f>ReferentsDPT!A2:A16</xm:f>
          </x14:formula1>
          <xm:sqref>B867</xm:sqref>
        </x14:dataValidation>
        <x14:dataValidation type="list" allowBlank="1" showInputMessage="1" showErrorMessage="1" xr:uid="{4F8EBD7F-AF4F-477E-8A9C-822B20B7AA76}">
          <x14:formula1>
            <xm:f>ReferentsDPT!A2:A16</xm:f>
          </x14:formula1>
          <xm:sqref>B868</xm:sqref>
        </x14:dataValidation>
        <x14:dataValidation type="list" allowBlank="1" showInputMessage="1" showErrorMessage="1" xr:uid="{1C818375-D43C-45FE-BA83-93324EDD2AA1}">
          <x14:formula1>
            <xm:f>ReferentsDPT!A2:A16</xm:f>
          </x14:formula1>
          <xm:sqref>B869</xm:sqref>
        </x14:dataValidation>
        <x14:dataValidation type="list" allowBlank="1" showInputMessage="1" showErrorMessage="1" xr:uid="{589BCDAB-C40A-4D39-B08D-AE1E16F6368B}">
          <x14:formula1>
            <xm:f>ReferentsDPT!A2:A16</xm:f>
          </x14:formula1>
          <xm:sqref>B870</xm:sqref>
        </x14:dataValidation>
        <x14:dataValidation type="list" allowBlank="1" showInputMessage="1" showErrorMessage="1" xr:uid="{0DAE35C2-0075-4C4D-9757-171E2040834B}">
          <x14:formula1>
            <xm:f>ReferentsDPT!A2:A16</xm:f>
          </x14:formula1>
          <xm:sqref>B871</xm:sqref>
        </x14:dataValidation>
        <x14:dataValidation type="list" allowBlank="1" showInputMessage="1" showErrorMessage="1" xr:uid="{7B80991F-433E-4035-BA94-092C56059480}">
          <x14:formula1>
            <xm:f>ReferentsDPT!A2:A16</xm:f>
          </x14:formula1>
          <xm:sqref>B872</xm:sqref>
        </x14:dataValidation>
        <x14:dataValidation type="list" allowBlank="1" showInputMessage="1" showErrorMessage="1" xr:uid="{E4D75368-1E8E-475F-BE2A-D52449D3F3F4}">
          <x14:formula1>
            <xm:f>ReferentsDPT!A2:A16</xm:f>
          </x14:formula1>
          <xm:sqref>B873</xm:sqref>
        </x14:dataValidation>
        <x14:dataValidation type="list" allowBlank="1" showInputMessage="1" showErrorMessage="1" xr:uid="{049E66CC-3CB4-4292-88A5-2388F235C16B}">
          <x14:formula1>
            <xm:f>ReferentsDPT!A2:A16</xm:f>
          </x14:formula1>
          <xm:sqref>B874</xm:sqref>
        </x14:dataValidation>
        <x14:dataValidation type="list" allowBlank="1" showInputMessage="1" showErrorMessage="1" xr:uid="{0C74D8AB-7C5A-49BF-ABA1-068619982181}">
          <x14:formula1>
            <xm:f>ReferentsDPT!A2:A16</xm:f>
          </x14:formula1>
          <xm:sqref>B875</xm:sqref>
        </x14:dataValidation>
        <x14:dataValidation type="list" allowBlank="1" showInputMessage="1" showErrorMessage="1" xr:uid="{50DA44B8-0EA7-4299-B8E4-D41205D4C57E}">
          <x14:formula1>
            <xm:f>Classes!A2:A4</xm:f>
          </x14:formula1>
          <xm:sqref>E866</xm:sqref>
        </x14:dataValidation>
        <x14:dataValidation type="list" allowBlank="1" showInputMessage="1" showErrorMessage="1" xr:uid="{9743C372-2347-45BE-8F45-1799B0D12D2C}">
          <x14:formula1>
            <xm:f>Classes!A2:A4</xm:f>
          </x14:formula1>
          <xm:sqref>E867</xm:sqref>
        </x14:dataValidation>
        <x14:dataValidation type="list" allowBlank="1" showInputMessage="1" showErrorMessage="1" xr:uid="{FB822081-5087-44CB-ABA0-52EECFAD9846}">
          <x14:formula1>
            <xm:f>Classes!A2:A4</xm:f>
          </x14:formula1>
          <xm:sqref>E868</xm:sqref>
        </x14:dataValidation>
        <x14:dataValidation type="list" allowBlank="1" showInputMessage="1" showErrorMessage="1" xr:uid="{8381A239-5F79-484C-942B-A4F3193274A5}">
          <x14:formula1>
            <xm:f>Classes!A2:A4</xm:f>
          </x14:formula1>
          <xm:sqref>E869</xm:sqref>
        </x14:dataValidation>
        <x14:dataValidation type="list" allowBlank="1" showInputMessage="1" showErrorMessage="1" xr:uid="{5C37837D-187C-4BFA-B557-833E5D7AB545}">
          <x14:formula1>
            <xm:f>Classes!A2:A4</xm:f>
          </x14:formula1>
          <xm:sqref>E870</xm:sqref>
        </x14:dataValidation>
        <x14:dataValidation type="list" allowBlank="1" showInputMessage="1" showErrorMessage="1" xr:uid="{EFFEC421-3555-416D-8062-570995A7AF92}">
          <x14:formula1>
            <xm:f>Classes!A2:A4</xm:f>
          </x14:formula1>
          <xm:sqref>E871</xm:sqref>
        </x14:dataValidation>
        <x14:dataValidation type="list" allowBlank="1" showInputMessage="1" showErrorMessage="1" xr:uid="{76E70D80-CBEC-40F5-866B-0E4614ECAC41}">
          <x14:formula1>
            <xm:f>Classes!A2:A4</xm:f>
          </x14:formula1>
          <xm:sqref>E872</xm:sqref>
        </x14:dataValidation>
        <x14:dataValidation type="list" allowBlank="1" showInputMessage="1" showErrorMessage="1" xr:uid="{B08028EC-EAAE-49AD-8E09-1F3B9C7E7986}">
          <x14:formula1>
            <xm:f>Classes!A2:A4</xm:f>
          </x14:formula1>
          <xm:sqref>E873</xm:sqref>
        </x14:dataValidation>
        <x14:dataValidation type="list" allowBlank="1" showInputMessage="1" showErrorMessage="1" xr:uid="{6FADBBFC-42BE-4B42-9515-00F1CBC789E0}">
          <x14:formula1>
            <xm:f>Classes!A2:A4</xm:f>
          </x14:formula1>
          <xm:sqref>E874</xm:sqref>
        </x14:dataValidation>
        <x14:dataValidation type="list" allowBlank="1" showInputMessage="1" showErrorMessage="1" xr:uid="{938C67B1-D3D9-4A1C-A8EF-82DDC7CF77C3}">
          <x14:formula1>
            <xm:f>Classes!A2:A4</xm:f>
          </x14:formula1>
          <xm:sqref>E875</xm:sqref>
        </x14:dataValidation>
        <x14:dataValidation type="list" allowBlank="1" showInputMessage="1" showErrorMessage="1" xr:uid="{D6E64203-20F1-43D0-BF90-F662155AC28D}">
          <x14:formula1>
            <xm:f>ReferentsDPT!A2:A16</xm:f>
          </x14:formula1>
          <xm:sqref>B876</xm:sqref>
        </x14:dataValidation>
        <x14:dataValidation type="list" allowBlank="1" showInputMessage="1" showErrorMessage="1" xr:uid="{D085E55B-39CB-4631-ABC6-AF377E471962}">
          <x14:formula1>
            <xm:f>Classes!A2:A4</xm:f>
          </x14:formula1>
          <xm:sqref>E876</xm:sqref>
        </x14:dataValidation>
        <x14:dataValidation type="list" allowBlank="1" showInputMessage="1" showErrorMessage="1" xr:uid="{03F37E2F-5AC8-49E2-B883-E1C299032EEB}">
          <x14:formula1>
            <xm:f>ReferentsDPT!A2:A16</xm:f>
          </x14:formula1>
          <xm:sqref>B879</xm:sqref>
        </x14:dataValidation>
        <x14:dataValidation type="list" allowBlank="1" showInputMessage="1" showErrorMessage="1" xr:uid="{DE6EDCB2-AA15-4A3F-993D-135001FC4004}">
          <x14:formula1>
            <xm:f>Classes!A2:A4</xm:f>
          </x14:formula1>
          <xm:sqref>E879</xm:sqref>
        </x14:dataValidation>
        <x14:dataValidation type="list" allowBlank="1" showInputMessage="1" showErrorMessage="1" xr:uid="{9FEAC861-239A-4768-9287-025C2B9C07E4}">
          <x14:formula1>
            <xm:f>ReferentsDPT!A2:A16</xm:f>
          </x14:formula1>
          <xm:sqref>B880</xm:sqref>
        </x14:dataValidation>
        <x14:dataValidation type="list" allowBlank="1" showInputMessage="1" showErrorMessage="1" xr:uid="{6A891AB5-41F2-41AB-84BA-6ED5B9943E5F}">
          <x14:formula1>
            <xm:f>Classes!A2:A4</xm:f>
          </x14:formula1>
          <xm:sqref>E880</xm:sqref>
        </x14:dataValidation>
        <x14:dataValidation type="list" allowBlank="1" showInputMessage="1" showErrorMessage="1" xr:uid="{9680A822-F300-4C4A-8B8C-722E510C65C8}">
          <x14:formula1>
            <xm:f>ReferentsDPT!A2:A16</xm:f>
          </x14:formula1>
          <xm:sqref>B885</xm:sqref>
        </x14:dataValidation>
        <x14:dataValidation type="list" allowBlank="1" showInputMessage="1" showErrorMessage="1" xr:uid="{4D97CD57-EA24-4CED-B246-CF22D8BF8FF1}">
          <x14:formula1>
            <xm:f>Classes!A2:A4</xm:f>
          </x14:formula1>
          <xm:sqref>E885</xm:sqref>
        </x14:dataValidation>
        <x14:dataValidation type="list" allowBlank="1" showInputMessage="1" showErrorMessage="1" xr:uid="{AFAE03CD-62DE-4DD1-9DF0-83F55F4A6B38}">
          <x14:formula1>
            <xm:f>ReferentsDPT!A2:A16</xm:f>
          </x14:formula1>
          <xm:sqref>B886</xm:sqref>
        </x14:dataValidation>
        <x14:dataValidation type="list" allowBlank="1" showInputMessage="1" showErrorMessage="1" xr:uid="{A2D6B655-0D8D-48B0-9E8C-7451C96F75B7}">
          <x14:formula1>
            <xm:f>ReferentsDPT!A2:A16</xm:f>
          </x14:formula1>
          <xm:sqref>B887</xm:sqref>
        </x14:dataValidation>
        <x14:dataValidation type="list" allowBlank="1" showInputMessage="1" showErrorMessage="1" xr:uid="{94734A3B-BBC4-46A5-81A1-2D69C8ECD0EE}">
          <x14:formula1>
            <xm:f>Classes!A2:A4</xm:f>
          </x14:formula1>
          <xm:sqref>E886</xm:sqref>
        </x14:dataValidation>
        <x14:dataValidation type="list" allowBlank="1" showInputMessage="1" showErrorMessage="1" xr:uid="{067DB58B-7DB5-418E-9479-FBC4A6D1B981}">
          <x14:formula1>
            <xm:f>Classes!A2:A4</xm:f>
          </x14:formula1>
          <xm:sqref>E887</xm:sqref>
        </x14:dataValidation>
        <x14:dataValidation type="list" allowBlank="1" showInputMessage="1" showErrorMessage="1" xr:uid="{F793FA1B-2923-4193-84C1-AE6BD848AA52}">
          <x14:formula1>
            <xm:f>ReferentsDPT!A2:A16</xm:f>
          </x14:formula1>
          <xm:sqref>B890</xm:sqref>
        </x14:dataValidation>
        <x14:dataValidation type="list" allowBlank="1" showInputMessage="1" showErrorMessage="1" xr:uid="{0EB59109-CCE8-410A-AB81-8F79B9BDB1E1}">
          <x14:formula1>
            <xm:f>Classes!A2:A4</xm:f>
          </x14:formula1>
          <xm:sqref>E890</xm:sqref>
        </x14:dataValidation>
        <x14:dataValidation type="list" allowBlank="1" showInputMessage="1" showErrorMessage="1" xr:uid="{2A9EF2F5-B6D7-4B9F-894D-8ED95C3C11EB}">
          <x14:formula1>
            <xm:f>ReferentsDPT!A2:A16</xm:f>
          </x14:formula1>
          <xm:sqref>B891</xm:sqref>
        </x14:dataValidation>
        <x14:dataValidation type="list" allowBlank="1" showInputMessage="1" showErrorMessage="1" xr:uid="{DCC336C2-7DE8-4D06-820D-22DAADC1A7AC}">
          <x14:formula1>
            <xm:f>Classes!A2:A4</xm:f>
          </x14:formula1>
          <xm:sqref>E891</xm:sqref>
        </x14:dataValidation>
        <x14:dataValidation type="list" allowBlank="1" showInputMessage="1" showErrorMessage="1" xr:uid="{00E37E13-81A1-4B4A-963E-7099B5F41959}">
          <x14:formula1>
            <xm:f>ReferentsDPT!A2:A16</xm:f>
          </x14:formula1>
          <xm:sqref>B892</xm:sqref>
        </x14:dataValidation>
        <x14:dataValidation type="list" allowBlank="1" showInputMessage="1" showErrorMessage="1" xr:uid="{6E5CEF8D-B85C-400C-97CA-98C37DE906F1}">
          <x14:formula1>
            <xm:f>Classes!A2:A4</xm:f>
          </x14:formula1>
          <xm:sqref>E892</xm:sqref>
        </x14:dataValidation>
        <x14:dataValidation type="list" allowBlank="1" showInputMessage="1" showErrorMessage="1" xr:uid="{89D5F3DA-D7AE-4125-B620-174584EB6E75}">
          <x14:formula1>
            <xm:f>ReferentsDPT!A2:A16</xm:f>
          </x14:formula1>
          <xm:sqref>B893</xm:sqref>
        </x14:dataValidation>
        <x14:dataValidation type="list" allowBlank="1" showInputMessage="1" showErrorMessage="1" xr:uid="{D3B39882-9B22-4761-96C2-B3B41FC43764}">
          <x14:formula1>
            <xm:f>Classes!A2:A4</xm:f>
          </x14:formula1>
          <xm:sqref>E893</xm:sqref>
        </x14:dataValidation>
        <x14:dataValidation type="list" allowBlank="1" showInputMessage="1" showErrorMessage="1" xr:uid="{14545CDD-DCE3-4A4D-81D3-F101F52DE0CB}">
          <x14:formula1>
            <xm:f>ReferentsDPT!A2:A16</xm:f>
          </x14:formula1>
          <xm:sqref>B894</xm:sqref>
        </x14:dataValidation>
        <x14:dataValidation type="list" allowBlank="1" showInputMessage="1" showErrorMessage="1" xr:uid="{C6D27001-5DF2-45C0-8602-AA0217680C81}">
          <x14:formula1>
            <xm:f>ReferentsDPT!A2:A16</xm:f>
          </x14:formula1>
          <xm:sqref>B895</xm:sqref>
        </x14:dataValidation>
        <x14:dataValidation type="list" allowBlank="1" showInputMessage="1" showErrorMessage="1" xr:uid="{A7CB0E77-BDFF-45F3-B224-0C276D0A4027}">
          <x14:formula1>
            <xm:f>Classes!A2:A4</xm:f>
          </x14:formula1>
          <xm:sqref>E894</xm:sqref>
        </x14:dataValidation>
        <x14:dataValidation type="list" allowBlank="1" showInputMessage="1" showErrorMessage="1" xr:uid="{DCBC4125-1E07-4702-A4FB-4060C42CFDAF}">
          <x14:formula1>
            <xm:f>Classes!A2:A4</xm:f>
          </x14:formula1>
          <xm:sqref>E895</xm:sqref>
        </x14:dataValidation>
        <x14:dataValidation type="list" allowBlank="1" showInputMessage="1" showErrorMessage="1" xr:uid="{824E9FB4-254A-437F-B86D-8EA877638408}">
          <x14:formula1>
            <xm:f>ReferentsDPT!A2:A16</xm:f>
          </x14:formula1>
          <xm:sqref>B896</xm:sqref>
        </x14:dataValidation>
        <x14:dataValidation type="list" allowBlank="1" showInputMessage="1" showErrorMessage="1" xr:uid="{5C670064-B4CE-4427-9193-593974D01AD3}">
          <x14:formula1>
            <xm:f>Classes!A2:A4</xm:f>
          </x14:formula1>
          <xm:sqref>E896</xm:sqref>
        </x14:dataValidation>
        <x14:dataValidation type="list" allowBlank="1" showInputMessage="1" showErrorMessage="1" xr:uid="{34E42CAB-A95D-4DCF-BB79-7B9F14CEAE6A}">
          <x14:formula1>
            <xm:f>ReferentsDPT!A2:A16</xm:f>
          </x14:formula1>
          <xm:sqref>B897</xm:sqref>
        </x14:dataValidation>
        <x14:dataValidation type="list" allowBlank="1" showInputMessage="1" showErrorMessage="1" xr:uid="{462EA010-AB71-4559-A5A8-72DC06A7EE94}">
          <x14:formula1>
            <xm:f>ReferentsDPT!A2:A16</xm:f>
          </x14:formula1>
          <xm:sqref>B898</xm:sqref>
        </x14:dataValidation>
        <x14:dataValidation type="list" allowBlank="1" showInputMessage="1" showErrorMessage="1" xr:uid="{2A2E658D-F610-4E14-83F5-F99E4CE7BD97}">
          <x14:formula1>
            <xm:f>Classes!A2:A4</xm:f>
          </x14:formula1>
          <xm:sqref>E897</xm:sqref>
        </x14:dataValidation>
        <x14:dataValidation type="list" allowBlank="1" showInputMessage="1" showErrorMessage="1" xr:uid="{7F9EF549-8A20-410F-BCB5-AC30906344CE}">
          <x14:formula1>
            <xm:f>Classes!A2:A4</xm:f>
          </x14:formula1>
          <xm:sqref>E898</xm:sqref>
        </x14:dataValidation>
        <x14:dataValidation type="list" allowBlank="1" showInputMessage="1" showErrorMessage="1" xr:uid="{E686CA64-6A2D-4293-AB33-43F54C7916E7}">
          <x14:formula1>
            <xm:f>ReferentsDPT!A2:A16</xm:f>
          </x14:formula1>
          <xm:sqref>B899</xm:sqref>
        </x14:dataValidation>
        <x14:dataValidation type="list" allowBlank="1" showInputMessage="1" showErrorMessage="1" xr:uid="{D6690B87-2E37-48BB-96A9-B9C20B8B7917}">
          <x14:formula1>
            <xm:f>Classes!A2:A4</xm:f>
          </x14:formula1>
          <xm:sqref>E899</xm:sqref>
        </x14:dataValidation>
        <x14:dataValidation type="list" allowBlank="1" showInputMessage="1" showErrorMessage="1" xr:uid="{03239B3B-732A-4837-9A0D-22D3650C2DEB}">
          <x14:formula1>
            <xm:f>ReferentsDPT!A2:A16</xm:f>
          </x14:formula1>
          <xm:sqref>B900</xm:sqref>
        </x14:dataValidation>
        <x14:dataValidation type="list" allowBlank="1" showInputMessage="1" showErrorMessage="1" xr:uid="{D07FC6B3-A72D-48FD-B16E-667ED8D55E36}">
          <x14:formula1>
            <xm:f>Classes!A2:A4</xm:f>
          </x14:formula1>
          <xm:sqref>E900</xm:sqref>
        </x14:dataValidation>
        <x14:dataValidation type="list" allowBlank="1" showInputMessage="1" showErrorMessage="1" xr:uid="{563E1423-C235-4439-BA17-3825B7F43650}">
          <x14:formula1>
            <xm:f>ReferentsDPT!A2:A16</xm:f>
          </x14:formula1>
          <xm:sqref>B901</xm:sqref>
        </x14:dataValidation>
        <x14:dataValidation type="list" allowBlank="1" showInputMessage="1" showErrorMessage="1" xr:uid="{4DF77394-1E09-4C83-81FC-E386CC4A1DB6}">
          <x14:formula1>
            <xm:f>Classes!A2:A4</xm:f>
          </x14:formula1>
          <xm:sqref>E901</xm:sqref>
        </x14:dataValidation>
        <x14:dataValidation type="list" allowBlank="1" showInputMessage="1" showErrorMessage="1" xr:uid="{20ED28A4-E4D4-470D-8E87-3107761266F3}">
          <x14:formula1>
            <xm:f>ReferentsDPT!A2:A16</xm:f>
          </x14:formula1>
          <xm:sqref>B902</xm:sqref>
        </x14:dataValidation>
        <x14:dataValidation type="list" allowBlank="1" showInputMessage="1" showErrorMessage="1" xr:uid="{3DA985EC-CEE9-44B4-B866-A8773087C88C}">
          <x14:formula1>
            <xm:f>ReferentsDPT!A2:A16</xm:f>
          </x14:formula1>
          <xm:sqref>B903</xm:sqref>
        </x14:dataValidation>
        <x14:dataValidation type="list" allowBlank="1" showInputMessage="1" showErrorMessage="1" xr:uid="{4C677BE4-F898-434A-94DF-89223AD96D03}">
          <x14:formula1>
            <xm:f>Classes!A2:A4</xm:f>
          </x14:formula1>
          <xm:sqref>E902</xm:sqref>
        </x14:dataValidation>
        <x14:dataValidation type="list" allowBlank="1" showInputMessage="1" showErrorMessage="1" xr:uid="{EF351D07-F24D-4595-8E28-5E0CAA7C61E1}">
          <x14:formula1>
            <xm:f>Classes!A2:A4</xm:f>
          </x14:formula1>
          <xm:sqref>E903</xm:sqref>
        </x14:dataValidation>
        <x14:dataValidation type="list" allowBlank="1" showInputMessage="1" showErrorMessage="1" xr:uid="{446BB5E3-D169-4558-9001-24AC43E16E5A}">
          <x14:formula1>
            <xm:f>ReferentsDPT!A2:A16</xm:f>
          </x14:formula1>
          <xm:sqref>B904</xm:sqref>
        </x14:dataValidation>
        <x14:dataValidation type="list" allowBlank="1" showInputMessage="1" showErrorMessage="1" xr:uid="{B85D5581-81C4-42B2-AECE-5B47BC29EC5E}">
          <x14:formula1>
            <xm:f>Classes!A2:A4</xm:f>
          </x14:formula1>
          <xm:sqref>E904</xm:sqref>
        </x14:dataValidation>
        <x14:dataValidation type="list" allowBlank="1" showInputMessage="1" showErrorMessage="1" xr:uid="{138AEC58-425F-4C3E-AC7E-58FED23617E2}">
          <x14:formula1>
            <xm:f>ReferentsDPT!A2:A16</xm:f>
          </x14:formula1>
          <xm:sqref>B905</xm:sqref>
        </x14:dataValidation>
        <x14:dataValidation type="list" allowBlank="1" showInputMessage="1" showErrorMessage="1" xr:uid="{89D5B678-F7B5-4B8D-BE8D-0BF49DAE79C6}">
          <x14:formula1>
            <xm:f>Classes!A2:A4</xm:f>
          </x14:formula1>
          <xm:sqref>E905</xm:sqref>
        </x14:dataValidation>
        <x14:dataValidation type="list" allowBlank="1" showInputMessage="1" showErrorMessage="1" xr:uid="{1A3EC399-FCB9-4BDE-8B78-80324BFD2D94}">
          <x14:formula1>
            <xm:f>ReferentsDPT!A2:A16</xm:f>
          </x14:formula1>
          <xm:sqref>B906</xm:sqref>
        </x14:dataValidation>
        <x14:dataValidation type="list" allowBlank="1" showInputMessage="1" showErrorMessage="1" xr:uid="{528EA9FC-44D8-4568-AEA9-780C27340500}">
          <x14:formula1>
            <xm:f>ReferentsDPT!A2:A16</xm:f>
          </x14:formula1>
          <xm:sqref>B907</xm:sqref>
        </x14:dataValidation>
        <x14:dataValidation type="list" allowBlank="1" showInputMessage="1" showErrorMessage="1" xr:uid="{6A92B215-5A21-4802-9BCC-FF582FA4B1F3}">
          <x14:formula1>
            <xm:f>Classes!A2:A4</xm:f>
          </x14:formula1>
          <xm:sqref>E906</xm:sqref>
        </x14:dataValidation>
        <x14:dataValidation type="list" allowBlank="1" showInputMessage="1" showErrorMessage="1" xr:uid="{F711BBCF-8F40-4625-B27E-2AE82C821595}">
          <x14:formula1>
            <xm:f>Classes!A2:A4</xm:f>
          </x14:formula1>
          <xm:sqref>E907</xm:sqref>
        </x14:dataValidation>
        <x14:dataValidation type="list" allowBlank="1" showInputMessage="1" showErrorMessage="1" xr:uid="{626F344C-5F0E-4054-8CD4-CA8BF0377747}">
          <x14:formula1>
            <xm:f>ReferentsDPT!A2:A16</xm:f>
          </x14:formula1>
          <xm:sqref>B908</xm:sqref>
        </x14:dataValidation>
        <x14:dataValidation type="list" allowBlank="1" showInputMessage="1" showErrorMessage="1" xr:uid="{44816A42-C62D-4C00-A1E9-A276E69B7EF5}">
          <x14:formula1>
            <xm:f>ReferentsDPT!A2:A16</xm:f>
          </x14:formula1>
          <xm:sqref>B909</xm:sqref>
        </x14:dataValidation>
        <x14:dataValidation type="list" allowBlank="1" showInputMessage="1" showErrorMessage="1" xr:uid="{7ADCCBFE-A99B-44E0-B6A5-6556452A25B1}">
          <x14:formula1>
            <xm:f>Classes!A2:A4</xm:f>
          </x14:formula1>
          <xm:sqref>E908</xm:sqref>
        </x14:dataValidation>
        <x14:dataValidation type="list" allowBlank="1" showInputMessage="1" showErrorMessage="1" xr:uid="{FA95ECD8-4088-4133-BF55-36853792C599}">
          <x14:formula1>
            <xm:f>Classes!A2:A4</xm:f>
          </x14:formula1>
          <xm:sqref>E909</xm:sqref>
        </x14:dataValidation>
        <x14:dataValidation type="list" allowBlank="1" showInputMessage="1" showErrorMessage="1" xr:uid="{733FC42C-B919-4823-AC16-543906483BC9}">
          <x14:formula1>
            <xm:f>Classes!A2:A4</xm:f>
          </x14:formula1>
          <xm:sqref>E910</xm:sqref>
        </x14:dataValidation>
        <x14:dataValidation type="list" allowBlank="1" showInputMessage="1" showErrorMessage="1" xr:uid="{93DE5CB7-27D3-48B7-A5A3-CAB92E605AC9}">
          <x14:formula1>
            <xm:f>Classes!A2:A4</xm:f>
          </x14:formula1>
          <xm:sqref>E911</xm:sqref>
        </x14:dataValidation>
        <x14:dataValidation type="list" allowBlank="1" showInputMessage="1" showErrorMessage="1" xr:uid="{95ED06CC-ED45-40D1-BBA0-92FF5AB43EAB}">
          <x14:formula1>
            <xm:f>Classes!A2:A4</xm:f>
          </x14:formula1>
          <xm:sqref>E912</xm:sqref>
        </x14:dataValidation>
        <x14:dataValidation type="list" allowBlank="1" showInputMessage="1" showErrorMessage="1" xr:uid="{DFB461D5-7210-4F80-B86E-92E4CF7C2D07}">
          <x14:formula1>
            <xm:f>Classes!A2:A4</xm:f>
          </x14:formula1>
          <xm:sqref>E914</xm:sqref>
        </x14:dataValidation>
        <x14:dataValidation type="list" allowBlank="1" showInputMessage="1" showErrorMessage="1" xr:uid="{CE4CB50D-3AAF-4C1B-8B4F-DC66FC59B4EA}">
          <x14:formula1>
            <xm:f>Classes!A2:A4</xm:f>
          </x14:formula1>
          <xm:sqref>E916</xm:sqref>
        </x14:dataValidation>
        <x14:dataValidation type="list" allowBlank="1" showInputMessage="1" showErrorMessage="1" xr:uid="{0549ABFE-689A-4E04-B659-E6E2540FE10B}">
          <x14:formula1>
            <xm:f>ReferentsDPT!A2:A16</xm:f>
          </x14:formula1>
          <xm:sqref>B918</xm:sqref>
        </x14:dataValidation>
        <x14:dataValidation type="list" allowBlank="1" showInputMessage="1" showErrorMessage="1" xr:uid="{575F42F0-724B-4CEA-9322-B651C1BEA6E9}">
          <x14:formula1>
            <xm:f>Classes!A2:A4</xm:f>
          </x14:formula1>
          <xm:sqref>E917</xm:sqref>
        </x14:dataValidation>
        <x14:dataValidation type="list" allowBlank="1" showInputMessage="1" showErrorMessage="1" xr:uid="{3C05F360-FF9E-4484-8F3F-2084DF7227E6}">
          <x14:formula1>
            <xm:f>Classes!A2:A4</xm:f>
          </x14:formula1>
          <xm:sqref>E918</xm:sqref>
        </x14:dataValidation>
        <x14:dataValidation type="list" allowBlank="1" showInputMessage="1" showErrorMessage="1" xr:uid="{C024C514-ED82-45E9-BA39-BD37A3F34C18}">
          <x14:formula1>
            <xm:f>Classes!A2:A4</xm:f>
          </x14:formula1>
          <xm:sqref>E919</xm:sqref>
        </x14:dataValidation>
        <x14:dataValidation type="list" allowBlank="1" showInputMessage="1" showErrorMessage="1" xr:uid="{0AF226B4-1E5D-4580-8556-54940C2FF867}">
          <x14:formula1>
            <xm:f>Classes!A2:A4</xm:f>
          </x14:formula1>
          <xm:sqref>E920</xm:sqref>
        </x14:dataValidation>
        <x14:dataValidation type="list" allowBlank="1" showInputMessage="1" showErrorMessage="1" xr:uid="{12888FB4-DF52-4648-BFA2-493DE7C8292D}">
          <x14:formula1>
            <xm:f>Classes!A2:A4</xm:f>
          </x14:formula1>
          <xm:sqref>E921</xm:sqref>
        </x14:dataValidation>
        <x14:dataValidation type="list" allowBlank="1" showInputMessage="1" showErrorMessage="1" xr:uid="{24004D16-7C72-4290-A662-9F38205D413F}">
          <x14:formula1>
            <xm:f>Classes!A2:A4</xm:f>
          </x14:formula1>
          <xm:sqref>E922</xm:sqref>
        </x14:dataValidation>
        <x14:dataValidation type="list" allowBlank="1" showInputMessage="1" showErrorMessage="1" xr:uid="{FD4EAE32-ACEB-4540-80DF-999E60295088}">
          <x14:formula1>
            <xm:f>ReferentsDPT!A2:A16</xm:f>
          </x14:formula1>
          <xm:sqref>B924</xm:sqref>
        </x14:dataValidation>
        <x14:dataValidation type="list" allowBlank="1" showInputMessage="1" showErrorMessage="1" xr:uid="{7C5EE664-DE91-4461-8990-6E4ECB1CBF73}">
          <x14:formula1>
            <xm:f>Classes!A2:A4</xm:f>
          </x14:formula1>
          <xm:sqref>E923</xm:sqref>
        </x14:dataValidation>
        <x14:dataValidation type="list" allowBlank="1" showInputMessage="1" showErrorMessage="1" xr:uid="{6E82E31E-6205-43BA-9988-8A3E5AC83EE6}">
          <x14:formula1>
            <xm:f>ReferentsDPT!A2:A16</xm:f>
          </x14:formula1>
          <xm:sqref>B925</xm:sqref>
        </x14:dataValidation>
        <x14:dataValidation type="list" allowBlank="1" showInputMessage="1" showErrorMessage="1" xr:uid="{65E8EE45-D7AC-4431-BBE1-A6893E9C9CC8}">
          <x14:formula1>
            <xm:f>Classes!A2:A4</xm:f>
          </x14:formula1>
          <xm:sqref>E924</xm:sqref>
        </x14:dataValidation>
        <x14:dataValidation type="list" allowBlank="1" showInputMessage="1" showErrorMessage="1" xr:uid="{3BE56A89-D036-47CA-B77B-5FAAC34E97F1}">
          <x14:formula1>
            <xm:f>Classes!A2:A4</xm:f>
          </x14:formula1>
          <xm:sqref>E925</xm:sqref>
        </x14:dataValidation>
        <x14:dataValidation type="list" allowBlank="1" showInputMessage="1" showErrorMessage="1" xr:uid="{D2BC7F17-EFA4-469E-8406-743FB4102E85}">
          <x14:formula1>
            <xm:f>Classes!A2:A4</xm:f>
          </x14:formula1>
          <xm:sqref>E926</xm:sqref>
        </x14:dataValidation>
        <x14:dataValidation type="list" allowBlank="1" showInputMessage="1" showErrorMessage="1" xr:uid="{AFA6279D-253B-4B62-AA06-1894F1771BE9}">
          <x14:formula1>
            <xm:f>ReferentsDPT!A2:A16</xm:f>
          </x14:formula1>
          <xm:sqref>B927</xm:sqref>
        </x14:dataValidation>
        <x14:dataValidation type="list" allowBlank="1" showInputMessage="1" showErrorMessage="1" xr:uid="{1B64DFBF-3A8C-475A-A6C0-3E341D8DC7B4}">
          <x14:formula1>
            <xm:f>Classes!A2:A4</xm:f>
          </x14:formula1>
          <xm:sqref>E927</xm:sqref>
        </x14:dataValidation>
        <x14:dataValidation type="list" allowBlank="1" showInputMessage="1" showErrorMessage="1" xr:uid="{E189B227-CB9A-4697-BF7A-878F6EB22CA2}">
          <x14:formula1>
            <xm:f>Classes!A2:A4</xm:f>
          </x14:formula1>
          <xm:sqref>E928</xm:sqref>
        </x14:dataValidation>
        <x14:dataValidation type="list" allowBlank="1" showInputMessage="1" showErrorMessage="1" xr:uid="{DB5C0716-9083-4DA1-8F14-EF7B6517C404}">
          <x14:formula1>
            <xm:f>Classes!A2:A4</xm:f>
          </x14:formula1>
          <xm:sqref>E929</xm:sqref>
        </x14:dataValidation>
        <x14:dataValidation type="list" allowBlank="1" showInputMessage="1" showErrorMessage="1" xr:uid="{B6FD1830-60E2-4596-A7D1-6393B7DB7CED}">
          <x14:formula1>
            <xm:f>Classes!A2:A4</xm:f>
          </x14:formula1>
          <xm:sqref>E930</xm:sqref>
        </x14:dataValidation>
        <x14:dataValidation type="list" allowBlank="1" showInputMessage="1" showErrorMessage="1" xr:uid="{943923B2-87BF-43B4-9BA3-36FAC0097204}">
          <x14:formula1>
            <xm:f>Classes!A2:A4</xm:f>
          </x14:formula1>
          <xm:sqref>E931</xm:sqref>
        </x14:dataValidation>
        <x14:dataValidation type="list" allowBlank="1" showInputMessage="1" showErrorMessage="1" xr:uid="{993437F2-B55E-4DA3-AF24-AEED17C9678D}">
          <x14:formula1>
            <xm:f>ReferentsDPT!A2:A16</xm:f>
          </x14:formula1>
          <xm:sqref>B932</xm:sqref>
        </x14:dataValidation>
        <x14:dataValidation type="list" allowBlank="1" showInputMessage="1" showErrorMessage="1" xr:uid="{51E49586-5787-4ED5-B8E6-8C6F7D2D4835}">
          <x14:formula1>
            <xm:f>Classes!A2:A4</xm:f>
          </x14:formula1>
          <xm:sqref>E932</xm:sqref>
        </x14:dataValidation>
        <x14:dataValidation type="list" allowBlank="1" showInputMessage="1" showErrorMessage="1" xr:uid="{5BA92FC4-2A4E-49A6-ABC8-01EBE6B5F4A2}">
          <x14:formula1>
            <xm:f>Classes!A2:A4</xm:f>
          </x14:formula1>
          <xm:sqref>E933</xm:sqref>
        </x14:dataValidation>
        <x14:dataValidation type="list" allowBlank="1" showInputMessage="1" showErrorMessage="1" xr:uid="{8F38E1D6-26D8-4CBC-AC4D-7A630A52A6A5}">
          <x14:formula1>
            <xm:f>Classes!A2:A4</xm:f>
          </x14:formula1>
          <xm:sqref>E934</xm:sqref>
        </x14:dataValidation>
        <x14:dataValidation type="list" allowBlank="1" showInputMessage="1" showErrorMessage="1" xr:uid="{2405B7CC-D07C-45B8-BD5D-103C184CE9C5}">
          <x14:formula1>
            <xm:f>ReferentsDPT!A2:A16</xm:f>
          </x14:formula1>
          <xm:sqref>B936</xm:sqref>
        </x14:dataValidation>
        <x14:dataValidation type="list" allowBlank="1" showInputMessage="1" showErrorMessage="1" xr:uid="{F198F47F-FF52-4031-85C4-2A339CC48BF2}">
          <x14:formula1>
            <xm:f>Classes!A2:A4</xm:f>
          </x14:formula1>
          <xm:sqref>E935</xm:sqref>
        </x14:dataValidation>
        <x14:dataValidation type="list" allowBlank="1" showInputMessage="1" showErrorMessage="1" xr:uid="{1EF5BC19-5740-4DEA-86BD-28E2F41E76ED}">
          <x14:formula1>
            <xm:f>Classes!A2:A4</xm:f>
          </x14:formula1>
          <xm:sqref>E936</xm:sqref>
        </x14:dataValidation>
        <x14:dataValidation type="list" allowBlank="1" showInputMessage="1" showErrorMessage="1" xr:uid="{EC181187-53F2-4C1A-8992-14B5F6B71034}">
          <x14:formula1>
            <xm:f>ReferentsDPT!A2:A16</xm:f>
          </x14:formula1>
          <xm:sqref>B937</xm:sqref>
        </x14:dataValidation>
        <x14:dataValidation type="list" allowBlank="1" showInputMessage="1" showErrorMessage="1" xr:uid="{EEA1A25F-379D-4F83-8E58-3AC6199AE78F}">
          <x14:formula1>
            <xm:f>Classes!A2:A4</xm:f>
          </x14:formula1>
          <xm:sqref>E937</xm:sqref>
        </x14:dataValidation>
        <x14:dataValidation type="list" allowBlank="1" showInputMessage="1" showErrorMessage="1" xr:uid="{229C2551-A9D8-4A66-AD19-377BFE612980}">
          <x14:formula1>
            <xm:f>ReferentsDPT!A2:A16</xm:f>
          </x14:formula1>
          <xm:sqref>B939</xm:sqref>
        </x14:dataValidation>
        <x14:dataValidation type="list" allowBlank="1" showInputMessage="1" showErrorMessage="1" xr:uid="{67AB1978-71E1-424E-AD9A-ADD8A50D1EF1}">
          <x14:formula1>
            <xm:f>Classes!A2:A4</xm:f>
          </x14:formula1>
          <xm:sqref>E938</xm:sqref>
        </x14:dataValidation>
        <x14:dataValidation type="list" allowBlank="1" showInputMessage="1" showErrorMessage="1" xr:uid="{5EEBA2FF-5E5F-4C77-B003-D5A59BF64DD0}">
          <x14:formula1>
            <xm:f>Classes!A2:A4</xm:f>
          </x14:formula1>
          <xm:sqref>E939</xm:sqref>
        </x14:dataValidation>
        <x14:dataValidation type="list" allowBlank="1" showInputMessage="1" showErrorMessage="1" xr:uid="{0139FE37-5894-44F5-9732-8E2228B1ECF7}">
          <x14:formula1>
            <xm:f>Classes!A2:A4</xm:f>
          </x14:formula1>
          <xm:sqref>E940</xm:sqref>
        </x14:dataValidation>
        <x14:dataValidation type="list" allowBlank="1" showInputMessage="1" showErrorMessage="1" xr:uid="{E2539899-2DB0-4F74-83FC-FD8B2C0768F0}">
          <x14:formula1>
            <xm:f>ReferentsDPT!A2:A16</xm:f>
          </x14:formula1>
          <xm:sqref>B941</xm:sqref>
        </x14:dataValidation>
        <x14:dataValidation type="list" allowBlank="1" showInputMessage="1" showErrorMessage="1" xr:uid="{8889DACA-255D-4450-9AD4-AFB820EE7C53}">
          <x14:formula1>
            <xm:f>Classes!A2:A4</xm:f>
          </x14:formula1>
          <xm:sqref>E941</xm:sqref>
        </x14:dataValidation>
        <x14:dataValidation type="list" allowBlank="1" showInputMessage="1" showErrorMessage="1" xr:uid="{DBA3054E-E236-42EA-A710-F21935C691DB}">
          <x14:formula1>
            <xm:f>ReferentsDPT!A2:A16</xm:f>
          </x14:formula1>
          <xm:sqref>B942</xm:sqref>
        </x14:dataValidation>
        <x14:dataValidation type="list" allowBlank="1" showInputMessage="1" showErrorMessage="1" xr:uid="{F25E0B8B-2A69-495E-95BA-58AD3AF8E644}">
          <x14:formula1>
            <xm:f>ReferentsDPT!A2:A16</xm:f>
          </x14:formula1>
          <xm:sqref>B944</xm:sqref>
        </x14:dataValidation>
        <x14:dataValidation type="list" allowBlank="1" showInputMessage="1" showErrorMessage="1" xr:uid="{7978AA5D-7088-4818-9493-5EB2E91F6955}">
          <x14:formula1>
            <xm:f>ReferentsDPT!A2:A16</xm:f>
          </x14:formula1>
          <xm:sqref>B943</xm:sqref>
        </x14:dataValidation>
        <x14:dataValidation type="list" allowBlank="1" showInputMessage="1" showErrorMessage="1" xr:uid="{360EC9D5-2FAC-4D23-9D04-A1177031452B}">
          <x14:formula1>
            <xm:f>Classes!A2:A4</xm:f>
          </x14:formula1>
          <xm:sqref>E942</xm:sqref>
        </x14:dataValidation>
        <x14:dataValidation type="list" allowBlank="1" showInputMessage="1" showErrorMessage="1" xr:uid="{3DF0614A-0D11-4BCC-A269-9B621C65F87F}">
          <x14:formula1>
            <xm:f>Classes!A2:A4</xm:f>
          </x14:formula1>
          <xm:sqref>E943</xm:sqref>
        </x14:dataValidation>
        <x14:dataValidation type="list" allowBlank="1" showInputMessage="1" showErrorMessage="1" xr:uid="{2A130EFC-7A4C-44CB-9749-779D84D84735}">
          <x14:formula1>
            <xm:f>Classes!A2:A4</xm:f>
          </x14:formula1>
          <xm:sqref>E944</xm:sqref>
        </x14:dataValidation>
        <x14:dataValidation type="list" allowBlank="1" showInputMessage="1" showErrorMessage="1" xr:uid="{639DBE1C-F227-45EB-8908-9AC37FEDAAD2}">
          <x14:formula1>
            <xm:f>Classes!A2:A4</xm:f>
          </x14:formula1>
          <xm:sqref>E945</xm:sqref>
        </x14:dataValidation>
        <x14:dataValidation type="list" allowBlank="1" showInputMessage="1" showErrorMessage="1" xr:uid="{E5441299-DB70-4B76-B8E3-3F254B5CB4A3}">
          <x14:formula1>
            <xm:f>Classes!A2:A4</xm:f>
          </x14:formula1>
          <xm:sqref>E946</xm:sqref>
        </x14:dataValidation>
        <x14:dataValidation type="list" allowBlank="1" showInputMessage="1" showErrorMessage="1" xr:uid="{353CD04F-F2C8-42AA-87BD-44297013BBF8}">
          <x14:formula1>
            <xm:f>Classes!A2:A4</xm:f>
          </x14:formula1>
          <xm:sqref>E947</xm:sqref>
        </x14:dataValidation>
        <x14:dataValidation type="list" allowBlank="1" showInputMessage="1" showErrorMessage="1" xr:uid="{A68A8E48-FAB6-41AF-8064-ABDC40DFB797}">
          <x14:formula1>
            <xm:f>Classes!A2:A4</xm:f>
          </x14:formula1>
          <xm:sqref>E948</xm:sqref>
        </x14:dataValidation>
        <x14:dataValidation type="list" allowBlank="1" showInputMessage="1" showErrorMessage="1" xr:uid="{E564E4B8-3D6F-43AB-B146-360EFC7BBF74}">
          <x14:formula1>
            <xm:f>Classes!A2:A4</xm:f>
          </x14:formula1>
          <xm:sqref>E949</xm:sqref>
        </x14:dataValidation>
        <x14:dataValidation type="list" allowBlank="1" showInputMessage="1" showErrorMessage="1" xr:uid="{D68464A3-56A1-4ACD-A0F4-5BCF5D40F42A}">
          <x14:formula1>
            <xm:f>ReferentsDPT!A2:A16</xm:f>
          </x14:formula1>
          <xm:sqref>B950</xm:sqref>
        </x14:dataValidation>
        <x14:dataValidation type="list" allowBlank="1" showInputMessage="1" showErrorMessage="1" xr:uid="{866D3EF6-51CC-447A-897B-139815AD0EB0}">
          <x14:formula1>
            <xm:f>Classes!A2:A4</xm:f>
          </x14:formula1>
          <xm:sqref>E950</xm:sqref>
        </x14:dataValidation>
        <x14:dataValidation type="list" allowBlank="1" showInputMessage="1" showErrorMessage="1" xr:uid="{52235DB0-0B7A-43B7-B0B9-42548564D4D2}">
          <x14:formula1>
            <xm:f>Classes!A2:A4</xm:f>
          </x14:formula1>
          <xm:sqref>E951</xm:sqref>
        </x14:dataValidation>
        <x14:dataValidation type="list" allowBlank="1" showInputMessage="1" showErrorMessage="1" xr:uid="{985337AC-D3B5-48B8-917E-4A04005DA8DC}">
          <x14:formula1>
            <xm:f>Classes!A2:A4</xm:f>
          </x14:formula1>
          <xm:sqref>E952</xm:sqref>
        </x14:dataValidation>
        <x14:dataValidation type="list" allowBlank="1" showInputMessage="1" showErrorMessage="1" xr:uid="{F4180204-55F0-4362-997B-25DB721AC222}">
          <x14:formula1>
            <xm:f>ReferentsDPT!A2:A16</xm:f>
          </x14:formula1>
          <xm:sqref>B953</xm:sqref>
        </x14:dataValidation>
        <x14:dataValidation type="list" allowBlank="1" showInputMessage="1" showErrorMessage="1" xr:uid="{2A95850A-A632-459B-B3F8-F6C6C5AC144D}">
          <x14:formula1>
            <xm:f>Classes!A2:A4</xm:f>
          </x14:formula1>
          <xm:sqref>E953</xm:sqref>
        </x14:dataValidation>
        <x14:dataValidation type="list" allowBlank="1" showInputMessage="1" showErrorMessage="1" xr:uid="{185E525B-9AA7-41F9-9C1E-0D940D9D4931}">
          <x14:formula1>
            <xm:f>Classes!A2:A4</xm:f>
          </x14:formula1>
          <xm:sqref>E954</xm:sqref>
        </x14:dataValidation>
        <x14:dataValidation type="list" allowBlank="1" showInputMessage="1" showErrorMessage="1" xr:uid="{50920E3A-3C10-49C1-9439-7E597728B893}">
          <x14:formula1>
            <xm:f>ReferentsDPT!A2:A16</xm:f>
          </x14:formula1>
          <xm:sqref>B957</xm:sqref>
        </x14:dataValidation>
        <x14:dataValidation type="list" allowBlank="1" showInputMessage="1" showErrorMessage="1" xr:uid="{6A56E365-DE52-48F3-876D-F526D2708C44}">
          <x14:formula1>
            <xm:f>ReferentsDPT!A2:A16</xm:f>
          </x14:formula1>
          <xm:sqref>B958</xm:sqref>
        </x14:dataValidation>
        <x14:dataValidation type="list" allowBlank="1" showInputMessage="1" showErrorMessage="1" xr:uid="{02680BCE-29B4-4DD1-B6F6-FD15846784D0}">
          <x14:formula1>
            <xm:f>ReferentsDPT!A2:A16</xm:f>
          </x14:formula1>
          <xm:sqref>B956</xm:sqref>
        </x14:dataValidation>
        <x14:dataValidation type="list" allowBlank="1" showInputMessage="1" showErrorMessage="1" xr:uid="{BF277D44-0B4F-4273-9CEB-A7D2F90CA628}">
          <x14:formula1>
            <xm:f>Classes!A2:A4</xm:f>
          </x14:formula1>
          <xm:sqref>E955</xm:sqref>
        </x14:dataValidation>
        <x14:dataValidation type="list" allowBlank="1" showInputMessage="1" showErrorMessage="1" xr:uid="{600C83B3-43EE-4C8D-84FA-BB8B7C66579E}">
          <x14:formula1>
            <xm:f>Classes!A2:A4</xm:f>
          </x14:formula1>
          <xm:sqref>E956</xm:sqref>
        </x14:dataValidation>
        <x14:dataValidation type="list" allowBlank="1" showInputMessage="1" showErrorMessage="1" xr:uid="{DEBDE9F7-F872-43CC-9501-977F22D1EADE}">
          <x14:formula1>
            <xm:f>Classes!A2:A4</xm:f>
          </x14:formula1>
          <xm:sqref>E957</xm:sqref>
        </x14:dataValidation>
        <x14:dataValidation type="list" allowBlank="1" showInputMessage="1" showErrorMessage="1" xr:uid="{3EB76CF8-8F5D-450A-BA0D-C4914878DAC7}">
          <x14:formula1>
            <xm:f>Classes!A2:A4</xm:f>
          </x14:formula1>
          <xm:sqref>E958</xm:sqref>
        </x14:dataValidation>
        <x14:dataValidation type="list" allowBlank="1" showInputMessage="1" showErrorMessage="1" xr:uid="{F879BD1C-3067-4499-A058-FDD98967C7F0}">
          <x14:formula1>
            <xm:f>Classes!A2:A4</xm:f>
          </x14:formula1>
          <xm:sqref>E960</xm:sqref>
        </x14:dataValidation>
        <x14:dataValidation type="list" allowBlank="1" showInputMessage="1" showErrorMessage="1" xr:uid="{01714C78-EC2D-44FD-907F-3F22AC2BD4F1}">
          <x14:formula1>
            <xm:f>Classes!A2:A4</xm:f>
          </x14:formula1>
          <xm:sqref>E961</xm:sqref>
        </x14:dataValidation>
        <x14:dataValidation type="list" allowBlank="1" showInputMessage="1" showErrorMessage="1" xr:uid="{6FF4AD2E-0256-478F-B771-90D65ED10FE1}">
          <x14:formula1>
            <xm:f>ReferentsDPT!A2:A16</xm:f>
          </x14:formula1>
          <xm:sqref>B962</xm:sqref>
        </x14:dataValidation>
        <x14:dataValidation type="list" allowBlank="1" showInputMessage="1" showErrorMessage="1" xr:uid="{27DAD32D-4AFD-4F12-A7CF-81780DCC9FE3}">
          <x14:formula1>
            <xm:f>ReferentsDPT!A2:A16</xm:f>
          </x14:formula1>
          <xm:sqref>B963</xm:sqref>
        </x14:dataValidation>
        <x14:dataValidation type="list" allowBlank="1" showInputMessage="1" showErrorMessage="1" xr:uid="{BB32C070-691D-43A5-8AA1-E64B1C8850CC}">
          <x14:formula1>
            <xm:f>Classes!A2:A4</xm:f>
          </x14:formula1>
          <xm:sqref>E962</xm:sqref>
        </x14:dataValidation>
        <x14:dataValidation type="list" allowBlank="1" showInputMessage="1" showErrorMessage="1" xr:uid="{FD24FF03-3236-4ED6-9BAA-69550186F1D2}">
          <x14:formula1>
            <xm:f>Classes!A2:A4</xm:f>
          </x14:formula1>
          <xm:sqref>E963</xm:sqref>
        </x14:dataValidation>
        <x14:dataValidation type="list" allowBlank="1" showInputMessage="1" showErrorMessage="1" xr:uid="{E32E6FF1-ED12-41FF-9310-B3F3981C3BA9}">
          <x14:formula1>
            <xm:f>Classes!A2:A4</xm:f>
          </x14:formula1>
          <xm:sqref>E964</xm:sqref>
        </x14:dataValidation>
        <x14:dataValidation type="list" allowBlank="1" showInputMessage="1" showErrorMessage="1" xr:uid="{0F97713B-1190-4700-B781-AD4BE2BBDDC5}">
          <x14:formula1>
            <xm:f>Classes!A2:A4</xm:f>
          </x14:formula1>
          <xm:sqref>E965</xm:sqref>
        </x14:dataValidation>
        <x14:dataValidation type="list" allowBlank="1" showInputMessage="1" showErrorMessage="1" xr:uid="{D378E82C-764A-4F21-966D-8CC3CF9039DB}">
          <x14:formula1>
            <xm:f>Classes!A2:A4</xm:f>
          </x14:formula1>
          <xm:sqref>E966</xm:sqref>
        </x14:dataValidation>
        <x14:dataValidation type="list" allowBlank="1" showInputMessage="1" showErrorMessage="1" xr:uid="{9720CFBE-2169-48D1-84B3-4B3CD9B20360}">
          <x14:formula1>
            <xm:f>Classes!A2:A4</xm:f>
          </x14:formula1>
          <xm:sqref>E967</xm:sqref>
        </x14:dataValidation>
        <x14:dataValidation type="list" allowBlank="1" showInputMessage="1" showErrorMessage="1" xr:uid="{99BA81F1-53A8-4F89-BA7D-575DBE86C7BC}">
          <x14:formula1>
            <xm:f>Classes!A2:A4</xm:f>
          </x14:formula1>
          <xm:sqref>E968</xm:sqref>
        </x14:dataValidation>
        <x14:dataValidation type="list" allowBlank="1" showInputMessage="1" showErrorMessage="1" xr:uid="{F4515333-55B7-45ED-9DA3-2A32CA895E61}">
          <x14:formula1>
            <xm:f>Classes!A2:A4</xm:f>
          </x14:formula1>
          <xm:sqref>E969</xm:sqref>
        </x14:dataValidation>
        <x14:dataValidation type="list" allowBlank="1" showInputMessage="1" showErrorMessage="1" xr:uid="{367ECE57-3BC3-482A-A84F-4CE6E0C48826}">
          <x14:formula1>
            <xm:f>Classes!A2:A4</xm:f>
          </x14:formula1>
          <xm:sqref>E970</xm:sqref>
        </x14:dataValidation>
        <x14:dataValidation type="list" allowBlank="1" showInputMessage="1" showErrorMessage="1" xr:uid="{A994CB72-8B10-4682-A8B9-2F693C7E867C}">
          <x14:formula1>
            <xm:f>Classes!A2:A4</xm:f>
          </x14:formula1>
          <xm:sqref>E971</xm:sqref>
        </x14:dataValidation>
        <x14:dataValidation type="list" allowBlank="1" showInputMessage="1" showErrorMessage="1" xr:uid="{02DF05A8-4586-4492-90EE-48D7DC057229}">
          <x14:formula1>
            <xm:f>Classes!A2:A4</xm:f>
          </x14:formula1>
          <xm:sqref>E972</xm:sqref>
        </x14:dataValidation>
        <x14:dataValidation type="list" allowBlank="1" showInputMessage="1" showErrorMessage="1" xr:uid="{5D23D5A9-FA0D-4CAF-9D49-89A0D6FA19E7}">
          <x14:formula1>
            <xm:f>Classes!A2:A4</xm:f>
          </x14:formula1>
          <xm:sqref>E973</xm:sqref>
        </x14:dataValidation>
        <x14:dataValidation type="list" allowBlank="1" showInputMessage="1" showErrorMessage="1" xr:uid="{2CFED2A3-3F89-44AD-A3EA-71BCFDB1A7FC}">
          <x14:formula1>
            <xm:f>Classes!A2:A4</xm:f>
          </x14:formula1>
          <xm:sqref>E974</xm:sqref>
        </x14:dataValidation>
        <x14:dataValidation type="list" allowBlank="1" showInputMessage="1" showErrorMessage="1" xr:uid="{D4C11094-847B-44B1-AB44-25F6C2576853}">
          <x14:formula1>
            <xm:f>ReferentsDPT!A2:A16</xm:f>
          </x14:formula1>
          <xm:sqref>B974</xm:sqref>
        </x14:dataValidation>
        <x14:dataValidation type="list" allowBlank="1" showInputMessage="1" showErrorMessage="1" xr:uid="{DE1E42E3-9563-4990-91F0-F95B8A9C437B}">
          <x14:formula1>
            <xm:f>ReferentsDPT!A2:A16</xm:f>
          </x14:formula1>
          <xm:sqref>B975</xm:sqref>
        </x14:dataValidation>
        <x14:dataValidation type="list" allowBlank="1" showInputMessage="1" showErrorMessage="1" xr:uid="{41158EE9-2E51-48FC-BD41-D3C8DED63393}">
          <x14:formula1>
            <xm:f>Classes!A2:A4</xm:f>
          </x14:formula1>
          <xm:sqref>E975</xm:sqref>
        </x14:dataValidation>
        <x14:dataValidation type="list" allowBlank="1" showInputMessage="1" showErrorMessage="1" xr:uid="{876854FA-0A63-403D-8DF0-73A0AFFFFE58}">
          <x14:formula1>
            <xm:f>ReferentsDPT!A2:A16</xm:f>
          </x14:formula1>
          <xm:sqref>B1502</xm:sqref>
        </x14:dataValidation>
        <x14:dataValidation type="list" allowBlank="1" showInputMessage="1" showErrorMessage="1" xr:uid="{1592D345-1A5C-4BC6-B07B-90F992FA5F88}">
          <x14:formula1>
            <xm:f>Classes!A2:A4</xm:f>
          </x14:formula1>
          <xm:sqref>E976</xm:sqref>
        </x14:dataValidation>
        <x14:dataValidation type="list" allowBlank="1" showInputMessage="1" showErrorMessage="1" xr:uid="{EFDEDCF2-C33F-4226-AB7B-4609B7830685}">
          <x14:formula1>
            <xm:f>Classes!A2:A4</xm:f>
          </x14:formula1>
          <xm:sqref>E977</xm:sqref>
        </x14:dataValidation>
        <x14:dataValidation type="list" allowBlank="1" showInputMessage="1" showErrorMessage="1" xr:uid="{5814532D-C5C6-4395-B54F-7AE18987AFAF}">
          <x14:formula1>
            <xm:f>Classes!A2:A4</xm:f>
          </x14:formula1>
          <xm:sqref>E978</xm:sqref>
        </x14:dataValidation>
        <x14:dataValidation type="list" allowBlank="1" showInputMessage="1" showErrorMessage="1" xr:uid="{4807B1AA-C5F8-4AB1-AB95-C937CEB22BB1}">
          <x14:formula1>
            <xm:f>Classes!A2:A4</xm:f>
          </x14:formula1>
          <xm:sqref>E979</xm:sqref>
        </x14:dataValidation>
        <x14:dataValidation type="list" allowBlank="1" showInputMessage="1" showErrorMessage="1" xr:uid="{B5A948D3-876A-4219-A630-1F1ED807814F}">
          <x14:formula1>
            <xm:f>Classes!A2:A4</xm:f>
          </x14:formula1>
          <xm:sqref>E980</xm:sqref>
        </x14:dataValidation>
        <x14:dataValidation type="list" allowBlank="1" showInputMessage="1" showErrorMessage="1" xr:uid="{1378F085-2592-4D82-99F0-D84AAFCBFAA3}">
          <x14:formula1>
            <xm:f>Classes!A2:A4</xm:f>
          </x14:formula1>
          <xm:sqref>E981</xm:sqref>
        </x14:dataValidation>
        <x14:dataValidation type="list" allowBlank="1" showInputMessage="1" showErrorMessage="1" xr:uid="{723AA0B0-0793-47A4-927F-2662612E49FC}">
          <x14:formula1>
            <xm:f>Classes!A2:A4</xm:f>
          </x14:formula1>
          <xm:sqref>E982</xm:sqref>
        </x14:dataValidation>
        <x14:dataValidation type="list" allowBlank="1" showInputMessage="1" showErrorMessage="1" xr:uid="{7B5225F0-63BC-4AE2-8F1E-11A9E3BDCC17}">
          <x14:formula1>
            <xm:f>ReferentsDPT!A2:A16</xm:f>
          </x14:formula1>
          <xm:sqref>B983</xm:sqref>
        </x14:dataValidation>
        <x14:dataValidation type="list" allowBlank="1" showInputMessage="1" showErrorMessage="1" xr:uid="{AB6C5716-CDBB-4401-8142-FC0531C2E83B}">
          <x14:formula1>
            <xm:f>Classes!A2:A4</xm:f>
          </x14:formula1>
          <xm:sqref>E983</xm:sqref>
        </x14:dataValidation>
        <x14:dataValidation type="list" allowBlank="1" showInputMessage="1" showErrorMessage="1" xr:uid="{3858BC54-86CA-4CC8-A9B7-D17282594582}">
          <x14:formula1>
            <xm:f>Classes!A2:A4</xm:f>
          </x14:formula1>
          <xm:sqref>E984</xm:sqref>
        </x14:dataValidation>
        <x14:dataValidation type="list" allowBlank="1" showInputMessage="1" showErrorMessage="1" xr:uid="{1A61DB6F-C776-428A-9E14-017DB2346809}">
          <x14:formula1>
            <xm:f>ReferentsDPT!A2:A16</xm:f>
          </x14:formula1>
          <xm:sqref>B1495</xm:sqref>
        </x14:dataValidation>
        <x14:dataValidation type="list" allowBlank="1" showInputMessage="1" showErrorMessage="1" xr:uid="{38E5FEF2-D2A1-4C22-8DA0-E6CCD7325FC3}">
          <x14:formula1>
            <xm:f>Classes!A2:A4</xm:f>
          </x14:formula1>
          <xm:sqref>E985</xm:sqref>
        </x14:dataValidation>
        <x14:dataValidation type="list" allowBlank="1" showInputMessage="1" showErrorMessage="1" xr:uid="{7FB2298D-0388-474D-BB24-DE2F112E70C0}">
          <x14:formula1>
            <xm:f>Classes!A2:A4</xm:f>
          </x14:formula1>
          <xm:sqref>E986</xm:sqref>
        </x14:dataValidation>
        <x14:dataValidation type="list" allowBlank="1" showInputMessage="1" showErrorMessage="1" xr:uid="{78FCF79C-889A-4808-8916-45FE5C278FB6}">
          <x14:formula1>
            <xm:f>Classes!A2:A4</xm:f>
          </x14:formula1>
          <xm:sqref>E1005</xm:sqref>
        </x14:dataValidation>
        <x14:dataValidation type="list" allowBlank="1" showInputMessage="1" showErrorMessage="1" xr:uid="{9789D414-FBB8-43E5-B2FE-20395A41AB9F}">
          <x14:formula1>
            <xm:f>Classes!A2:A4</xm:f>
          </x14:formula1>
          <xm:sqref>E987</xm:sqref>
        </x14:dataValidation>
        <x14:dataValidation type="list" allowBlank="1" showInputMessage="1" showErrorMessage="1" xr:uid="{58E30420-B5AE-4A54-8173-1C44A3857D44}">
          <x14:formula1>
            <xm:f>Classes!A2:A4</xm:f>
          </x14:formula1>
          <xm:sqref>E1006</xm:sqref>
        </x14:dataValidation>
        <x14:dataValidation type="list" allowBlank="1" showInputMessage="1" showErrorMessage="1" xr:uid="{EA2767E9-0FCA-4151-B8A2-C4313849A47F}">
          <x14:formula1>
            <xm:f>Classes!A2:A4</xm:f>
          </x14:formula1>
          <xm:sqref>E1007</xm:sqref>
        </x14:dataValidation>
        <x14:dataValidation type="list" allowBlank="1" showInputMessage="1" showErrorMessage="1" xr:uid="{633FEB34-5A7A-4ED7-B1A2-25B5F6F3400F}">
          <x14:formula1>
            <xm:f>Classes!A2:A4</xm:f>
          </x14:formula1>
          <xm:sqref>E988</xm:sqref>
        </x14:dataValidation>
        <x14:dataValidation type="list" allowBlank="1" showInputMessage="1" showErrorMessage="1" xr:uid="{1979A49E-11A2-436E-9BE1-B6D3B3883970}">
          <x14:formula1>
            <xm:f>Classes!A2:A4</xm:f>
          </x14:formula1>
          <xm:sqref>E989</xm:sqref>
        </x14:dataValidation>
        <x14:dataValidation type="list" allowBlank="1" showInputMessage="1" showErrorMessage="1" xr:uid="{58316EB3-14DE-4E51-8C79-AD4D7BDB7E64}">
          <x14:formula1>
            <xm:f>Classes!A2:A4</xm:f>
          </x14:formula1>
          <xm:sqref>E990</xm:sqref>
        </x14:dataValidation>
        <x14:dataValidation type="list" allowBlank="1" showInputMessage="1" showErrorMessage="1" xr:uid="{DF55EF5F-E9DC-4233-B400-233F733D4121}">
          <x14:formula1>
            <xm:f>Classes!A2:A4</xm:f>
          </x14:formula1>
          <xm:sqref>E991</xm:sqref>
        </x14:dataValidation>
        <x14:dataValidation type="list" allowBlank="1" showInputMessage="1" showErrorMessage="1" xr:uid="{2BC4931D-3252-4AC2-BAA8-4666723E232D}">
          <x14:formula1>
            <xm:f>Classes!A2:A4</xm:f>
          </x14:formula1>
          <xm:sqref>E992</xm:sqref>
        </x14:dataValidation>
        <x14:dataValidation type="list" allowBlank="1" showInputMessage="1" showErrorMessage="1" xr:uid="{945A88E6-7604-4340-93B8-F591F457E043}">
          <x14:formula1>
            <xm:f>Classes!A2:A4</xm:f>
          </x14:formula1>
          <xm:sqref>E993</xm:sqref>
        </x14:dataValidation>
        <x14:dataValidation type="list" allowBlank="1" showInputMessage="1" showErrorMessage="1" xr:uid="{FF522971-32CE-40CB-A646-2A2BF044701E}">
          <x14:formula1>
            <xm:f>Classes!A2:A4</xm:f>
          </x14:formula1>
          <xm:sqref>E994</xm:sqref>
        </x14:dataValidation>
        <x14:dataValidation type="list" allowBlank="1" showInputMessage="1" showErrorMessage="1" xr:uid="{EA10C799-60FD-43B4-901F-AB160A15B526}">
          <x14:formula1>
            <xm:f>Classes!A2:A4</xm:f>
          </x14:formula1>
          <xm:sqref>E995</xm:sqref>
        </x14:dataValidation>
        <x14:dataValidation type="list" allowBlank="1" showInputMessage="1" showErrorMessage="1" xr:uid="{224F7351-F4A0-461E-BDBC-80365FFC6BC4}">
          <x14:formula1>
            <xm:f>Classes!A2:A4</xm:f>
          </x14:formula1>
          <xm:sqref>E996</xm:sqref>
        </x14:dataValidation>
        <x14:dataValidation type="list" allowBlank="1" showInputMessage="1" showErrorMessage="1" xr:uid="{2D7FB616-295B-482E-A8A3-7DD9AD2F6CE8}">
          <x14:formula1>
            <xm:f>Classes!A2:A4</xm:f>
          </x14:formula1>
          <xm:sqref>E997</xm:sqref>
        </x14:dataValidation>
        <x14:dataValidation type="list" allowBlank="1" showInputMessage="1" showErrorMessage="1" xr:uid="{96FA2863-39F8-4C74-BC6C-AE18EBDD6FFF}">
          <x14:formula1>
            <xm:f>Classes!A2:A4</xm:f>
          </x14:formula1>
          <xm:sqref>E998</xm:sqref>
        </x14:dataValidation>
        <x14:dataValidation type="list" allowBlank="1" showInputMessage="1" showErrorMessage="1" xr:uid="{1AB5DF79-8B7B-401C-8A50-E97AF41749CD}">
          <x14:formula1>
            <xm:f>Classes!A2:A4</xm:f>
          </x14:formula1>
          <xm:sqref>E999</xm:sqref>
        </x14:dataValidation>
        <x14:dataValidation type="list" allowBlank="1" showInputMessage="1" showErrorMessage="1" xr:uid="{25188040-131A-4422-8EE1-FDA96B4D4075}">
          <x14:formula1>
            <xm:f>Classes!A2:A4</xm:f>
          </x14:formula1>
          <xm:sqref>E1000</xm:sqref>
        </x14:dataValidation>
        <x14:dataValidation type="list" allowBlank="1" showInputMessage="1" showErrorMessage="1" xr:uid="{A2A29D00-A1D2-415F-BE34-1A9C43483E16}">
          <x14:formula1>
            <xm:f>Classes!A2:A4</xm:f>
          </x14:formula1>
          <xm:sqref>E1001</xm:sqref>
        </x14:dataValidation>
        <x14:dataValidation type="list" allowBlank="1" showInputMessage="1" showErrorMessage="1" xr:uid="{CCC92A92-5A86-4F21-B157-22BAEED9E2BF}">
          <x14:formula1>
            <xm:f>Classes!A2:A4</xm:f>
          </x14:formula1>
          <xm:sqref>E1002</xm:sqref>
        </x14:dataValidation>
        <x14:dataValidation type="list" allowBlank="1" showInputMessage="1" showErrorMessage="1" xr:uid="{4FAF0A8F-39DB-4AA7-A853-AB2B4CC9EEA8}">
          <x14:formula1>
            <xm:f>Classes!A2:A4</xm:f>
          </x14:formula1>
          <xm:sqref>E1003</xm:sqref>
        </x14:dataValidation>
        <x14:dataValidation type="list" allowBlank="1" showInputMessage="1" showErrorMessage="1" xr:uid="{856B83B1-90EB-43CD-A87B-8D6F8131343A}">
          <x14:formula1>
            <xm:f>Classes!A2:A4</xm:f>
          </x14:formula1>
          <xm:sqref>E1004</xm:sqref>
        </x14:dataValidation>
        <x14:dataValidation type="list" allowBlank="1" showInputMessage="1" showErrorMessage="1" xr:uid="{7A8F83C0-A629-4F31-879C-7C4CF5D5479E}">
          <x14:formula1>
            <xm:f>Classes!A2:A4</xm:f>
          </x14:formula1>
          <xm:sqref>E1011</xm:sqref>
        </x14:dataValidation>
        <x14:dataValidation type="list" allowBlank="1" showInputMessage="1" showErrorMessage="1" xr:uid="{8259C0F5-451B-460E-8638-FCF4D8A6F01C}">
          <x14:formula1>
            <xm:f>ReferentsDPT!A2:A16</xm:f>
          </x14:formula1>
          <xm:sqref>B1012</xm:sqref>
        </x14:dataValidation>
        <x14:dataValidation type="list" allowBlank="1" showInputMessage="1" showErrorMessage="1" xr:uid="{D7EE8578-0940-47AE-8DC4-E09EF3024BF4}">
          <x14:formula1>
            <xm:f>Classes!A2:A4</xm:f>
          </x14:formula1>
          <xm:sqref>E1012</xm:sqref>
        </x14:dataValidation>
        <x14:dataValidation type="list" allowBlank="1" showInputMessage="1" showErrorMessage="1" xr:uid="{A5A4594B-56C2-45E0-9DC1-4E21BC2A25EA}">
          <x14:formula1>
            <xm:f>Classes!A2:A4</xm:f>
          </x14:formula1>
          <xm:sqref>E1013</xm:sqref>
        </x14:dataValidation>
        <x14:dataValidation type="list" allowBlank="1" showInputMessage="1" showErrorMessage="1" xr:uid="{2648F671-CBBB-4165-AA0F-EE5A3D501914}">
          <x14:formula1>
            <xm:f>ReferentsDPT!A2:A16</xm:f>
          </x14:formula1>
          <xm:sqref>B1014</xm:sqref>
        </x14:dataValidation>
        <x14:dataValidation type="list" allowBlank="1" showInputMessage="1" showErrorMessage="1" xr:uid="{85EED3BD-EAFC-435F-8822-27C6C4033145}">
          <x14:formula1>
            <xm:f>ReferentsDPT!A2:A16</xm:f>
          </x14:formula1>
          <xm:sqref>B1013</xm:sqref>
        </x14:dataValidation>
        <x14:dataValidation type="list" allowBlank="1" showInputMessage="1" showErrorMessage="1" xr:uid="{EAEDAAF8-A330-4FA9-AFE9-7F25C252EA79}">
          <x14:formula1>
            <xm:f>ReferentsDPT!A2:A16</xm:f>
          </x14:formula1>
          <xm:sqref>B1017</xm:sqref>
        </x14:dataValidation>
        <x14:dataValidation type="list" allowBlank="1" showInputMessage="1" showErrorMessage="1" xr:uid="{E6AB298B-80EB-44EF-B873-D104945971EB}">
          <x14:formula1>
            <xm:f>ReferentsDPT!A2:A16</xm:f>
          </x14:formula1>
          <xm:sqref>B1015</xm:sqref>
        </x14:dataValidation>
        <x14:dataValidation type="list" allowBlank="1" showInputMessage="1" showErrorMessage="1" xr:uid="{AA6F6E6B-547A-4806-BBBC-026746D282A0}">
          <x14:formula1>
            <xm:f>ReferentsDPT!A2:A16</xm:f>
          </x14:formula1>
          <xm:sqref>B1016</xm:sqref>
        </x14:dataValidation>
        <x14:dataValidation type="list" allowBlank="1" showInputMessage="1" showErrorMessage="1" xr:uid="{F42A9D75-C36A-431B-9450-AE0FC2E34606}">
          <x14:formula1>
            <xm:f>Classes!A2:A4</xm:f>
          </x14:formula1>
          <xm:sqref>E1014</xm:sqref>
        </x14:dataValidation>
        <x14:dataValidation type="list" allowBlank="1" showInputMessage="1" showErrorMessage="1" xr:uid="{185E73DA-E1BE-4AB2-A25A-957DE597433D}">
          <x14:formula1>
            <xm:f>Classes!A2:A4</xm:f>
          </x14:formula1>
          <xm:sqref>E1015</xm:sqref>
        </x14:dataValidation>
        <x14:dataValidation type="list" allowBlank="1" showInputMessage="1" showErrorMessage="1" xr:uid="{C2728077-BD12-4B68-8BC3-2A9E209FA10F}">
          <x14:formula1>
            <xm:f>Classes!A2:A4</xm:f>
          </x14:formula1>
          <xm:sqref>E1016</xm:sqref>
        </x14:dataValidation>
        <x14:dataValidation type="list" allowBlank="1" showInputMessage="1" showErrorMessage="1" xr:uid="{5EF8C495-21A3-4776-82FE-9779B0D6C44D}">
          <x14:formula1>
            <xm:f>Classes!A2:A4</xm:f>
          </x14:formula1>
          <xm:sqref>E1017</xm:sqref>
        </x14:dataValidation>
        <x14:dataValidation type="list" allowBlank="1" showInputMessage="1" showErrorMessage="1" xr:uid="{80361D7B-80FD-4A2C-8585-B6240F49F26E}">
          <x14:formula1>
            <xm:f>Classes!A2:A4</xm:f>
          </x14:formula1>
          <xm:sqref>E1018</xm:sqref>
        </x14:dataValidation>
        <x14:dataValidation type="list" allowBlank="1" showInputMessage="1" showErrorMessage="1" xr:uid="{81E7751B-2647-4D7E-AEE9-9768A155E741}">
          <x14:formula1>
            <xm:f>Classes!A2:A4</xm:f>
          </x14:formula1>
          <xm:sqref>E1019</xm:sqref>
        </x14:dataValidation>
        <x14:dataValidation type="list" allowBlank="1" showInputMessage="1" showErrorMessage="1" xr:uid="{062B2B0D-E196-4B5D-A030-3DC0B2F0EDF2}">
          <x14:formula1>
            <xm:f>ReferentsDPT!A2:A16</xm:f>
          </x14:formula1>
          <xm:sqref>B1020</xm:sqref>
        </x14:dataValidation>
        <x14:dataValidation type="list" allowBlank="1" showInputMessage="1" showErrorMessage="1" xr:uid="{3B69FEFC-F8E9-41DD-9F21-9A2C40ED16F0}">
          <x14:formula1>
            <xm:f>Classes!A2:A4</xm:f>
          </x14:formula1>
          <xm:sqref>E1020</xm:sqref>
        </x14:dataValidation>
        <x14:dataValidation type="list" allowBlank="1" showInputMessage="1" showErrorMessage="1" xr:uid="{176BEA1C-F08D-47A4-923D-B640205BCF37}">
          <x14:formula1>
            <xm:f>Classes!A2:A4</xm:f>
          </x14:formula1>
          <xm:sqref>E1021</xm:sqref>
        </x14:dataValidation>
        <x14:dataValidation type="list" allowBlank="1" showInputMessage="1" showErrorMessage="1" xr:uid="{E3750312-B1A6-4D07-8EAD-5081E827B8A4}">
          <x14:formula1>
            <xm:f>Classes!A2:A4</xm:f>
          </x14:formula1>
          <xm:sqref>E1022</xm:sqref>
        </x14:dataValidation>
        <x14:dataValidation type="list" allowBlank="1" showInputMessage="1" showErrorMessage="1" xr:uid="{2186E4BC-1D10-471E-BA6A-1282AC524CBB}">
          <x14:formula1>
            <xm:f>Classes!A2:A4</xm:f>
          </x14:formula1>
          <xm:sqref>E1023</xm:sqref>
        </x14:dataValidation>
        <x14:dataValidation type="list" allowBlank="1" showInputMessage="1" showErrorMessage="1" xr:uid="{0A245E90-59D5-44EB-8672-67057983B01B}">
          <x14:formula1>
            <xm:f>Classes!A2:A4</xm:f>
          </x14:formula1>
          <xm:sqref>E1024</xm:sqref>
        </x14:dataValidation>
        <x14:dataValidation type="list" allowBlank="1" showInputMessage="1" showErrorMessage="1" xr:uid="{ACAE5FED-11DB-4E9F-B36A-7CED7F325755}">
          <x14:formula1>
            <xm:f>Classes!A2:A4</xm:f>
          </x14:formula1>
          <xm:sqref>E1025</xm:sqref>
        </x14:dataValidation>
        <x14:dataValidation type="list" allowBlank="1" showInputMessage="1" showErrorMessage="1" xr:uid="{9AFA873D-BDA9-4232-84D3-B70EC5799C21}">
          <x14:formula1>
            <xm:f>Classes!A2:A4</xm:f>
          </x14:formula1>
          <xm:sqref>E1026</xm:sqref>
        </x14:dataValidation>
        <x14:dataValidation type="list" allowBlank="1" showInputMessage="1" showErrorMessage="1" xr:uid="{F2E77A4D-FEAD-4981-985B-F2ECB12D99AB}">
          <x14:formula1>
            <xm:f>Classes!A2:A4</xm:f>
          </x14:formula1>
          <xm:sqref>E1027</xm:sqref>
        </x14:dataValidation>
        <x14:dataValidation type="list" allowBlank="1" showInputMessage="1" showErrorMessage="1" xr:uid="{999D3473-6B89-4070-A29C-70532C64800D}">
          <x14:formula1>
            <xm:f>Classes!A2:A4</xm:f>
          </x14:formula1>
          <xm:sqref>E1028</xm:sqref>
        </x14:dataValidation>
        <x14:dataValidation type="list" allowBlank="1" showInputMessage="1" showErrorMessage="1" xr:uid="{DE8C477A-2176-4B7E-A2C6-13357F5B89D6}">
          <x14:formula1>
            <xm:f>Classes!A2:A4</xm:f>
          </x14:formula1>
          <xm:sqref>E1029</xm:sqref>
        </x14:dataValidation>
        <x14:dataValidation type="list" allowBlank="1" showInputMessage="1" showErrorMessage="1" xr:uid="{7BBAF956-F087-45E4-9710-AB36792CA10A}">
          <x14:formula1>
            <xm:f>ReferentsDPT!A2:A16</xm:f>
          </x14:formula1>
          <xm:sqref>B1030</xm:sqref>
        </x14:dataValidation>
        <x14:dataValidation type="list" allowBlank="1" showInputMessage="1" showErrorMessage="1" xr:uid="{02FA4617-7F95-4805-9298-34CB4E1F6A09}">
          <x14:formula1>
            <xm:f>ReferentsDPT!A2:A16</xm:f>
          </x14:formula1>
          <xm:sqref>B1031</xm:sqref>
        </x14:dataValidation>
        <x14:dataValidation type="list" allowBlank="1" showInputMessage="1" showErrorMessage="1" xr:uid="{038F5673-26D0-476F-A42B-AB091C9D814F}">
          <x14:formula1>
            <xm:f>ReferentsDPT!A2:A16</xm:f>
          </x14:formula1>
          <xm:sqref>B1032</xm:sqref>
        </x14:dataValidation>
        <x14:dataValidation type="list" allowBlank="1" showInputMessage="1" showErrorMessage="1" xr:uid="{430359E1-DDCF-4289-BFE6-95C92DB8810A}">
          <x14:formula1>
            <xm:f>Classes!A2:A4</xm:f>
          </x14:formula1>
          <xm:sqref>E1030</xm:sqref>
        </x14:dataValidation>
        <x14:dataValidation type="list" allowBlank="1" showInputMessage="1" showErrorMessage="1" xr:uid="{584EE48E-18F2-48EF-9ED2-60B0FDB7FBE1}">
          <x14:formula1>
            <xm:f>Classes!A2:A4</xm:f>
          </x14:formula1>
          <xm:sqref>E1033</xm:sqref>
        </x14:dataValidation>
        <x14:dataValidation type="list" allowBlank="1" showInputMessage="1" showErrorMessage="1" xr:uid="{71FB4815-DE9A-4C6E-88DF-BA3D448F5EF2}">
          <x14:formula1>
            <xm:f>Classes!A2:A4</xm:f>
          </x14:formula1>
          <xm:sqref>E1031</xm:sqref>
        </x14:dataValidation>
        <x14:dataValidation type="list" allowBlank="1" showInputMessage="1" showErrorMessage="1" xr:uid="{7859584C-410E-4291-8E9F-E24E0483A2CE}">
          <x14:formula1>
            <xm:f>Classes!A2:A4</xm:f>
          </x14:formula1>
          <xm:sqref>E1034</xm:sqref>
        </x14:dataValidation>
        <x14:dataValidation type="list" allowBlank="1" showInputMessage="1" showErrorMessage="1" xr:uid="{A7FB4AF3-1BE8-4E30-9F20-8832479998B2}">
          <x14:formula1>
            <xm:f>Classes!A2:A4</xm:f>
          </x14:formula1>
          <xm:sqref>E1032</xm:sqref>
        </x14:dataValidation>
        <x14:dataValidation type="list" allowBlank="1" showInputMessage="1" showErrorMessage="1" xr:uid="{6E158EE8-8D68-48D7-8555-127AC84F83AE}">
          <x14:formula1>
            <xm:f>Classes!A2:A4</xm:f>
          </x14:formula1>
          <xm:sqref>E1036</xm:sqref>
        </x14:dataValidation>
        <x14:dataValidation type="list" allowBlank="1" showInputMessage="1" showErrorMessage="1" xr:uid="{56084CFD-00D0-4770-B6CE-5A2AA0B4096C}">
          <x14:formula1>
            <xm:f>ReferentsDPT!A2:A16</xm:f>
          </x14:formula1>
          <xm:sqref>B1039</xm:sqref>
        </x14:dataValidation>
        <x14:dataValidation type="list" allowBlank="1" showInputMessage="1" showErrorMessage="1" xr:uid="{DF30DFAC-5E5A-429B-81CB-B9B1476BB3CA}">
          <x14:formula1>
            <xm:f>Classes!A2:A4</xm:f>
          </x14:formula1>
          <xm:sqref>E1039</xm:sqref>
        </x14:dataValidation>
        <x14:dataValidation type="list" allowBlank="1" showInputMessage="1" showErrorMessage="1" xr:uid="{F99F2521-6F50-4B38-A0C1-B322AFF840B0}">
          <x14:formula1>
            <xm:f>ReferentsDPT!A2:A16</xm:f>
          </x14:formula1>
          <xm:sqref>B1040</xm:sqref>
        </x14:dataValidation>
        <x14:dataValidation type="list" allowBlank="1" showInputMessage="1" showErrorMessage="1" xr:uid="{85018172-9DDE-4309-9D43-D313FAAF7A9C}">
          <x14:formula1>
            <xm:f>Classes!A2:A4</xm:f>
          </x14:formula1>
          <xm:sqref>E1040</xm:sqref>
        </x14:dataValidation>
        <x14:dataValidation type="list" allowBlank="1" showInputMessage="1" showErrorMessage="1" xr:uid="{C3889E3A-48E2-4652-928D-DDB5B16897A0}">
          <x14:formula1>
            <xm:f>Classes!A2:A4</xm:f>
          </x14:formula1>
          <xm:sqref>E1041</xm:sqref>
        </x14:dataValidation>
        <x14:dataValidation type="list" allowBlank="1" showInputMessage="1" showErrorMessage="1" xr:uid="{C5E6C5A7-D0B9-46DA-85B4-48FAB7EE82D4}">
          <x14:formula1>
            <xm:f>Classes!A2:A4</xm:f>
          </x14:formula1>
          <xm:sqref>E1042</xm:sqref>
        </x14:dataValidation>
        <x14:dataValidation type="list" allowBlank="1" showInputMessage="1" showErrorMessage="1" xr:uid="{D2F61A53-2723-404B-B220-8251058CB597}">
          <x14:formula1>
            <xm:f>Classes!A2:A4</xm:f>
          </x14:formula1>
          <xm:sqref>E1043</xm:sqref>
        </x14:dataValidation>
        <x14:dataValidation type="list" allowBlank="1" showInputMessage="1" showErrorMessage="1" xr:uid="{A23F0564-D90F-4FCE-8FCC-205391FA47C3}">
          <x14:formula1>
            <xm:f>ReferentsDPT!A2:A16</xm:f>
          </x14:formula1>
          <xm:sqref>B1044</xm:sqref>
        </x14:dataValidation>
        <x14:dataValidation type="list" allowBlank="1" showInputMessage="1" showErrorMessage="1" xr:uid="{6AC0BCDF-E1A4-40BD-B920-FD6B6557FCCA}">
          <x14:formula1>
            <xm:f>Classes!A2:A4</xm:f>
          </x14:formula1>
          <xm:sqref>E1044</xm:sqref>
        </x14:dataValidation>
        <x14:dataValidation type="list" allowBlank="1" showInputMessage="1" showErrorMessage="1" xr:uid="{DDA4F964-F7D0-460E-8DE6-99FA174A03DE}">
          <x14:formula1>
            <xm:f>Classes!A2:A4</xm:f>
          </x14:formula1>
          <xm:sqref>E1045</xm:sqref>
        </x14:dataValidation>
        <x14:dataValidation type="list" allowBlank="1" showInputMessage="1" showErrorMessage="1" xr:uid="{0656E788-18BB-496A-B94F-54E8E0B17DCF}">
          <x14:formula1>
            <xm:f>Classes!A2:A4</xm:f>
          </x14:formula1>
          <xm:sqref>E1046</xm:sqref>
        </x14:dataValidation>
        <x14:dataValidation type="list" allowBlank="1" showInputMessage="1" showErrorMessage="1" xr:uid="{D36B19C3-AC6E-4AAF-8A41-90EB3A9701CC}">
          <x14:formula1>
            <xm:f>ReferentsDPT!A2:A16</xm:f>
          </x14:formula1>
          <xm:sqref>B1046</xm:sqref>
        </x14:dataValidation>
        <x14:dataValidation type="list" allowBlank="1" showInputMessage="1" showErrorMessage="1" xr:uid="{47CEB8A5-777C-4E98-9E25-68C62AA3A181}">
          <x14:formula1>
            <xm:f>Classes!A2:A4</xm:f>
          </x14:formula1>
          <xm:sqref>E1047</xm:sqref>
        </x14:dataValidation>
        <x14:dataValidation type="list" allowBlank="1" showInputMessage="1" showErrorMessage="1" xr:uid="{92B8BD6A-83BE-46CE-ADF8-F7D74C6DF51E}">
          <x14:formula1>
            <xm:f>Classes!A2:A4</xm:f>
          </x14:formula1>
          <xm:sqref>E1048</xm:sqref>
        </x14:dataValidation>
        <x14:dataValidation type="list" allowBlank="1" showInputMessage="1" showErrorMessage="1" xr:uid="{3A115696-EF9E-445F-B55D-0B08944FFF26}">
          <x14:formula1>
            <xm:f>Classes!A2:A4</xm:f>
          </x14:formula1>
          <xm:sqref>E1049</xm:sqref>
        </x14:dataValidation>
        <x14:dataValidation type="list" allowBlank="1" showInputMessage="1" showErrorMessage="1" xr:uid="{3A533EE3-5B06-4473-8CD1-D44BA8331EAD}">
          <x14:formula1>
            <xm:f>Classes!A2:A4</xm:f>
          </x14:formula1>
          <xm:sqref>E1050</xm:sqref>
        </x14:dataValidation>
        <x14:dataValidation type="list" allowBlank="1" showInputMessage="1" showErrorMessage="1" xr:uid="{461DAD07-CF99-4168-A9E4-642D402C436D}">
          <x14:formula1>
            <xm:f>Classes!A2:A4</xm:f>
          </x14:formula1>
          <xm:sqref>E1051</xm:sqref>
        </x14:dataValidation>
        <x14:dataValidation type="list" allowBlank="1" showInputMessage="1" showErrorMessage="1" xr:uid="{8330CF16-C28F-44BB-A387-4061F949E699}">
          <x14:formula1>
            <xm:f>Classes!A2:A4</xm:f>
          </x14:formula1>
          <xm:sqref>E1052</xm:sqref>
        </x14:dataValidation>
        <x14:dataValidation type="list" allowBlank="1" showInputMessage="1" showErrorMessage="1" xr:uid="{559ADC9F-16FC-4084-AF95-5AB5910FC113}">
          <x14:formula1>
            <xm:f>Classes!A2:A4</xm:f>
          </x14:formula1>
          <xm:sqref>E1038</xm:sqref>
        </x14:dataValidation>
        <x14:dataValidation type="list" allowBlank="1" showInputMessage="1" showErrorMessage="1" xr:uid="{8E37C64A-68AA-46F3-865A-2FB67B29EE08}">
          <x14:formula1>
            <xm:f>ReferentsDPT!A2:A16</xm:f>
          </x14:formula1>
          <xm:sqref>B1054</xm:sqref>
        </x14:dataValidation>
        <x14:dataValidation type="list" allowBlank="1" showInputMessage="1" showErrorMessage="1" xr:uid="{4F5C54C9-5529-408E-AAA7-5BE178AFCA98}">
          <x14:formula1>
            <xm:f>Classes!A2:A4</xm:f>
          </x14:formula1>
          <xm:sqref>E1053</xm:sqref>
        </x14:dataValidation>
        <x14:dataValidation type="list" allowBlank="1" showInputMessage="1" showErrorMessage="1" xr:uid="{B9F5E78C-9FE4-4C85-B554-0C6443296515}">
          <x14:formula1>
            <xm:f>Classes!A2:A4</xm:f>
          </x14:formula1>
          <xm:sqref>E1054</xm:sqref>
        </x14:dataValidation>
        <x14:dataValidation type="list" allowBlank="1" showInputMessage="1" showErrorMessage="1" xr:uid="{4AAEFF1B-8284-441F-A956-029B9CF25617}">
          <x14:formula1>
            <xm:f>Classes!A2:A4</xm:f>
          </x14:formula1>
          <xm:sqref>E1055</xm:sqref>
        </x14:dataValidation>
        <x14:dataValidation type="list" allowBlank="1" showInputMessage="1" showErrorMessage="1" xr:uid="{E9928E47-8B2D-42E1-A487-AECA74A44355}">
          <x14:formula1>
            <xm:f>Classes!A2:A4</xm:f>
          </x14:formula1>
          <xm:sqref>E1056</xm:sqref>
        </x14:dataValidation>
        <x14:dataValidation type="list" allowBlank="1" showInputMessage="1" showErrorMessage="1" xr:uid="{8C71D829-03A9-4457-80E5-F770CC4CB82D}">
          <x14:formula1>
            <xm:f>Classes!A2:A4</xm:f>
          </x14:formula1>
          <xm:sqref>E1057</xm:sqref>
        </x14:dataValidation>
        <x14:dataValidation type="list" allowBlank="1" showInputMessage="1" showErrorMessage="1" xr:uid="{1C54A49A-43A1-4799-904C-59F1A55795C5}">
          <x14:formula1>
            <xm:f>ReferentsDPT!A2:A16</xm:f>
          </x14:formula1>
          <xm:sqref>B1057</xm:sqref>
        </x14:dataValidation>
        <x14:dataValidation type="list" allowBlank="1" showInputMessage="1" showErrorMessage="1" xr:uid="{44BE7C5F-1601-4B6A-8B25-3357322DEF7C}">
          <x14:formula1>
            <xm:f>Classes!A2:A4</xm:f>
          </x14:formula1>
          <xm:sqref>E1058</xm:sqref>
        </x14:dataValidation>
        <x14:dataValidation type="list" allowBlank="1" showInputMessage="1" showErrorMessage="1" xr:uid="{18D35105-FB97-40AA-A15D-46A1A5C9EE8B}">
          <x14:formula1>
            <xm:f>Classes!A2:A4</xm:f>
          </x14:formula1>
          <xm:sqref>E1059</xm:sqref>
        </x14:dataValidation>
        <x14:dataValidation type="list" allowBlank="1" showInputMessage="1" showErrorMessage="1" xr:uid="{DCB0241F-B3AE-41F5-8806-E0D415234655}">
          <x14:formula1>
            <xm:f>Classes!A2:A4</xm:f>
          </x14:formula1>
          <xm:sqref>E1060</xm:sqref>
        </x14:dataValidation>
        <x14:dataValidation type="list" allowBlank="1" showInputMessage="1" showErrorMessage="1" xr:uid="{3CF76FC9-8F7B-42E9-A87C-66E5840A064E}">
          <x14:formula1>
            <xm:f>Classes!A2:A4</xm:f>
          </x14:formula1>
          <xm:sqref>E1061</xm:sqref>
        </x14:dataValidation>
        <x14:dataValidation type="list" allowBlank="1" showInputMessage="1" showErrorMessage="1" xr:uid="{729CBC29-AD04-40BA-8A91-F16965CACDCD}">
          <x14:formula1>
            <xm:f>ReferentsDPT!A2:A16</xm:f>
          </x14:formula1>
          <xm:sqref>B934</xm:sqref>
        </x14:dataValidation>
        <x14:dataValidation type="list" allowBlank="1" showInputMessage="1" showErrorMessage="1" xr:uid="{A4E3D5FF-AE4D-47F0-8CCC-4B09CEC9363B}">
          <x14:formula1>
            <xm:f>Classes!A2:A4</xm:f>
          </x14:formula1>
          <xm:sqref>E1062</xm:sqref>
        </x14:dataValidation>
        <x14:dataValidation type="list" allowBlank="1" showInputMessage="1" showErrorMessage="1" xr:uid="{E9680D55-B184-4740-AE52-66EEC7157739}">
          <x14:formula1>
            <xm:f>ReferentsDPT!A2:A16</xm:f>
          </x14:formula1>
          <xm:sqref>B1063</xm:sqref>
        </x14:dataValidation>
        <x14:dataValidation type="list" allowBlank="1" showInputMessage="1" showErrorMessage="1" xr:uid="{982C2589-F359-4304-AFAD-902DA4D1F947}">
          <x14:formula1>
            <xm:f>Classes!A2:A4</xm:f>
          </x14:formula1>
          <xm:sqref>E1063</xm:sqref>
        </x14:dataValidation>
        <x14:dataValidation type="list" allowBlank="1" showInputMessage="1" showErrorMessage="1" xr:uid="{F65C5738-8634-4C4E-AD29-878C09DEF6CF}">
          <x14:formula1>
            <xm:f>ReferentsDPT!A2:A16</xm:f>
          </x14:formula1>
          <xm:sqref>B1064</xm:sqref>
        </x14:dataValidation>
        <x14:dataValidation type="list" allowBlank="1" showInputMessage="1" showErrorMessage="1" xr:uid="{4A094002-C355-48EC-A2F8-A12FA0378EB4}">
          <x14:formula1>
            <xm:f>Classes!A2:A4</xm:f>
          </x14:formula1>
          <xm:sqref>E1064</xm:sqref>
        </x14:dataValidation>
        <x14:dataValidation type="list" allowBlank="1" showInputMessage="1" showErrorMessage="1" xr:uid="{EE28B824-8565-4760-BD6F-1CB94DDF9C89}">
          <x14:formula1>
            <xm:f>Classes!A2:A4</xm:f>
          </x14:formula1>
          <xm:sqref>E1065</xm:sqref>
        </x14:dataValidation>
        <x14:dataValidation type="list" allowBlank="1" showInputMessage="1" showErrorMessage="1" xr:uid="{B34271AA-1A20-4307-8DC3-DCFE127CA70C}">
          <x14:formula1>
            <xm:f>Classes!A2:A4</xm:f>
          </x14:formula1>
          <xm:sqref>E1066</xm:sqref>
        </x14:dataValidation>
        <x14:dataValidation type="list" allowBlank="1" showInputMessage="1" showErrorMessage="1" xr:uid="{07341795-5189-4B4D-B00E-C724FAB60F90}">
          <x14:formula1>
            <xm:f>ReferentsDPT!A2:A16</xm:f>
          </x14:formula1>
          <xm:sqref>B1067</xm:sqref>
        </x14:dataValidation>
        <x14:dataValidation type="list" allowBlank="1" showInputMessage="1" showErrorMessage="1" xr:uid="{0A2F071F-06E3-4FD2-80D9-6DAAA5F84DFD}">
          <x14:formula1>
            <xm:f>Classes!A2:A4</xm:f>
          </x14:formula1>
          <xm:sqref>E1067</xm:sqref>
        </x14:dataValidation>
        <x14:dataValidation type="list" allowBlank="1" showInputMessage="1" showErrorMessage="1" xr:uid="{14B5C12D-5623-4040-B73C-096D6D8242DC}">
          <x14:formula1>
            <xm:f>ReferentsDPT!A2:A16</xm:f>
          </x14:formula1>
          <xm:sqref>B1069</xm:sqref>
        </x14:dataValidation>
        <x14:dataValidation type="list" allowBlank="1" showInputMessage="1" showErrorMessage="1" xr:uid="{E256E533-55E8-4CE2-8837-ED4D4C30841A}">
          <x14:formula1>
            <xm:f>Classes!A2:A4</xm:f>
          </x14:formula1>
          <xm:sqref>E1068</xm:sqref>
        </x14:dataValidation>
        <x14:dataValidation type="list" allowBlank="1" showInputMessage="1" showErrorMessage="1" xr:uid="{CAAE4B93-1128-4FEB-9D8B-93B7394E9DBB}">
          <x14:formula1>
            <xm:f>Entreprises!A2:A75</xm:f>
          </x14:formula1>
          <xm:sqref>C1069</xm:sqref>
        </x14:dataValidation>
        <x14:dataValidation type="list" allowBlank="1" showInputMessage="1" showErrorMessage="1" xr:uid="{4544293F-8960-491A-881E-A99A84963F3B}">
          <x14:formula1>
            <xm:f>Classes!A2:A4</xm:f>
          </x14:formula1>
          <xm:sqref>E1069</xm:sqref>
        </x14:dataValidation>
        <x14:dataValidation type="list" allowBlank="1" showInputMessage="1" showErrorMessage="1" xr:uid="{18486078-56D4-4A05-AB72-EFA71ED62783}">
          <x14:formula1>
            <xm:f>Entreprises!A2:A75</xm:f>
          </x14:formula1>
          <xm:sqref>C1070</xm:sqref>
        </x14:dataValidation>
        <x14:dataValidation type="list" allowBlank="1" showInputMessage="1" showErrorMessage="1" xr:uid="{8ACD409F-149E-49DA-A9CB-B3E0648C9D68}">
          <x14:formula1>
            <xm:f>Classes!A2:A4</xm:f>
          </x14:formula1>
          <xm:sqref>E1070</xm:sqref>
        </x14:dataValidation>
        <x14:dataValidation type="list" allowBlank="1" showInputMessage="1" showErrorMessage="1" xr:uid="{F8E4F752-613C-4015-8958-3FCB58F89279}">
          <x14:formula1>
            <xm:f>Entreprises!A2:A75</xm:f>
          </x14:formula1>
          <xm:sqref>C1072</xm:sqref>
        </x14:dataValidation>
        <x14:dataValidation type="list" allowBlank="1" showInputMessage="1" showErrorMessage="1" xr:uid="{ED91B0CF-F10D-4A4F-A11F-EA2D702F700E}">
          <x14:formula1>
            <xm:f>Classes!A2:A4</xm:f>
          </x14:formula1>
          <xm:sqref>E1072</xm:sqref>
        </x14:dataValidation>
        <x14:dataValidation type="list" allowBlank="1" showInputMessage="1" showErrorMessage="1" xr:uid="{149F3DFC-1398-4DF5-B05D-FA4F0A19C7BC}">
          <x14:formula1>
            <xm:f>ReferentsDPT!A2:A16</xm:f>
          </x14:formula1>
          <xm:sqref>B1072</xm:sqref>
        </x14:dataValidation>
        <x14:dataValidation type="list" allowBlank="1" showInputMessage="1" showErrorMessage="1" xr:uid="{D47154AB-9163-4C96-883D-6CE738E05A6D}">
          <x14:formula1>
            <xm:f>Entreprises!A2:A75</xm:f>
          </x14:formula1>
          <xm:sqref>C1073</xm:sqref>
        </x14:dataValidation>
        <x14:dataValidation type="list" allowBlank="1" showInputMessage="1" showErrorMessage="1" xr:uid="{2C573497-7D83-4276-BE08-F13E5F69F9AE}">
          <x14:formula1>
            <xm:f>Classes!A2:A4</xm:f>
          </x14:formula1>
          <xm:sqref>E1073</xm:sqref>
        </x14:dataValidation>
        <x14:dataValidation type="list" allowBlank="1" showInputMessage="1" showErrorMessage="1" xr:uid="{24CE6815-05E7-49EC-B730-E815677F6820}">
          <x14:formula1>
            <xm:f>ReferentsDPT!A2:A16</xm:f>
          </x14:formula1>
          <xm:sqref>B1075</xm:sqref>
        </x14:dataValidation>
        <x14:dataValidation type="list" allowBlank="1" showInputMessage="1" showErrorMessage="1" xr:uid="{8622E0E9-D33C-4C6E-AF78-72BED65BC711}">
          <x14:formula1>
            <xm:f>Entreprises!A2:A75</xm:f>
          </x14:formula1>
          <xm:sqref>C1074</xm:sqref>
        </x14:dataValidation>
        <x14:dataValidation type="list" allowBlank="1" showInputMessage="1" showErrorMessage="1" xr:uid="{55E6DCB7-FBD9-4C6C-86A6-7478F64181DC}">
          <x14:formula1>
            <xm:f>Classes!A2:A4</xm:f>
          </x14:formula1>
          <xm:sqref>E1074</xm:sqref>
        </x14:dataValidation>
        <x14:dataValidation type="list" allowBlank="1" showInputMessage="1" showErrorMessage="1" xr:uid="{3B5EA6D2-C284-4D30-9DB6-5FC89667AD4D}">
          <x14:formula1>
            <xm:f>Entreprises!A2:A75</xm:f>
          </x14:formula1>
          <xm:sqref>C1075</xm:sqref>
        </x14:dataValidation>
        <x14:dataValidation type="list" allowBlank="1" showInputMessage="1" showErrorMessage="1" xr:uid="{4D7A51E2-3EBD-402A-8E2B-6E2E5F825196}">
          <x14:formula1>
            <xm:f>Classes!A2:A4</xm:f>
          </x14:formula1>
          <xm:sqref>E1075</xm:sqref>
        </x14:dataValidation>
        <x14:dataValidation type="list" allowBlank="1" showInputMessage="1" showErrorMessage="1" xr:uid="{7104547B-8981-4D31-AF1A-86212C21E0AF}">
          <x14:formula1>
            <xm:f>Entreprises!A2:A75</xm:f>
          </x14:formula1>
          <xm:sqref>C1076</xm:sqref>
        </x14:dataValidation>
        <x14:dataValidation type="list" allowBlank="1" showInputMessage="1" showErrorMessage="1" xr:uid="{C67DCB3A-95D0-4564-9C24-887288F0D9A8}">
          <x14:formula1>
            <xm:f>Entreprises!A2:A75</xm:f>
          </x14:formula1>
          <xm:sqref>C1077</xm:sqref>
        </x14:dataValidation>
        <x14:dataValidation type="list" allowBlank="1" showInputMessage="1" showErrorMessage="1" xr:uid="{C1B1263B-9399-42D6-8523-E8811A84B914}">
          <x14:formula1>
            <xm:f>Entreprises!A2:A75</xm:f>
          </x14:formula1>
          <xm:sqref>C1078</xm:sqref>
        </x14:dataValidation>
        <x14:dataValidation type="list" allowBlank="1" showInputMessage="1" showErrorMessage="1" xr:uid="{129CB034-37FB-4A18-A908-EF11CB19A284}">
          <x14:formula1>
            <xm:f>Entreprises!A2:A75</xm:f>
          </x14:formula1>
          <xm:sqref>C1079</xm:sqref>
        </x14:dataValidation>
        <x14:dataValidation type="list" allowBlank="1" showInputMessage="1" showErrorMessage="1" xr:uid="{917A94CF-D980-4B05-80DF-88A9AFAB4AD0}">
          <x14:formula1>
            <xm:f>Classes!A2:A4</xm:f>
          </x14:formula1>
          <xm:sqref>E1076</xm:sqref>
        </x14:dataValidation>
        <x14:dataValidation type="list" allowBlank="1" showInputMessage="1" showErrorMessage="1" xr:uid="{97DF4B46-8776-4397-BC08-42F56C7E155D}">
          <x14:formula1>
            <xm:f>Classes!A2:A4</xm:f>
          </x14:formula1>
          <xm:sqref>E1077</xm:sqref>
        </x14:dataValidation>
        <x14:dataValidation type="list" allowBlank="1" showInputMessage="1" showErrorMessage="1" xr:uid="{B06F0665-E3C3-46A5-A9AB-2A5876C155DD}">
          <x14:formula1>
            <xm:f>Classes!A2:A4</xm:f>
          </x14:formula1>
          <xm:sqref>E1078</xm:sqref>
        </x14:dataValidation>
        <x14:dataValidation type="list" allowBlank="1" showInputMessage="1" showErrorMessage="1" xr:uid="{2E2B0229-08F1-48DA-B0A8-B21954CE6E7F}">
          <x14:formula1>
            <xm:f>Classes!A2:A4</xm:f>
          </x14:formula1>
          <xm:sqref>E1079</xm:sqref>
        </x14:dataValidation>
        <x14:dataValidation type="list" allowBlank="1" showInputMessage="1" showErrorMessage="1" xr:uid="{0B46DFC8-D0ED-420C-B9DE-B4A8EE325772}">
          <x14:formula1>
            <xm:f>Entreprises!A2:A75</xm:f>
          </x14:formula1>
          <xm:sqref>C1504</xm:sqref>
        </x14:dataValidation>
        <x14:dataValidation type="list" allowBlank="1" showInputMessage="1" showErrorMessage="1" xr:uid="{A208BABC-7F86-48AD-BB57-A5A63556DF45}">
          <x14:formula1>
            <xm:f>ReferentsDPT!A2:A16</xm:f>
          </x14:formula1>
          <xm:sqref>B1504</xm:sqref>
        </x14:dataValidation>
        <x14:dataValidation type="list" allowBlank="1" showInputMessage="1" showErrorMessage="1" xr:uid="{FE33B183-20A3-431C-AAE0-91FAD93F8C99}">
          <x14:formula1>
            <xm:f>Entreprises!A2:A75</xm:f>
          </x14:formula1>
          <xm:sqref>C1080</xm:sqref>
        </x14:dataValidation>
        <x14:dataValidation type="list" allowBlank="1" showInputMessage="1" showErrorMessage="1" xr:uid="{EE4BC411-0FC0-47C6-8F98-74A063D323E7}">
          <x14:formula1>
            <xm:f>ReferentsDPT!A2:A16</xm:f>
          </x14:formula1>
          <xm:sqref>B1081</xm:sqref>
        </x14:dataValidation>
        <x14:dataValidation type="list" allowBlank="1" showInputMessage="1" showErrorMessage="1" xr:uid="{C037EC36-C355-4B30-B065-E1A04624F079}">
          <x14:formula1>
            <xm:f>Entreprises!A2:A75</xm:f>
          </x14:formula1>
          <xm:sqref>C1081</xm:sqref>
        </x14:dataValidation>
        <x14:dataValidation type="list" allowBlank="1" showInputMessage="1" showErrorMessage="1" xr:uid="{7525FB45-7FB8-463A-81D6-EEA55DD12E5B}">
          <x14:formula1>
            <xm:f>ReferentsDPT!A2:A16</xm:f>
          </x14:formula1>
          <xm:sqref>B1083</xm:sqref>
        </x14:dataValidation>
        <x14:dataValidation type="list" allowBlank="1" showInputMessage="1" showErrorMessage="1" xr:uid="{ED8A7C0C-99F8-4F86-9809-B6233E00D8CD}">
          <x14:formula1>
            <xm:f>ReferentsDPT!A2:A16</xm:f>
          </x14:formula1>
          <xm:sqref>B1082</xm:sqref>
        </x14:dataValidation>
        <x14:dataValidation type="list" allowBlank="1" showInputMessage="1" showErrorMessage="1" xr:uid="{04FD8733-9DAE-46AD-B2B4-949088486C4E}">
          <x14:formula1>
            <xm:f>Classes!A2:A4</xm:f>
          </x14:formula1>
          <xm:sqref>E1080</xm:sqref>
        </x14:dataValidation>
        <x14:dataValidation type="list" allowBlank="1" showInputMessage="1" showErrorMessage="1" xr:uid="{ED466FCB-9E64-4649-A5F0-C011DB9C7AAB}">
          <x14:formula1>
            <xm:f>Classes!A2:A4</xm:f>
          </x14:formula1>
          <xm:sqref>E1081</xm:sqref>
        </x14:dataValidation>
        <x14:dataValidation type="list" allowBlank="1" showInputMessage="1" showErrorMessage="1" xr:uid="{EF04EFA7-4ECC-43D7-AA18-87BD3167BF98}">
          <x14:formula1>
            <xm:f>Entreprises!A2:A75</xm:f>
          </x14:formula1>
          <xm:sqref>C1082</xm:sqref>
        </x14:dataValidation>
        <x14:dataValidation type="list" allowBlank="1" showInputMessage="1" showErrorMessage="1" xr:uid="{2841FED9-026E-406A-8C44-090D5F78CB39}">
          <x14:formula1>
            <xm:f>Classes!A2:A4</xm:f>
          </x14:formula1>
          <xm:sqref>E1082</xm:sqref>
        </x14:dataValidation>
        <x14:dataValidation type="list" allowBlank="1" showInputMessage="1" showErrorMessage="1" xr:uid="{5CC79964-2C7F-4FD9-9F91-22E0AA3E622C}">
          <x14:formula1>
            <xm:f>Entreprises!A2:A75</xm:f>
          </x14:formula1>
          <xm:sqref>C1083</xm:sqref>
        </x14:dataValidation>
        <x14:dataValidation type="list" allowBlank="1" showInputMessage="1" showErrorMessage="1" xr:uid="{73EB825E-0E0F-4136-B48F-1D360A6CE575}">
          <x14:formula1>
            <xm:f>Classes!A2:A4</xm:f>
          </x14:formula1>
          <xm:sqref>E1083</xm:sqref>
        </x14:dataValidation>
        <x14:dataValidation type="list" allowBlank="1" showInputMessage="1" showErrorMessage="1" xr:uid="{63AFD2CA-512B-4E06-B266-51754664BE8C}">
          <x14:formula1>
            <xm:f>ReferentsDPT!A2:A16</xm:f>
          </x14:formula1>
          <xm:sqref>B335</xm:sqref>
        </x14:dataValidation>
        <x14:dataValidation type="list" allowBlank="1" showInputMessage="1" showErrorMessage="1" xr:uid="{2E45E1F5-4ABA-4208-8363-566A5CB824BE}">
          <x14:formula1>
            <xm:f>Classes!A2:A4</xm:f>
          </x14:formula1>
          <xm:sqref>E335</xm:sqref>
        </x14:dataValidation>
        <x14:dataValidation type="list" allowBlank="1" showInputMessage="1" showErrorMessage="1" xr:uid="{884FFCBC-B534-430A-AF45-DAA6BC225EBC}">
          <x14:formula1>
            <xm:f>Classes!A2:A4</xm:f>
          </x14:formula1>
          <xm:sqref>E237</xm:sqref>
        </x14:dataValidation>
        <x14:dataValidation type="list" allowBlank="1" showInputMessage="1" showErrorMessage="1" xr:uid="{8F69BB3C-CE39-4A70-B33C-4FC1A30BFA9B}">
          <x14:formula1>
            <xm:f>ReferentsDPT!A2:A16</xm:f>
          </x14:formula1>
          <xm:sqref>B193</xm:sqref>
        </x14:dataValidation>
        <x14:dataValidation type="list" allowBlank="1" showInputMessage="1" showErrorMessage="1" xr:uid="{EAF2DEEB-2E5B-45C0-B3F4-63561ED723C9}">
          <x14:formula1>
            <xm:f>Classes!A2:A4</xm:f>
          </x14:formula1>
          <xm:sqref>E193</xm:sqref>
        </x14:dataValidation>
        <x14:dataValidation type="list" allowBlank="1" showInputMessage="1" showErrorMessage="1" xr:uid="{8F9FF88D-2A4E-42B3-B377-459D87D9977B}">
          <x14:formula1>
            <xm:f>ReferentsDPT!A2:A16</xm:f>
          </x14:formula1>
          <xm:sqref>B194</xm:sqref>
        </x14:dataValidation>
        <x14:dataValidation type="list" allowBlank="1" showInputMessage="1" showErrorMessage="1" xr:uid="{E5DAF1A4-1635-4B04-97B9-740C5F2AA9BA}">
          <x14:formula1>
            <xm:f>ReferentsDPT!A2:A16</xm:f>
          </x14:formula1>
          <xm:sqref>B195</xm:sqref>
        </x14:dataValidation>
        <x14:dataValidation type="list" allowBlank="1" showInputMessage="1" showErrorMessage="1" xr:uid="{342BBD88-B3E7-42DF-A17D-7ADD6FE86D60}">
          <x14:formula1>
            <xm:f>Classes!A2:A4</xm:f>
          </x14:formula1>
          <xm:sqref>E195</xm:sqref>
        </x14:dataValidation>
        <x14:dataValidation type="list" allowBlank="1" showInputMessage="1" showErrorMessage="1" xr:uid="{5CC64291-9C21-4A54-B150-F0A68E3595F9}">
          <x14:formula1>
            <xm:f>ReferentsDPT!A2:A16</xm:f>
          </x14:formula1>
          <xm:sqref>B196</xm:sqref>
        </x14:dataValidation>
        <x14:dataValidation type="list" allowBlank="1" showInputMessage="1" showErrorMessage="1" xr:uid="{4183C805-0D24-492D-A302-2DC886B8E262}">
          <x14:formula1>
            <xm:f>Classes!A2:A4</xm:f>
          </x14:formula1>
          <xm:sqref>E196</xm:sqref>
        </x14:dataValidation>
        <x14:dataValidation type="list" allowBlank="1" showInputMessage="1" showErrorMessage="1" xr:uid="{23FA26A7-6064-40F0-9531-A319B62B0EFD}">
          <x14:formula1>
            <xm:f>Classes!A2:A4</xm:f>
          </x14:formula1>
          <xm:sqref>E15</xm:sqref>
        </x14:dataValidation>
        <x14:dataValidation type="list" allowBlank="1" showInputMessage="1" showErrorMessage="1" xr:uid="{3D537971-875D-4ED5-814F-30448236A5D3}">
          <x14:formula1>
            <xm:f>ReferentsDPT!A2:A16</xm:f>
          </x14:formula1>
          <xm:sqref>B16</xm:sqref>
        </x14:dataValidation>
        <x14:dataValidation type="list" allowBlank="1" showInputMessage="1" showErrorMessage="1" xr:uid="{D32F98C1-83AD-4E1E-A2DB-595F9AA4D88F}">
          <x14:formula1>
            <xm:f>Classes!A2:A4</xm:f>
          </x14:formula1>
          <xm:sqref>E16</xm:sqref>
        </x14:dataValidation>
        <x14:dataValidation type="list" allowBlank="1" showInputMessage="1" showErrorMessage="1" xr:uid="{D4457ACB-60D7-498F-B8D7-2D0E52256DC4}">
          <x14:formula1>
            <xm:f>ReferentsDPT!A2:A16</xm:f>
          </x14:formula1>
          <xm:sqref>B17</xm:sqref>
        </x14:dataValidation>
        <x14:dataValidation type="list" allowBlank="1" showInputMessage="1" showErrorMessage="1" xr:uid="{414F83F9-E1FC-4DF5-90B6-48676DD427AF}">
          <x14:formula1>
            <xm:f>Classes!A2:A4</xm:f>
          </x14:formula1>
          <xm:sqref>E17</xm:sqref>
        </x14:dataValidation>
        <x14:dataValidation type="list" allowBlank="1" showInputMessage="1" showErrorMessage="1" xr:uid="{00DF9BE7-1418-4F89-87DD-8DDBCBDF4DF6}">
          <x14:formula1>
            <xm:f>ReferentsDPT!A2:A16</xm:f>
          </x14:formula1>
          <xm:sqref>B18</xm:sqref>
        </x14:dataValidation>
        <x14:dataValidation type="list" allowBlank="1" showInputMessage="1" showErrorMessage="1" xr:uid="{8B656CEF-D781-4DED-897A-B69294A56E5F}">
          <x14:formula1>
            <xm:f>ReferentsDPT!A2:A16</xm:f>
          </x14:formula1>
          <xm:sqref>B19</xm:sqref>
        </x14:dataValidation>
        <x14:dataValidation type="list" allowBlank="1" showInputMessage="1" showErrorMessage="1" xr:uid="{73F8767A-E664-4907-9C36-25A0187B4406}">
          <x14:formula1>
            <xm:f>ReferentsDPT!A2:A16</xm:f>
          </x14:formula1>
          <xm:sqref>B20</xm:sqref>
        </x14:dataValidation>
        <x14:dataValidation type="list" allowBlank="1" showInputMessage="1" showErrorMessage="1" xr:uid="{1BF47363-B2BA-471D-9018-E9B0EE7586BB}">
          <x14:formula1>
            <xm:f>Classes!A2:A4</xm:f>
          </x14:formula1>
          <xm:sqref>E20</xm:sqref>
        </x14:dataValidation>
        <x14:dataValidation type="list" allowBlank="1" showInputMessage="1" showErrorMessage="1" xr:uid="{AE73B12E-F088-4534-B0D6-916A7DC056B3}">
          <x14:formula1>
            <xm:f>Classes!A2:A4</xm:f>
          </x14:formula1>
          <xm:sqref>E18</xm:sqref>
        </x14:dataValidation>
        <x14:dataValidation type="list" allowBlank="1" showInputMessage="1" showErrorMessage="1" xr:uid="{31B6BBF2-0EF6-4245-9F9D-E401A81EA3E2}">
          <x14:formula1>
            <xm:f>Classes!A2:A4</xm:f>
          </x14:formula1>
          <xm:sqref>E19</xm:sqref>
        </x14:dataValidation>
        <x14:dataValidation type="list" allowBlank="1" showInputMessage="1" showErrorMessage="1" xr:uid="{1E279371-AD57-4EF3-A8D5-4EFAA9FC902C}">
          <x14:formula1>
            <xm:f>ReferentsDPT!A2:A16</xm:f>
          </x14:formula1>
          <xm:sqref>B21</xm:sqref>
        </x14:dataValidation>
        <x14:dataValidation type="list" allowBlank="1" showInputMessage="1" showErrorMessage="1" xr:uid="{BDE45DC3-AAB3-4056-8411-1B352E49ED85}">
          <x14:formula1>
            <xm:f>Classes!A2:A4</xm:f>
          </x14:formula1>
          <xm:sqref>E21</xm:sqref>
        </x14:dataValidation>
        <x14:dataValidation type="list" allowBlank="1" showInputMessage="1" showErrorMessage="1" xr:uid="{429B5431-DEB0-4A2F-B0D6-CE113ECDCE4C}">
          <x14:formula1>
            <xm:f>ReferentsDPT!A2:A16</xm:f>
          </x14:formula1>
          <xm:sqref>B22</xm:sqref>
        </x14:dataValidation>
        <x14:dataValidation type="list" allowBlank="1" showInputMessage="1" showErrorMessage="1" xr:uid="{8664A7A5-3A5D-4A85-8C81-E6C091F2E7ED}">
          <x14:formula1>
            <xm:f>Classes!A2:A4</xm:f>
          </x14:formula1>
          <xm:sqref>E22</xm:sqref>
        </x14:dataValidation>
        <x14:dataValidation type="list" allowBlank="1" showInputMessage="1" showErrorMessage="1" xr:uid="{B8820C84-898F-47AB-A7D5-B5B97B423557}">
          <x14:formula1>
            <xm:f>ReferentsDPT!A2:A16</xm:f>
          </x14:formula1>
          <xm:sqref>B23</xm:sqref>
        </x14:dataValidation>
        <x14:dataValidation type="list" allowBlank="1" showInputMessage="1" showErrorMessage="1" xr:uid="{CE4E04DE-580A-48E9-9B59-4F70B9A35F7B}">
          <x14:formula1>
            <xm:f>Classes!A2:A4</xm:f>
          </x14:formula1>
          <xm:sqref>E23</xm:sqref>
        </x14:dataValidation>
        <x14:dataValidation type="list" allowBlank="1" showInputMessage="1" showErrorMessage="1" xr:uid="{E370805C-30C6-40DE-940C-4955CFF70C60}">
          <x14:formula1>
            <xm:f>ReferentsDPT!A2:A16</xm:f>
          </x14:formula1>
          <xm:sqref>B24</xm:sqref>
        </x14:dataValidation>
        <x14:dataValidation type="list" allowBlank="1" showInputMessage="1" showErrorMessage="1" xr:uid="{0CFDB405-691E-4356-9DC6-97192967848B}">
          <x14:formula1>
            <xm:f>Classes!A2:A4</xm:f>
          </x14:formula1>
          <xm:sqref>E24</xm:sqref>
        </x14:dataValidation>
        <x14:dataValidation type="list" allowBlank="1" showInputMessage="1" showErrorMessage="1" xr:uid="{45EDBE2C-6D96-48CD-8407-330578D869F4}">
          <x14:formula1>
            <xm:f>ReferentsDPT!A2:A16</xm:f>
          </x14:formula1>
          <xm:sqref>B25</xm:sqref>
        </x14:dataValidation>
        <x14:dataValidation type="list" allowBlank="1" showInputMessage="1" showErrorMessage="1" xr:uid="{57CAE7A1-5D30-4BF8-86F7-86DDD7AD7346}">
          <x14:formula1>
            <xm:f>Classes!A2:A4</xm:f>
          </x14:formula1>
          <xm:sqref>E25</xm:sqref>
        </x14:dataValidation>
        <x14:dataValidation type="list" allowBlank="1" showInputMessage="1" showErrorMessage="1" xr:uid="{0742807C-359A-491A-AFC8-2588634F4781}">
          <x14:formula1>
            <xm:f>ReferentsDPT!A2:A16</xm:f>
          </x14:formula1>
          <xm:sqref>B26</xm:sqref>
        </x14:dataValidation>
        <x14:dataValidation type="list" allowBlank="1" showInputMessage="1" showErrorMessage="1" xr:uid="{618263C1-E921-4BAE-A649-904DE9EC85FF}">
          <x14:formula1>
            <xm:f>Classes!A2:A4</xm:f>
          </x14:formula1>
          <xm:sqref>E26</xm:sqref>
        </x14:dataValidation>
        <x14:dataValidation type="list" allowBlank="1" showInputMessage="1" showErrorMessage="1" xr:uid="{CD3E40CC-77B3-428B-A224-EF6FE12E0628}">
          <x14:formula1>
            <xm:f>ReferentsDPT!A2:A16</xm:f>
          </x14:formula1>
          <xm:sqref>B28</xm:sqref>
        </x14:dataValidation>
        <x14:dataValidation type="list" allowBlank="1" showInputMessage="1" showErrorMessage="1" xr:uid="{2A02B91B-64A7-4102-BFA7-373CA8DC8A48}">
          <x14:formula1>
            <xm:f>Classes!A2:A4</xm:f>
          </x14:formula1>
          <xm:sqref>E28</xm:sqref>
        </x14:dataValidation>
        <x14:dataValidation type="list" allowBlank="1" showInputMessage="1" showErrorMessage="1" xr:uid="{2A140F7E-3038-4912-BAD4-912B9FEE7AB0}">
          <x14:formula1>
            <xm:f>ReferentsDPT!A2:A16</xm:f>
          </x14:formula1>
          <xm:sqref>B29</xm:sqref>
        </x14:dataValidation>
        <x14:dataValidation type="list" allowBlank="1" showInputMessage="1" showErrorMessage="1" xr:uid="{DF34A2DA-F677-4968-993D-3EF815B1F30D}">
          <x14:formula1>
            <xm:f>Classes!A2:A4</xm:f>
          </x14:formula1>
          <xm:sqref>E29</xm:sqref>
        </x14:dataValidation>
        <x14:dataValidation type="list" allowBlank="1" showInputMessage="1" showErrorMessage="1" xr:uid="{DA873C41-87FE-4C49-9CAF-527436C101EB}">
          <x14:formula1>
            <xm:f>ReferentsDPT!A2:A16</xm:f>
          </x14:formula1>
          <xm:sqref>B31</xm:sqref>
        </x14:dataValidation>
        <x14:dataValidation type="list" allowBlank="1" showInputMessage="1" showErrorMessage="1" xr:uid="{84F024C1-7523-4DC3-9AF9-23E9F26EDA8D}">
          <x14:formula1>
            <xm:f>ReferentsDPT!A2:A16</xm:f>
          </x14:formula1>
          <xm:sqref>B32</xm:sqref>
        </x14:dataValidation>
        <x14:dataValidation type="list" allowBlank="1" showInputMessage="1" showErrorMessage="1" xr:uid="{2CD49358-A8E5-45DD-907E-61AEAD73A9B1}">
          <x14:formula1>
            <xm:f>ReferentsDPT!A2:A16</xm:f>
          </x14:formula1>
          <xm:sqref>B33</xm:sqref>
        </x14:dataValidation>
        <x14:dataValidation type="list" allowBlank="1" showInputMessage="1" showErrorMessage="1" xr:uid="{B294DFE3-3844-44D1-8E2B-D4208061B8F3}">
          <x14:formula1>
            <xm:f>Classes!A2:A4</xm:f>
          </x14:formula1>
          <xm:sqref>E33</xm:sqref>
        </x14:dataValidation>
        <x14:dataValidation type="list" allowBlank="1" showInputMessage="1" showErrorMessage="1" xr:uid="{491A1693-EE69-43B9-85F9-A672E3649166}">
          <x14:formula1>
            <xm:f>ReferentsDPT!A2:A16</xm:f>
          </x14:formula1>
          <xm:sqref>B34</xm:sqref>
        </x14:dataValidation>
        <x14:dataValidation type="list" allowBlank="1" showInputMessage="1" showErrorMessage="1" xr:uid="{9021455C-814C-49E8-A157-73589605CD69}">
          <x14:formula1>
            <xm:f>ReferentsDPT!A2:A16</xm:f>
          </x14:formula1>
          <xm:sqref>B35</xm:sqref>
        </x14:dataValidation>
        <x14:dataValidation type="list" allowBlank="1" showInputMessage="1" showErrorMessage="1" xr:uid="{64612170-387D-4C62-A934-E6C1BB880634}">
          <x14:formula1>
            <xm:f>ReferentsDPT!A2:A16</xm:f>
          </x14:formula1>
          <xm:sqref>B36</xm:sqref>
        </x14:dataValidation>
        <x14:dataValidation type="list" allowBlank="1" showInputMessage="1" showErrorMessage="1" xr:uid="{DC8497BC-640C-4335-851C-268DAC262D08}">
          <x14:formula1>
            <xm:f>ReferentsDPT!A2:A16</xm:f>
          </x14:formula1>
          <xm:sqref>B37</xm:sqref>
        </x14:dataValidation>
        <x14:dataValidation type="list" allowBlank="1" showInputMessage="1" showErrorMessage="1" xr:uid="{B732909F-5BF4-4E85-BAF4-15327F8F6ADC}">
          <x14:formula1>
            <xm:f>ReferentsDPT!A2:A16</xm:f>
          </x14:formula1>
          <xm:sqref>B38</xm:sqref>
        </x14:dataValidation>
        <x14:dataValidation type="list" allowBlank="1" showInputMessage="1" showErrorMessage="1" xr:uid="{40D8523B-20A6-4DAB-A1BA-97D3A7B5F4F5}">
          <x14:formula1>
            <xm:f>Classes!A2:A4</xm:f>
          </x14:formula1>
          <xm:sqref>E34</xm:sqref>
        </x14:dataValidation>
        <x14:dataValidation type="list" allowBlank="1" showInputMessage="1" showErrorMessage="1" xr:uid="{121BCA60-01F8-40FF-B1D2-8EC5FF000D6F}">
          <x14:formula1>
            <xm:f>Classes!A2:A4</xm:f>
          </x14:formula1>
          <xm:sqref>E35</xm:sqref>
        </x14:dataValidation>
        <x14:dataValidation type="list" allowBlank="1" showInputMessage="1" showErrorMessage="1" xr:uid="{32134A74-F503-4431-B9E1-F8CF4561DDEC}">
          <x14:formula1>
            <xm:f>Classes!A2:A4</xm:f>
          </x14:formula1>
          <xm:sqref>E36</xm:sqref>
        </x14:dataValidation>
        <x14:dataValidation type="list" allowBlank="1" showInputMessage="1" showErrorMessage="1" xr:uid="{50D87B7C-A283-4494-8868-FADE2895E9A8}">
          <x14:formula1>
            <xm:f>Classes!A2:A4</xm:f>
          </x14:formula1>
          <xm:sqref>E37</xm:sqref>
        </x14:dataValidation>
        <x14:dataValidation type="list" allowBlank="1" showInputMessage="1" showErrorMessage="1" xr:uid="{93862A5A-DA22-4E7A-A88F-D703B72B8297}">
          <x14:formula1>
            <xm:f>Classes!A2:A4</xm:f>
          </x14:formula1>
          <xm:sqref>E38</xm:sqref>
        </x14:dataValidation>
        <x14:dataValidation type="list" allowBlank="1" showInputMessage="1" showErrorMessage="1" xr:uid="{BEFBE0B8-CB5F-4EE2-9815-D8AA6EBBE2C0}">
          <x14:formula1>
            <xm:f>ReferentsDPT!A2:A16</xm:f>
          </x14:formula1>
          <xm:sqref>B39</xm:sqref>
        </x14:dataValidation>
        <x14:dataValidation type="list" allowBlank="1" showInputMessage="1" showErrorMessage="1" xr:uid="{0275E183-5067-433C-9EFF-D5502B14708E}">
          <x14:formula1>
            <xm:f>Classes!A2:A4</xm:f>
          </x14:formula1>
          <xm:sqref>E39</xm:sqref>
        </x14:dataValidation>
        <x14:dataValidation type="list" allowBlank="1" showInputMessage="1" showErrorMessage="1" xr:uid="{AAA70E33-B80A-4A77-B982-81047A1778E9}">
          <x14:formula1>
            <xm:f>ReferentsDPT!A2:A16</xm:f>
          </x14:formula1>
          <xm:sqref>B40</xm:sqref>
        </x14:dataValidation>
        <x14:dataValidation type="list" allowBlank="1" showInputMessage="1" showErrorMessage="1" xr:uid="{81CF906C-08E0-470A-8F99-5AF150FDA449}">
          <x14:formula1>
            <xm:f>ReferentsDPT!A2:A16</xm:f>
          </x14:formula1>
          <xm:sqref>B41</xm:sqref>
        </x14:dataValidation>
        <x14:dataValidation type="list" allowBlank="1" showInputMessage="1" showErrorMessage="1" xr:uid="{DB591605-87EE-4428-902F-ACF38FCEFE98}">
          <x14:formula1>
            <xm:f>Classes!A2:A4</xm:f>
          </x14:formula1>
          <xm:sqref>E40</xm:sqref>
        </x14:dataValidation>
        <x14:dataValidation type="list" allowBlank="1" showInputMessage="1" showErrorMessage="1" xr:uid="{2C36585F-9BC1-4338-8F34-4F04898BEB76}">
          <x14:formula1>
            <xm:f>Classes!A2:A4</xm:f>
          </x14:formula1>
          <xm:sqref>E41</xm:sqref>
        </x14:dataValidation>
        <x14:dataValidation type="list" allowBlank="1" showInputMessage="1" showErrorMessage="1" xr:uid="{AE4F6066-A095-407C-A32E-8D221076690C}">
          <x14:formula1>
            <xm:f>ReferentsDPT!A2:A16</xm:f>
          </x14:formula1>
          <xm:sqref>B42</xm:sqref>
        </x14:dataValidation>
        <x14:dataValidation type="list" allowBlank="1" showInputMessage="1" showErrorMessage="1" xr:uid="{8B243CE9-2DD4-4CC0-96E6-3C58C434E859}">
          <x14:formula1>
            <xm:f>ReferentsDPT!A2:A16</xm:f>
          </x14:formula1>
          <xm:sqref>B43</xm:sqref>
        </x14:dataValidation>
        <x14:dataValidation type="list" allowBlank="1" showInputMessage="1" showErrorMessage="1" xr:uid="{FCC87F73-5D73-432D-B032-0D1534FA306E}">
          <x14:formula1>
            <xm:f>Classes!A2:A4</xm:f>
          </x14:formula1>
          <xm:sqref>E42</xm:sqref>
        </x14:dataValidation>
        <x14:dataValidation type="list" allowBlank="1" showInputMessage="1" showErrorMessage="1" xr:uid="{B6C3D072-FBEF-4FCB-88BD-17A14E98BD7B}">
          <x14:formula1>
            <xm:f>Classes!A2:A4</xm:f>
          </x14:formula1>
          <xm:sqref>E43</xm:sqref>
        </x14:dataValidation>
        <x14:dataValidation type="list" allowBlank="1" showInputMessage="1" showErrorMessage="1" xr:uid="{4E2E8189-29B2-4900-9D56-708250450BFA}">
          <x14:formula1>
            <xm:f>ReferentsDPT!A2:A16</xm:f>
          </x14:formula1>
          <xm:sqref>B44</xm:sqref>
        </x14:dataValidation>
        <x14:dataValidation type="list" allowBlank="1" showInputMessage="1" showErrorMessage="1" xr:uid="{0115ABCB-9B82-4B84-B801-F3B95A537A0A}">
          <x14:formula1>
            <xm:f>Classes!A2:A4</xm:f>
          </x14:formula1>
          <xm:sqref>E44</xm:sqref>
        </x14:dataValidation>
        <x14:dataValidation type="list" allowBlank="1" showInputMessage="1" showErrorMessage="1" xr:uid="{120C78B8-3DBC-4DC6-B976-AFFB1AE40DED}">
          <x14:formula1>
            <xm:f>Classes!A2:A4</xm:f>
          </x14:formula1>
          <xm:sqref>E45</xm:sqref>
        </x14:dataValidation>
        <x14:dataValidation type="list" allowBlank="1" showInputMessage="1" showErrorMessage="1" xr:uid="{4F5B9F93-169F-4F1F-A3D8-2441BDB3E394}">
          <x14:formula1>
            <xm:f>ReferentsDPT!A2:A16</xm:f>
          </x14:formula1>
          <xm:sqref>B45</xm:sqref>
        </x14:dataValidation>
        <x14:dataValidation type="list" allowBlank="1" showInputMessage="1" showErrorMessage="1" xr:uid="{C265118F-9D5A-4B4D-AEDB-FDBB012510B9}">
          <x14:formula1>
            <xm:f>ReferentsDPT!A2:A16</xm:f>
          </x14:formula1>
          <xm:sqref>B46</xm:sqref>
        </x14:dataValidation>
        <x14:dataValidation type="list" allowBlank="1" showInputMessage="1" showErrorMessage="1" xr:uid="{122474CB-2F80-49A2-910A-8C4D0FE72145}">
          <x14:formula1>
            <xm:f>Classes!A2:A4</xm:f>
          </x14:formula1>
          <xm:sqref>E46</xm:sqref>
        </x14:dataValidation>
        <x14:dataValidation type="list" allowBlank="1" showInputMessage="1" showErrorMessage="1" xr:uid="{89B1AC11-7120-4D76-A57F-D98CEB683640}">
          <x14:formula1>
            <xm:f>ReferentsDPT!A2:A16</xm:f>
          </x14:formula1>
          <xm:sqref>B47</xm:sqref>
        </x14:dataValidation>
        <x14:dataValidation type="list" allowBlank="1" showInputMessage="1" showErrorMessage="1" xr:uid="{273EB42B-9E6C-4648-B339-65D26CF0E501}">
          <x14:formula1>
            <xm:f>Classes!A2:A4</xm:f>
          </x14:formula1>
          <xm:sqref>E47</xm:sqref>
        </x14:dataValidation>
        <x14:dataValidation type="list" allowBlank="1" showInputMessage="1" showErrorMessage="1" xr:uid="{4D8C0904-2E85-4C8F-9E0A-0BB06B624EC1}">
          <x14:formula1>
            <xm:f>ReferentsDPT!A2:A16</xm:f>
          </x14:formula1>
          <xm:sqref>B48</xm:sqref>
        </x14:dataValidation>
        <x14:dataValidation type="list" allowBlank="1" showInputMessage="1" showErrorMessage="1" xr:uid="{D5581C2F-DA30-4721-BF66-DBB85FEA2D83}">
          <x14:formula1>
            <xm:f>ReferentsDPT!A2:A16</xm:f>
          </x14:formula1>
          <xm:sqref>B49</xm:sqref>
        </x14:dataValidation>
        <x14:dataValidation type="list" allowBlank="1" showInputMessage="1" showErrorMessage="1" xr:uid="{4AACA594-A7BC-48EA-A518-9758E0DAD715}">
          <x14:formula1>
            <xm:f>ReferentsDPT!A2:A16</xm:f>
          </x14:formula1>
          <xm:sqref>B50</xm:sqref>
        </x14:dataValidation>
        <x14:dataValidation type="list" allowBlank="1" showInputMessage="1" showErrorMessage="1" xr:uid="{D9CA6F64-5A9D-4ABE-AA90-45CBF9458555}">
          <x14:formula1>
            <xm:f>ReferentsDPT!A2:A16</xm:f>
          </x14:formula1>
          <xm:sqref>B51</xm:sqref>
        </x14:dataValidation>
        <x14:dataValidation type="list" allowBlank="1" showInputMessage="1" showErrorMessage="1" xr:uid="{35BBD5B7-7BAD-4E28-BD2A-764B711CBE78}">
          <x14:formula1>
            <xm:f>ReferentsDPT!A2:A16</xm:f>
          </x14:formula1>
          <xm:sqref>B52</xm:sqref>
        </x14:dataValidation>
        <x14:dataValidation type="list" allowBlank="1" showInputMessage="1" showErrorMessage="1" xr:uid="{174EA6A7-C6A6-4A65-A392-E9135133B580}">
          <x14:formula1>
            <xm:f>Classes!A2:A4</xm:f>
          </x14:formula1>
          <xm:sqref>E31</xm:sqref>
        </x14:dataValidation>
        <x14:dataValidation type="list" allowBlank="1" showInputMessage="1" showErrorMessage="1" xr:uid="{AF7B4983-D568-476C-99C0-073AA6B3F660}">
          <x14:formula1>
            <xm:f>Classes!A2:A4</xm:f>
          </x14:formula1>
          <xm:sqref>E51</xm:sqref>
        </x14:dataValidation>
        <x14:dataValidation type="list" allowBlank="1" showInputMessage="1" showErrorMessage="1" xr:uid="{B8E90127-0813-4F41-A277-BB67765F5468}">
          <x14:formula1>
            <xm:f>Classes!A2:A4</xm:f>
          </x14:formula1>
          <xm:sqref>E32</xm:sqref>
        </x14:dataValidation>
        <x14:dataValidation type="list" allowBlank="1" showInputMessage="1" showErrorMessage="1" xr:uid="{CC87A4B2-212F-4652-B564-2FE91E899650}">
          <x14:formula1>
            <xm:f>Classes!A2:A4</xm:f>
          </x14:formula1>
          <xm:sqref>E48</xm:sqref>
        </x14:dataValidation>
        <x14:dataValidation type="list" allowBlank="1" showInputMessage="1" showErrorMessage="1" xr:uid="{E5D1C397-9E1F-4BC8-8643-CA8C08442205}">
          <x14:formula1>
            <xm:f>Classes!A2:A4</xm:f>
          </x14:formula1>
          <xm:sqref>E49</xm:sqref>
        </x14:dataValidation>
        <x14:dataValidation type="list" allowBlank="1" showInputMessage="1" showErrorMessage="1" xr:uid="{BCE67DDB-1599-4B0A-8806-73B5C7D35344}">
          <x14:formula1>
            <xm:f>Classes!A2:A4</xm:f>
          </x14:formula1>
          <xm:sqref>E50</xm:sqref>
        </x14:dataValidation>
        <x14:dataValidation type="list" allowBlank="1" showInputMessage="1" showErrorMessage="1" xr:uid="{0C97E642-290A-4EE5-BE31-4AFD0066409C}">
          <x14:formula1>
            <xm:f>ReferentsDPT!A2:A16</xm:f>
          </x14:formula1>
          <xm:sqref>B53</xm:sqref>
        </x14:dataValidation>
        <x14:dataValidation type="list" allowBlank="1" showInputMessage="1" showErrorMessage="1" xr:uid="{54CB3050-232C-4297-9E74-4C6B88B27D7B}">
          <x14:formula1>
            <xm:f>Classes!A2:A4</xm:f>
          </x14:formula1>
          <xm:sqref>E52</xm:sqref>
        </x14:dataValidation>
        <x14:dataValidation type="list" allowBlank="1" showInputMessage="1" showErrorMessage="1" xr:uid="{C5D839B8-582B-4904-BB79-CF0A8A9C87A5}">
          <x14:formula1>
            <xm:f>Classes!A2:A4</xm:f>
          </x14:formula1>
          <xm:sqref>E53</xm:sqref>
        </x14:dataValidation>
        <x14:dataValidation type="list" allowBlank="1" showInputMessage="1" showErrorMessage="1" xr:uid="{A63BCECA-1726-4DF0-843E-B7838600FCB4}">
          <x14:formula1>
            <xm:f>ReferentsDPT!A2:A16</xm:f>
          </x14:formula1>
          <xm:sqref>B54</xm:sqref>
        </x14:dataValidation>
        <x14:dataValidation type="list" allowBlank="1" showInputMessage="1" showErrorMessage="1" xr:uid="{E99C86F9-D4C9-4A2D-AC5C-920DE18D439C}">
          <x14:formula1>
            <xm:f>Classes!A2:A4</xm:f>
          </x14:formula1>
          <xm:sqref>E54</xm:sqref>
        </x14:dataValidation>
        <x14:dataValidation type="list" allowBlank="1" showInputMessage="1" showErrorMessage="1" xr:uid="{769DD8F1-2B16-4E70-96A8-1C31AA8C5F2A}">
          <x14:formula1>
            <xm:f>ReferentsDPT!A2:A16</xm:f>
          </x14:formula1>
          <xm:sqref>B27</xm:sqref>
        </x14:dataValidation>
        <x14:dataValidation type="list" allowBlank="1" showInputMessage="1" showErrorMessage="1" xr:uid="{CD4736BF-5F94-4A1C-B1A7-05EAE6730F9B}">
          <x14:formula1>
            <xm:f>Classes!A2:A4</xm:f>
          </x14:formula1>
          <xm:sqref>E27</xm:sqref>
        </x14:dataValidation>
        <x14:dataValidation type="list" allowBlank="1" showInputMessage="1" showErrorMessage="1" xr:uid="{C846F6BE-C8DF-498E-BD7F-81DFB3C80C60}">
          <x14:formula1>
            <xm:f>Classes!A2:A4</xm:f>
          </x14:formula1>
          <xm:sqref>E30</xm:sqref>
        </x14:dataValidation>
        <x14:dataValidation type="list" allowBlank="1" showInputMessage="1" showErrorMessage="1" xr:uid="{0A5E76D0-5C82-455F-9038-96CEF21F8EFC}">
          <x14:formula1>
            <xm:f>ReferentsDPT!A2:A16</xm:f>
          </x14:formula1>
          <xm:sqref>B55</xm:sqref>
        </x14:dataValidation>
        <x14:dataValidation type="list" allowBlank="1" showInputMessage="1" showErrorMessage="1" xr:uid="{6C68736B-16E8-42CC-8949-E56BB9ADF932}">
          <x14:formula1>
            <xm:f>ReferentsDPT!A2:A16</xm:f>
          </x14:formula1>
          <xm:sqref>B56</xm:sqref>
        </x14:dataValidation>
        <x14:dataValidation type="list" allowBlank="1" showInputMessage="1" showErrorMessage="1" xr:uid="{C67996DF-5EA3-4782-BD64-77A67E97E37D}">
          <x14:formula1>
            <xm:f>Classes!A2:A4</xm:f>
          </x14:formula1>
          <xm:sqref>E55</xm:sqref>
        </x14:dataValidation>
        <x14:dataValidation type="list" allowBlank="1" showInputMessage="1" showErrorMessage="1" xr:uid="{F6F8D692-A52A-4BB0-B5BB-AC9FEFA4C567}">
          <x14:formula1>
            <xm:f>Classes!A2:A4</xm:f>
          </x14:formula1>
          <xm:sqref>E56</xm:sqref>
        </x14:dataValidation>
        <x14:dataValidation type="list" allowBlank="1" showInputMessage="1" showErrorMessage="1" xr:uid="{65516B4E-352F-431C-B0BF-129BED4CA1CE}">
          <x14:formula1>
            <xm:f>ReferentsDPT!A2:A16</xm:f>
          </x14:formula1>
          <xm:sqref>B57</xm:sqref>
        </x14:dataValidation>
        <x14:dataValidation type="list" allowBlank="1" showInputMessage="1" showErrorMessage="1" xr:uid="{782D2945-09E5-4C5D-B847-3B05021810D8}">
          <x14:formula1>
            <xm:f>Classes!A2:A4</xm:f>
          </x14:formula1>
          <xm:sqref>E57</xm:sqref>
        </x14:dataValidation>
        <x14:dataValidation type="list" allowBlank="1" showInputMessage="1" showErrorMessage="1" xr:uid="{510DA923-8B01-4260-8374-D276D84CB58F}">
          <x14:formula1>
            <xm:f>ReferentsDPT!A2:A16</xm:f>
          </x14:formula1>
          <xm:sqref>B58</xm:sqref>
        </x14:dataValidation>
        <x14:dataValidation type="list" allowBlank="1" showInputMessage="1" showErrorMessage="1" xr:uid="{10FA5069-9168-4CCA-B654-13AA9F70F37E}">
          <x14:formula1>
            <xm:f>Classes!A2:A4</xm:f>
          </x14:formula1>
          <xm:sqref>E58</xm:sqref>
        </x14:dataValidation>
        <x14:dataValidation type="list" allowBlank="1" showInputMessage="1" showErrorMessage="1" xr:uid="{B9CBE712-3579-4CE3-970F-7A1168BE319C}">
          <x14:formula1>
            <xm:f>ReferentsDPT!A2:A16</xm:f>
          </x14:formula1>
          <xm:sqref>B59</xm:sqref>
        </x14:dataValidation>
        <x14:dataValidation type="list" allowBlank="1" showInputMessage="1" showErrorMessage="1" xr:uid="{38F40939-3340-4591-BF2B-9DB0C477568F}">
          <x14:formula1>
            <xm:f>Classes!A2:A4</xm:f>
          </x14:formula1>
          <xm:sqref>E59</xm:sqref>
        </x14:dataValidation>
        <x14:dataValidation type="list" allowBlank="1" showInputMessage="1" showErrorMessage="1" xr:uid="{C2D55DA8-8E69-4CAC-A28A-3C58363C3A35}">
          <x14:formula1>
            <xm:f>ReferentsDPT!A2:A16</xm:f>
          </x14:formula1>
          <xm:sqref>B60</xm:sqref>
        </x14:dataValidation>
        <x14:dataValidation type="list" allowBlank="1" showInputMessage="1" showErrorMessage="1" xr:uid="{91B2C395-E158-4B8E-AB8D-C34E52FEB61A}">
          <x14:formula1>
            <xm:f>Classes!A2:A4</xm:f>
          </x14:formula1>
          <xm:sqref>E60</xm:sqref>
        </x14:dataValidation>
        <x14:dataValidation type="list" allowBlank="1" showInputMessage="1" showErrorMessage="1" xr:uid="{05316424-1E94-4D55-8C87-DABAD957EC4C}">
          <x14:formula1>
            <xm:f>ReferentsDPT!A2:A16</xm:f>
          </x14:formula1>
          <xm:sqref>B61</xm:sqref>
        </x14:dataValidation>
        <x14:dataValidation type="list" allowBlank="1" showInputMessage="1" showErrorMessage="1" xr:uid="{99E83E5B-84CC-4094-87A2-1DEA96C8F6A5}">
          <x14:formula1>
            <xm:f>Classes!A2:A4</xm:f>
          </x14:formula1>
          <xm:sqref>E61</xm:sqref>
        </x14:dataValidation>
        <x14:dataValidation type="list" allowBlank="1" showInputMessage="1" showErrorMessage="1" xr:uid="{7A8DEF19-710C-4B71-99C8-2A47982C560B}">
          <x14:formula1>
            <xm:f>ReferentsDPT!A2:A16</xm:f>
          </x14:formula1>
          <xm:sqref>B62</xm:sqref>
        </x14:dataValidation>
        <x14:dataValidation type="list" allowBlank="1" showInputMessage="1" showErrorMessage="1" xr:uid="{4CC020F0-05BD-433F-8494-6B4C9674AC19}">
          <x14:formula1>
            <xm:f>ReferentsDPT!A2:A16</xm:f>
          </x14:formula1>
          <xm:sqref>B63</xm:sqref>
        </x14:dataValidation>
        <x14:dataValidation type="list" allowBlank="1" showInputMessage="1" showErrorMessage="1" xr:uid="{3EE0369F-71F5-497A-9E00-5447F43A468F}">
          <x14:formula1>
            <xm:f>ReferentsDPT!A2:A16</xm:f>
          </x14:formula1>
          <xm:sqref>B64</xm:sqref>
        </x14:dataValidation>
        <x14:dataValidation type="list" allowBlank="1" showInputMessage="1" showErrorMessage="1" xr:uid="{138A4930-E23A-4403-8545-91B5E69B71F9}">
          <x14:formula1>
            <xm:f>ReferentsDPT!A2:A16</xm:f>
          </x14:formula1>
          <xm:sqref>B65</xm:sqref>
        </x14:dataValidation>
        <x14:dataValidation type="list" allowBlank="1" showInputMessage="1" showErrorMessage="1" xr:uid="{D6F8B608-D35A-4FA7-B65B-A3346A57063A}">
          <x14:formula1>
            <xm:f>ReferentsDPT!A2:A16</xm:f>
          </x14:formula1>
          <xm:sqref>B66</xm:sqref>
        </x14:dataValidation>
        <x14:dataValidation type="list" allowBlank="1" showInputMessage="1" showErrorMessage="1" xr:uid="{9AA39917-983B-46F7-8A85-96B24B046D3E}">
          <x14:formula1>
            <xm:f>ReferentsDPT!A2:A16</xm:f>
          </x14:formula1>
          <xm:sqref>B67</xm:sqref>
        </x14:dataValidation>
        <x14:dataValidation type="list" allowBlank="1" showInputMessage="1" showErrorMessage="1" xr:uid="{04971627-39AA-4A34-9CA6-A7763A07C375}">
          <x14:formula1>
            <xm:f>ReferentsDPT!A2:A16</xm:f>
          </x14:formula1>
          <xm:sqref>B68</xm:sqref>
        </x14:dataValidation>
        <x14:dataValidation type="list" allowBlank="1" showInputMessage="1" showErrorMessage="1" xr:uid="{680D90DD-C560-4147-A789-7604F3B7B0F5}">
          <x14:formula1>
            <xm:f>ReferentsDPT!A2:A16</xm:f>
          </x14:formula1>
          <xm:sqref>B69</xm:sqref>
        </x14:dataValidation>
        <x14:dataValidation type="list" allowBlank="1" showInputMessage="1" showErrorMessage="1" xr:uid="{25E71748-3E48-4A47-895F-90C6A99843E4}">
          <x14:formula1>
            <xm:f>ReferentsDPT!A2:A16</xm:f>
          </x14:formula1>
          <xm:sqref>B70</xm:sqref>
        </x14:dataValidation>
        <x14:dataValidation type="list" allowBlank="1" showInputMessage="1" showErrorMessage="1" xr:uid="{5D49E145-395E-4AC8-BB9A-2E58AE9F33A3}">
          <x14:formula1>
            <xm:f>Classes!A2:A4</xm:f>
          </x14:formula1>
          <xm:sqref>E62</xm:sqref>
        </x14:dataValidation>
        <x14:dataValidation type="list" allowBlank="1" showInputMessage="1" showErrorMessage="1" xr:uid="{47F02DE6-4CD2-4E9F-B65A-555F45657CC3}">
          <x14:formula1>
            <xm:f>Classes!A2:A4</xm:f>
          </x14:formula1>
          <xm:sqref>E63</xm:sqref>
        </x14:dataValidation>
        <x14:dataValidation type="list" allowBlank="1" showInputMessage="1" showErrorMessage="1" xr:uid="{7FE61E71-FB60-4BB5-ADF8-A5A205EF5698}">
          <x14:formula1>
            <xm:f>Classes!A2:A4</xm:f>
          </x14:formula1>
          <xm:sqref>E64</xm:sqref>
        </x14:dataValidation>
        <x14:dataValidation type="list" allowBlank="1" showInputMessage="1" showErrorMessage="1" xr:uid="{967CBEBB-113A-48B1-81CE-A1EACEF8AD57}">
          <x14:formula1>
            <xm:f>Classes!A2:A4</xm:f>
          </x14:formula1>
          <xm:sqref>E65</xm:sqref>
        </x14:dataValidation>
        <x14:dataValidation type="list" allowBlank="1" showInputMessage="1" showErrorMessage="1" xr:uid="{75EAC3C7-FE93-474A-B190-B64DBFA0B059}">
          <x14:formula1>
            <xm:f>ReferentsDPT!A2:A16</xm:f>
          </x14:formula1>
          <xm:sqref>B71</xm:sqref>
        </x14:dataValidation>
        <x14:dataValidation type="list" allowBlank="1" showInputMessage="1" showErrorMessage="1" xr:uid="{B129EF14-9052-4975-B86E-0F23881D6747}">
          <x14:formula1>
            <xm:f>Classes!A2:A4</xm:f>
          </x14:formula1>
          <xm:sqref>E71</xm:sqref>
        </x14:dataValidation>
        <x14:dataValidation type="list" allowBlank="1" showInputMessage="1" showErrorMessage="1" xr:uid="{7FFB06BD-5517-4367-8E7D-A59F036BF9F3}">
          <x14:formula1>
            <xm:f>Classes!A2:A4</xm:f>
          </x14:formula1>
          <xm:sqref>E66</xm:sqref>
        </x14:dataValidation>
        <x14:dataValidation type="list" allowBlank="1" showInputMessage="1" showErrorMessage="1" xr:uid="{DF5B4A66-AE0B-41AA-AA37-DB75950F1A96}">
          <x14:formula1>
            <xm:f>Classes!A2:A4</xm:f>
          </x14:formula1>
          <xm:sqref>E67</xm:sqref>
        </x14:dataValidation>
        <x14:dataValidation type="list" allowBlank="1" showInputMessage="1" showErrorMessage="1" xr:uid="{374433E8-DDC5-4FB3-976D-29BF740A7B1D}">
          <x14:formula1>
            <xm:f>Classes!A2:A4</xm:f>
          </x14:formula1>
          <xm:sqref>E68</xm:sqref>
        </x14:dataValidation>
        <x14:dataValidation type="list" allowBlank="1" showInputMessage="1" showErrorMessage="1" xr:uid="{C1B5999B-E930-45D2-AE02-A813B28AEDAB}">
          <x14:formula1>
            <xm:f>Classes!A2:A4</xm:f>
          </x14:formula1>
          <xm:sqref>E69</xm:sqref>
        </x14:dataValidation>
        <x14:dataValidation type="list" allowBlank="1" showInputMessage="1" showErrorMessage="1" xr:uid="{DBC46C8A-A671-45B7-A237-C8FAC9A3FE75}">
          <x14:formula1>
            <xm:f>Classes!A2:A4</xm:f>
          </x14:formula1>
          <xm:sqref>E70</xm:sqref>
        </x14:dataValidation>
        <x14:dataValidation type="list" allowBlank="1" showInputMessage="1" showErrorMessage="1" xr:uid="{E6D24566-D697-4755-9614-66151F218591}">
          <x14:formula1>
            <xm:f>ReferentsDPT!A2:A16</xm:f>
          </x14:formula1>
          <xm:sqref>B72</xm:sqref>
        </x14:dataValidation>
        <x14:dataValidation type="list" allowBlank="1" showInputMessage="1" showErrorMessage="1" xr:uid="{03185784-C852-4A60-9D3C-51A3C552A65E}">
          <x14:formula1>
            <xm:f>Classes!A2:A4</xm:f>
          </x14:formula1>
          <xm:sqref>E72</xm:sqref>
        </x14:dataValidation>
        <x14:dataValidation type="list" allowBlank="1" showInputMessage="1" showErrorMessage="1" xr:uid="{35B7F381-325F-4801-A013-FABDA8968073}">
          <x14:formula1>
            <xm:f>ReferentsDPT!A2:A16</xm:f>
          </x14:formula1>
          <xm:sqref>B73</xm:sqref>
        </x14:dataValidation>
        <x14:dataValidation type="list" allowBlank="1" showInputMessage="1" showErrorMessage="1" xr:uid="{A7804B64-2BCD-4412-9BDD-FD2417134A52}">
          <x14:formula1>
            <xm:f>ReferentsDPT!A2:A16</xm:f>
          </x14:formula1>
          <xm:sqref>B74</xm:sqref>
        </x14:dataValidation>
        <x14:dataValidation type="list" allowBlank="1" showInputMessage="1" showErrorMessage="1" xr:uid="{3A87BF92-4C03-4642-A665-75971F95E6A5}">
          <x14:formula1>
            <xm:f>ReferentsDPT!A2:A16</xm:f>
          </x14:formula1>
          <xm:sqref>B75</xm:sqref>
        </x14:dataValidation>
        <x14:dataValidation type="list" allowBlank="1" showInputMessage="1" showErrorMessage="1" xr:uid="{6020687A-D498-49DC-A039-A6338AF6C0E9}">
          <x14:formula1>
            <xm:f>ReferentsDPT!A2:A16</xm:f>
          </x14:formula1>
          <xm:sqref>B76</xm:sqref>
        </x14:dataValidation>
        <x14:dataValidation type="list" allowBlank="1" showInputMessage="1" showErrorMessage="1" xr:uid="{1DEE617D-CDA7-47AB-8A4F-8E3EC350A7E0}">
          <x14:formula1>
            <xm:f>ReferentsDPT!A2:A16</xm:f>
          </x14:formula1>
          <xm:sqref>B77</xm:sqref>
        </x14:dataValidation>
        <x14:dataValidation type="list" allowBlank="1" showInputMessage="1" showErrorMessage="1" xr:uid="{BC4150CB-BB23-45C8-9435-33475D76AED2}">
          <x14:formula1>
            <xm:f>Classes!A2:A4</xm:f>
          </x14:formula1>
          <xm:sqref>E73</xm:sqref>
        </x14:dataValidation>
        <x14:dataValidation type="list" allowBlank="1" showInputMessage="1" showErrorMessage="1" xr:uid="{36F70C8B-0914-4E6E-9BC3-30E70837DA54}">
          <x14:formula1>
            <xm:f>Classes!A2:A4</xm:f>
          </x14:formula1>
          <xm:sqref>E74</xm:sqref>
        </x14:dataValidation>
        <x14:dataValidation type="list" allowBlank="1" showInputMessage="1" showErrorMessage="1" xr:uid="{A8138C07-6D1C-4431-8377-886413BF70B4}">
          <x14:formula1>
            <xm:f>Classes!A2:A4</xm:f>
          </x14:formula1>
          <xm:sqref>E75</xm:sqref>
        </x14:dataValidation>
        <x14:dataValidation type="list" allowBlank="1" showInputMessage="1" showErrorMessage="1" xr:uid="{AD2B7791-D834-48F0-9A58-1522A09514FC}">
          <x14:formula1>
            <xm:f>ReferentsDPT!A2:A16</xm:f>
          </x14:formula1>
          <xm:sqref>B78</xm:sqref>
        </x14:dataValidation>
        <x14:dataValidation type="list" allowBlank="1" showInputMessage="1" showErrorMessage="1" xr:uid="{E19E12A9-8EA4-498D-8761-AA2D07A1C753}">
          <x14:formula1>
            <xm:f>Classes!A2:A4</xm:f>
          </x14:formula1>
          <xm:sqref>E76</xm:sqref>
        </x14:dataValidation>
        <x14:dataValidation type="list" allowBlank="1" showInputMessage="1" showErrorMessage="1" xr:uid="{8B7829B4-E4E6-4176-9488-8DDB773F6B35}">
          <x14:formula1>
            <xm:f>Classes!A2:A4</xm:f>
          </x14:formula1>
          <xm:sqref>E77</xm:sqref>
        </x14:dataValidation>
        <x14:dataValidation type="list" allowBlank="1" showInputMessage="1" showErrorMessage="1" xr:uid="{AEE254DE-C1A7-4A5B-993A-F29FAF9B5B4B}">
          <x14:formula1>
            <xm:f>Classes!A2:A4</xm:f>
          </x14:formula1>
          <xm:sqref>E78</xm:sqref>
        </x14:dataValidation>
        <x14:dataValidation type="list" allowBlank="1" showInputMessage="1" showErrorMessage="1" xr:uid="{B387836E-E7B2-43E2-AD25-30D8694F061E}">
          <x14:formula1>
            <xm:f>ReferentsDPT!A2:A16</xm:f>
          </x14:formula1>
          <xm:sqref>B79</xm:sqref>
        </x14:dataValidation>
        <x14:dataValidation type="list" allowBlank="1" showInputMessage="1" showErrorMessage="1" xr:uid="{E80AA04F-EB35-4912-8CFC-D87046A2AB6D}">
          <x14:formula1>
            <xm:f>Classes!A2:A4</xm:f>
          </x14:formula1>
          <xm:sqref>E79</xm:sqref>
        </x14:dataValidation>
        <x14:dataValidation type="list" allowBlank="1" showInputMessage="1" showErrorMessage="1" xr:uid="{7DC03D36-70C9-470E-8A6B-B471EAAC74C3}">
          <x14:formula1>
            <xm:f>ReferentsDPT!A2:A16</xm:f>
          </x14:formula1>
          <xm:sqref>B80</xm:sqref>
        </x14:dataValidation>
        <x14:dataValidation type="list" allowBlank="1" showInputMessage="1" showErrorMessage="1" xr:uid="{3C9FA4F9-04F8-44BC-9257-9F446B1566BD}">
          <x14:formula1>
            <xm:f>Classes!A2:A4</xm:f>
          </x14:formula1>
          <xm:sqref>E80</xm:sqref>
        </x14:dataValidation>
        <x14:dataValidation type="list" allowBlank="1" showInputMessage="1" showErrorMessage="1" xr:uid="{930A69A1-0489-472B-8CD8-964BA7AF64C6}">
          <x14:formula1>
            <xm:f>ReferentsDPT!A2:A16</xm:f>
          </x14:formula1>
          <xm:sqref>B81</xm:sqref>
        </x14:dataValidation>
        <x14:dataValidation type="list" allowBlank="1" showInputMessage="1" showErrorMessage="1" xr:uid="{4EB35A9B-CB5C-48CE-A85C-DB7724E5CDAE}">
          <x14:formula1>
            <xm:f>Classes!A2:A4</xm:f>
          </x14:formula1>
          <xm:sqref>E81</xm:sqref>
        </x14:dataValidation>
        <x14:dataValidation type="list" allowBlank="1" showInputMessage="1" showErrorMessage="1" xr:uid="{0AFB8A49-EDB0-459A-9733-36223C8E9211}">
          <x14:formula1>
            <xm:f>ReferentsDPT!A2:A16</xm:f>
          </x14:formula1>
          <xm:sqref>B82</xm:sqref>
        </x14:dataValidation>
        <x14:dataValidation type="list" allowBlank="1" showInputMessage="1" showErrorMessage="1" xr:uid="{FFC9FB96-3C5E-4EFB-9E79-5A91AF27CC3C}">
          <x14:formula1>
            <xm:f>Classes!A2:A4</xm:f>
          </x14:formula1>
          <xm:sqref>E82</xm:sqref>
        </x14:dataValidation>
        <x14:dataValidation type="list" allowBlank="1" showInputMessage="1" showErrorMessage="1" xr:uid="{2D02F67A-210F-42FD-A0C9-17CC18F65C50}">
          <x14:formula1>
            <xm:f>ReferentsDPT!A2:A16</xm:f>
          </x14:formula1>
          <xm:sqref>B83</xm:sqref>
        </x14:dataValidation>
        <x14:dataValidation type="list" allowBlank="1" showInputMessage="1" showErrorMessage="1" xr:uid="{3DF1359F-57A1-4763-9737-0BC3E97E3945}">
          <x14:formula1>
            <xm:f>Classes!A2:A4</xm:f>
          </x14:formula1>
          <xm:sqref>E83</xm:sqref>
        </x14:dataValidation>
        <x14:dataValidation type="list" allowBlank="1" showInputMessage="1" showErrorMessage="1" xr:uid="{00B94D10-4FE0-4D46-9BE3-6D12EC44429C}">
          <x14:formula1>
            <xm:f>ReferentsDPT!A2:A16</xm:f>
          </x14:formula1>
          <xm:sqref>B84</xm:sqref>
        </x14:dataValidation>
        <x14:dataValidation type="list" allowBlank="1" showInputMessage="1" showErrorMessage="1" xr:uid="{4CF64E49-3862-4379-94BD-0492ED24D2A9}">
          <x14:formula1>
            <xm:f>Classes!A2:A4</xm:f>
          </x14:formula1>
          <xm:sqref>E84</xm:sqref>
        </x14:dataValidation>
        <x14:dataValidation type="list" allowBlank="1" showInputMessage="1" showErrorMessage="1" xr:uid="{87D686A0-8237-42B3-9F20-A2E315353986}">
          <x14:formula1>
            <xm:f>ReferentsDPT!A2:A16</xm:f>
          </x14:formula1>
          <xm:sqref>B85</xm:sqref>
        </x14:dataValidation>
        <x14:dataValidation type="list" allowBlank="1" showInputMessage="1" showErrorMessage="1" xr:uid="{782E4128-7609-4F42-8555-0FF7BF9C6710}">
          <x14:formula1>
            <xm:f>Classes!A2:A4</xm:f>
          </x14:formula1>
          <xm:sqref>E85</xm:sqref>
        </x14:dataValidation>
        <x14:dataValidation type="list" allowBlank="1" showInputMessage="1" showErrorMessage="1" xr:uid="{29C5B9E6-8688-4294-8325-A910AEB56ADB}">
          <x14:formula1>
            <xm:f>ReferentsDPT!A2:A16</xm:f>
          </x14:formula1>
          <xm:sqref>B86</xm:sqref>
        </x14:dataValidation>
        <x14:dataValidation type="list" allowBlank="1" showInputMessage="1" showErrorMessage="1" xr:uid="{A36E86D7-998C-4995-9EF3-73AC53FCAD53}">
          <x14:formula1>
            <xm:f>ReferentsDPT!A2:A16</xm:f>
          </x14:formula1>
          <xm:sqref>B87</xm:sqref>
        </x14:dataValidation>
        <x14:dataValidation type="list" allowBlank="1" showInputMessage="1" showErrorMessage="1" xr:uid="{E2AA18C2-5205-402B-B2AB-C3DD2F3092B4}">
          <x14:formula1>
            <xm:f>Classes!A2:A4</xm:f>
          </x14:formula1>
          <xm:sqref>E86</xm:sqref>
        </x14:dataValidation>
        <x14:dataValidation type="list" allowBlank="1" showInputMessage="1" showErrorMessage="1" xr:uid="{DDB95A4A-E208-43CF-9383-A63BF68CE50D}">
          <x14:formula1>
            <xm:f>Classes!A2:A4</xm:f>
          </x14:formula1>
          <xm:sqref>E87</xm:sqref>
        </x14:dataValidation>
        <x14:dataValidation type="list" allowBlank="1" showInputMessage="1" showErrorMessage="1" xr:uid="{9A2E1BF3-0203-4258-9FC0-2A9CCCD68851}">
          <x14:formula1>
            <xm:f>ReferentsDPT!A2:A16</xm:f>
          </x14:formula1>
          <xm:sqref>B88</xm:sqref>
        </x14:dataValidation>
        <x14:dataValidation type="list" allowBlank="1" showInputMessage="1" showErrorMessage="1" xr:uid="{0C2441E0-95E4-4581-A124-5070BFEE076B}">
          <x14:formula1>
            <xm:f>ReferentsDPT!A2:A16</xm:f>
          </x14:formula1>
          <xm:sqref>B89</xm:sqref>
        </x14:dataValidation>
        <x14:dataValidation type="list" allowBlank="1" showInputMessage="1" showErrorMessage="1" xr:uid="{1D60B802-17D5-414C-9999-D04BD8D36FC8}">
          <x14:formula1>
            <xm:f>ReferentsDPT!A2:A16</xm:f>
          </x14:formula1>
          <xm:sqref>B90</xm:sqref>
        </x14:dataValidation>
        <x14:dataValidation type="list" allowBlank="1" showInputMessage="1" showErrorMessage="1" xr:uid="{CD8BA4AE-6AB1-41E4-9B8C-18F4BE311E6C}">
          <x14:formula1>
            <xm:f>Classes!A2:A4</xm:f>
          </x14:formula1>
          <xm:sqref>E88</xm:sqref>
        </x14:dataValidation>
        <x14:dataValidation type="list" allowBlank="1" showInputMessage="1" showErrorMessage="1" xr:uid="{6BAA8B9A-ABC1-4287-9936-2A2C682447A5}">
          <x14:formula1>
            <xm:f>Classes!A2:A4</xm:f>
          </x14:formula1>
          <xm:sqref>E89</xm:sqref>
        </x14:dataValidation>
        <x14:dataValidation type="list" allowBlank="1" showInputMessage="1" showErrorMessage="1" xr:uid="{C2B7705D-E1B6-4459-9FE1-914916BDA596}">
          <x14:formula1>
            <xm:f>Classes!A2:A4</xm:f>
          </x14:formula1>
          <xm:sqref>E90</xm:sqref>
        </x14:dataValidation>
        <x14:dataValidation type="list" allowBlank="1" showInputMessage="1" showErrorMessage="1" xr:uid="{21616831-652A-4CCA-B360-51FBBB77B1C6}">
          <x14:formula1>
            <xm:f>ReferentsDPT!A2:A16</xm:f>
          </x14:formula1>
          <xm:sqref>B91</xm:sqref>
        </x14:dataValidation>
        <x14:dataValidation type="list" allowBlank="1" showInputMessage="1" showErrorMessage="1" xr:uid="{9B478590-D7AC-4242-8108-BB349ED28EAE}">
          <x14:formula1>
            <xm:f>Classes!A2:A4</xm:f>
          </x14:formula1>
          <xm:sqref>E91</xm:sqref>
        </x14:dataValidation>
        <x14:dataValidation type="list" allowBlank="1" showInputMessage="1" showErrorMessage="1" xr:uid="{93925601-EDCA-46BB-88F3-A4C1D2B1F868}">
          <x14:formula1>
            <xm:f>ReferentsDPT!A2:A16</xm:f>
          </x14:formula1>
          <xm:sqref>B92</xm:sqref>
        </x14:dataValidation>
        <x14:dataValidation type="list" allowBlank="1" showInputMessage="1" showErrorMessage="1" xr:uid="{CBA151E9-5DCB-4B2A-B3EE-660B909DE73C}">
          <x14:formula1>
            <xm:f>Classes!A2:A4</xm:f>
          </x14:formula1>
          <xm:sqref>E92</xm:sqref>
        </x14:dataValidation>
        <x14:dataValidation type="list" allowBlank="1" showInputMessage="1" showErrorMessage="1" xr:uid="{7AD3A35D-18BF-4B49-9B42-5319D2BB074B}">
          <x14:formula1>
            <xm:f>ReferentsDPT!A2:A16</xm:f>
          </x14:formula1>
          <xm:sqref>B93</xm:sqref>
        </x14:dataValidation>
        <x14:dataValidation type="list" allowBlank="1" showInputMessage="1" showErrorMessage="1" xr:uid="{B5708523-B593-42D9-9437-C9C03022E55B}">
          <x14:formula1>
            <xm:f>Classes!A2:A4</xm:f>
          </x14:formula1>
          <xm:sqref>E93</xm:sqref>
        </x14:dataValidation>
        <x14:dataValidation type="list" allowBlank="1" showInputMessage="1" showErrorMessage="1" xr:uid="{275BDF79-D473-4385-A0A8-90C7025D681B}">
          <x14:formula1>
            <xm:f>ReferentsDPT!A2:A16</xm:f>
          </x14:formula1>
          <xm:sqref>B94</xm:sqref>
        </x14:dataValidation>
        <x14:dataValidation type="list" allowBlank="1" showInputMessage="1" showErrorMessage="1" xr:uid="{35E8D43B-5A10-492D-886E-08BEFBA99494}">
          <x14:formula1>
            <xm:f>Classes!A2:A4</xm:f>
          </x14:formula1>
          <xm:sqref>E94</xm:sqref>
        </x14:dataValidation>
        <x14:dataValidation type="list" allowBlank="1" showInputMessage="1" showErrorMessage="1" xr:uid="{4F6CC389-08B3-48F7-A00A-E6171B6E2A69}">
          <x14:formula1>
            <xm:f>ReferentsDPT!A2:A16</xm:f>
          </x14:formula1>
          <xm:sqref>B95</xm:sqref>
        </x14:dataValidation>
        <x14:dataValidation type="list" allowBlank="1" showInputMessage="1" showErrorMessage="1" xr:uid="{8E85188E-60C2-4FB1-A979-2443CB0F63DB}">
          <x14:formula1>
            <xm:f>Classes!A2:A4</xm:f>
          </x14:formula1>
          <xm:sqref>E95</xm:sqref>
        </x14:dataValidation>
        <x14:dataValidation type="list" allowBlank="1" showInputMessage="1" showErrorMessage="1" xr:uid="{6A23717F-4A3C-462D-8359-01371C3C81B8}">
          <x14:formula1>
            <xm:f>ReferentsDPT!A2:A16</xm:f>
          </x14:formula1>
          <xm:sqref>B96</xm:sqref>
        </x14:dataValidation>
        <x14:dataValidation type="list" allowBlank="1" showInputMessage="1" showErrorMessage="1" xr:uid="{2790AD69-BF6F-455B-ACAD-FEE1C336F89C}">
          <x14:formula1>
            <xm:f>Classes!A2:A4</xm:f>
          </x14:formula1>
          <xm:sqref>E96</xm:sqref>
        </x14:dataValidation>
        <x14:dataValidation type="list" allowBlank="1" showInputMessage="1" showErrorMessage="1" xr:uid="{70E650D2-8CFF-4DEF-A1E8-AE1A62F57664}">
          <x14:formula1>
            <xm:f>ReferentsDPT!A2:A16</xm:f>
          </x14:formula1>
          <xm:sqref>B97</xm:sqref>
        </x14:dataValidation>
        <x14:dataValidation type="list" allowBlank="1" showInputMessage="1" showErrorMessage="1" xr:uid="{94C57B29-5552-424D-9266-660CED6F685F}">
          <x14:formula1>
            <xm:f>ReferentsDPT!A2:A16</xm:f>
          </x14:formula1>
          <xm:sqref>B98</xm:sqref>
        </x14:dataValidation>
        <x14:dataValidation type="list" allowBlank="1" showInputMessage="1" showErrorMessage="1" xr:uid="{68D759E8-0FAA-40E5-BAD5-C8E818F88B12}">
          <x14:formula1>
            <xm:f>Classes!A2:A4</xm:f>
          </x14:formula1>
          <xm:sqref>E97</xm:sqref>
        </x14:dataValidation>
        <x14:dataValidation type="list" allowBlank="1" showInputMessage="1" showErrorMessage="1" xr:uid="{52DB67F5-560A-47E0-B315-8C640C0A5A63}">
          <x14:formula1>
            <xm:f>Classes!A2:A4</xm:f>
          </x14:formula1>
          <xm:sqref>E98</xm:sqref>
        </x14:dataValidation>
        <x14:dataValidation type="list" allowBlank="1" showInputMessage="1" showErrorMessage="1" xr:uid="{CC8EAF31-EE7B-4D5F-8AD6-CC778F5DB81A}">
          <x14:formula1>
            <xm:f>ReferentsDPT!A2:A16</xm:f>
          </x14:formula1>
          <xm:sqref>B99</xm:sqref>
        </x14:dataValidation>
        <x14:dataValidation type="list" allowBlank="1" showInputMessage="1" showErrorMessage="1" xr:uid="{6FDF4CB1-A1E8-4A2B-96AC-3D8615CCC5C8}">
          <x14:formula1>
            <xm:f>ReferentsDPT!A2:A16</xm:f>
          </x14:formula1>
          <xm:sqref>B100</xm:sqref>
        </x14:dataValidation>
        <x14:dataValidation type="list" allowBlank="1" showInputMessage="1" showErrorMessage="1" xr:uid="{4FD5ED70-1E4A-4A65-860E-8410F23BD665}">
          <x14:formula1>
            <xm:f>Classes!A2:A4</xm:f>
          </x14:formula1>
          <xm:sqref>E99</xm:sqref>
        </x14:dataValidation>
        <x14:dataValidation type="list" allowBlank="1" showInputMessage="1" showErrorMessage="1" xr:uid="{B7FC577F-3BB8-405C-B4C6-9D47AF4BB977}">
          <x14:formula1>
            <xm:f>Classes!A2:A4</xm:f>
          </x14:formula1>
          <xm:sqref>E100</xm:sqref>
        </x14:dataValidation>
        <x14:dataValidation type="list" allowBlank="1" showInputMessage="1" showErrorMessage="1" xr:uid="{B6119C8D-B736-4282-AECF-4E2B6435761F}">
          <x14:formula1>
            <xm:f>ReferentsDPT!A2:A16</xm:f>
          </x14:formula1>
          <xm:sqref>B101</xm:sqref>
        </x14:dataValidation>
        <x14:dataValidation type="list" allowBlank="1" showInputMessage="1" showErrorMessage="1" xr:uid="{A162B8F1-9B70-4D7A-AAF0-16DC99B3618A}">
          <x14:formula1>
            <xm:f>Classes!A2:A4</xm:f>
          </x14:formula1>
          <xm:sqref>E101</xm:sqref>
        </x14:dataValidation>
        <x14:dataValidation type="list" allowBlank="1" showInputMessage="1" showErrorMessage="1" xr:uid="{0E0BF3D6-3930-4355-AEA1-CA2A6405A6DC}">
          <x14:formula1>
            <xm:f>ReferentsDPT!A2:A16</xm:f>
          </x14:formula1>
          <xm:sqref>B102</xm:sqref>
        </x14:dataValidation>
        <x14:dataValidation type="list" allowBlank="1" showInputMessage="1" showErrorMessage="1" xr:uid="{A62A5450-A9A5-4E4C-AC7C-CC9CEFD4C7E5}">
          <x14:formula1>
            <xm:f>Classes!A2:A4</xm:f>
          </x14:formula1>
          <xm:sqref>E102</xm:sqref>
        </x14:dataValidation>
        <x14:dataValidation type="list" allowBlank="1" showInputMessage="1" showErrorMessage="1" xr:uid="{C480FF98-19E4-464A-BDA7-036D2E2B149D}">
          <x14:formula1>
            <xm:f>ReferentsDPT!A2:A16</xm:f>
          </x14:formula1>
          <xm:sqref>B103</xm:sqref>
        </x14:dataValidation>
        <x14:dataValidation type="list" allowBlank="1" showInputMessage="1" showErrorMessage="1" xr:uid="{F606D0F5-BB04-4631-A6FA-91C72DA25CEC}">
          <x14:formula1>
            <xm:f>ReferentsDPT!A2:A16</xm:f>
          </x14:formula1>
          <xm:sqref>B104</xm:sqref>
        </x14:dataValidation>
        <x14:dataValidation type="list" allowBlank="1" showInputMessage="1" showErrorMessage="1" xr:uid="{431AA4A6-4AC9-4232-8030-BA536DDEFD73}">
          <x14:formula1>
            <xm:f>Classes!A2:A4</xm:f>
          </x14:formula1>
          <xm:sqref>E103</xm:sqref>
        </x14:dataValidation>
        <x14:dataValidation type="list" allowBlank="1" showInputMessage="1" showErrorMessage="1" xr:uid="{8F316A5B-9221-4E56-AFBB-661941B7122B}">
          <x14:formula1>
            <xm:f>Classes!A2:A4</xm:f>
          </x14:formula1>
          <xm:sqref>E104</xm:sqref>
        </x14:dataValidation>
        <x14:dataValidation type="list" allowBlank="1" showInputMessage="1" showErrorMessage="1" xr:uid="{0D0E5885-F490-4B99-9361-742838D7DD29}">
          <x14:formula1>
            <xm:f>ReferentsDPT!A2:A16</xm:f>
          </x14:formula1>
          <xm:sqref>B105</xm:sqref>
        </x14:dataValidation>
        <x14:dataValidation type="list" allowBlank="1" showInputMessage="1" showErrorMessage="1" xr:uid="{5F2C1DD6-B3BF-4EE7-A1D4-4F052062314E}">
          <x14:formula1>
            <xm:f>Classes!A2:A4</xm:f>
          </x14:formula1>
          <xm:sqref>E105</xm:sqref>
        </x14:dataValidation>
        <x14:dataValidation type="list" allowBlank="1" showInputMessage="1" showErrorMessage="1" xr:uid="{89D2E8FE-008D-4532-8128-0DB79025998B}">
          <x14:formula1>
            <xm:f>ReferentsDPT!A2:A16</xm:f>
          </x14:formula1>
          <xm:sqref>B106</xm:sqref>
        </x14:dataValidation>
        <x14:dataValidation type="list" allowBlank="1" showInputMessage="1" showErrorMessage="1" xr:uid="{3892678F-1731-4438-9462-571703DA5A38}">
          <x14:formula1>
            <xm:f>Classes!A2:A4</xm:f>
          </x14:formula1>
          <xm:sqref>E106</xm:sqref>
        </x14:dataValidation>
        <x14:dataValidation type="list" allowBlank="1" showInputMessage="1" showErrorMessage="1" xr:uid="{73D5B8BA-A1BF-4D1C-B824-9CE1164637C4}">
          <x14:formula1>
            <xm:f>ReferentsDPT!A2:A16</xm:f>
          </x14:formula1>
          <xm:sqref>B107</xm:sqref>
        </x14:dataValidation>
        <x14:dataValidation type="list" allowBlank="1" showInputMessage="1" showErrorMessage="1" xr:uid="{C37CA277-8050-4379-96D9-FD16F64856CA}">
          <x14:formula1>
            <xm:f>Classes!A2:A4</xm:f>
          </x14:formula1>
          <xm:sqref>E107</xm:sqref>
        </x14:dataValidation>
        <x14:dataValidation type="list" allowBlank="1" showInputMessage="1" showErrorMessage="1" xr:uid="{91050FAA-B921-40B6-A2A3-A3DACC19E996}">
          <x14:formula1>
            <xm:f>Classes!A2:A4</xm:f>
          </x14:formula1>
          <xm:sqref>E108</xm:sqref>
        </x14:dataValidation>
        <x14:dataValidation type="list" allowBlank="1" showInputMessage="1" showErrorMessage="1" xr:uid="{A6768AE0-6F2B-4838-AF9F-8DD1D942B0A2}">
          <x14:formula1>
            <xm:f>ReferentsDPT!A2:A16</xm:f>
          </x14:formula1>
          <xm:sqref>B109</xm:sqref>
        </x14:dataValidation>
        <x14:dataValidation type="list" allowBlank="1" showInputMessage="1" showErrorMessage="1" xr:uid="{644494D3-3EC5-4ABD-9C4B-4F40A2AC8454}">
          <x14:formula1>
            <xm:f>Classes!A2:A4</xm:f>
          </x14:formula1>
          <xm:sqref>E109</xm:sqref>
        </x14:dataValidation>
        <x14:dataValidation type="list" allowBlank="1" showInputMessage="1" showErrorMessage="1" xr:uid="{87CF8EEF-54DE-41A7-866C-20B67B1AF2CE}">
          <x14:formula1>
            <xm:f>ReferentsDPT!A2:A16</xm:f>
          </x14:formula1>
          <xm:sqref>B110</xm:sqref>
        </x14:dataValidation>
        <x14:dataValidation type="list" allowBlank="1" showInputMessage="1" showErrorMessage="1" xr:uid="{5D6810BE-CE42-450F-9CCC-38F2EA676B99}">
          <x14:formula1>
            <xm:f>Classes!A2:A4</xm:f>
          </x14:formula1>
          <xm:sqref>E110</xm:sqref>
        </x14:dataValidation>
        <x14:dataValidation type="list" allowBlank="1" showInputMessage="1" showErrorMessage="1" xr:uid="{D67A4A8E-BF2B-4F7C-8D30-3C7DC3747406}">
          <x14:formula1>
            <xm:f>ReferentsDPT!A2:A16</xm:f>
          </x14:formula1>
          <xm:sqref>B111</xm:sqref>
        </x14:dataValidation>
        <x14:dataValidation type="list" allowBlank="1" showInputMessage="1" showErrorMessage="1" xr:uid="{ED0A8C11-8D00-4F2D-AFB2-7BEA04DBDC67}">
          <x14:formula1>
            <xm:f>Classes!A2:A4</xm:f>
          </x14:formula1>
          <xm:sqref>E111</xm:sqref>
        </x14:dataValidation>
        <x14:dataValidation type="list" allowBlank="1" showInputMessage="1" showErrorMessage="1" xr:uid="{6BCCEC05-2399-489C-AFE7-4F9DDA2021A1}">
          <x14:formula1>
            <xm:f>ReferentsDPT!A2:A16</xm:f>
          </x14:formula1>
          <xm:sqref>B112</xm:sqref>
        </x14:dataValidation>
        <x14:dataValidation type="list" allowBlank="1" showInputMessage="1" showErrorMessage="1" xr:uid="{B799CC4B-F3E7-4EFD-8D9A-D876F8F17E75}">
          <x14:formula1>
            <xm:f>Classes!A2:A4</xm:f>
          </x14:formula1>
          <xm:sqref>E112</xm:sqref>
        </x14:dataValidation>
        <x14:dataValidation type="list" allowBlank="1" showInputMessage="1" showErrorMessage="1" xr:uid="{30E6FB9B-EC1F-4F86-8579-58C8B613829C}">
          <x14:formula1>
            <xm:f>ReferentsDPT!A2:A16</xm:f>
          </x14:formula1>
          <xm:sqref>B113</xm:sqref>
        </x14:dataValidation>
        <x14:dataValidation type="list" allowBlank="1" showInputMessage="1" showErrorMessage="1" xr:uid="{5FFD13E0-29E3-401D-B9C2-BA20DB5570CD}">
          <x14:formula1>
            <xm:f>ReferentsDPT!A2:A16</xm:f>
          </x14:formula1>
          <xm:sqref>B114</xm:sqref>
        </x14:dataValidation>
        <x14:dataValidation type="list" allowBlank="1" showInputMessage="1" showErrorMessage="1" xr:uid="{D96D76B1-E845-4679-8574-42E93C483B45}">
          <x14:formula1>
            <xm:f>ReferentsDPT!A2:A16</xm:f>
          </x14:formula1>
          <xm:sqref>B115</xm:sqref>
        </x14:dataValidation>
        <x14:dataValidation type="list" allowBlank="1" showInputMessage="1" showErrorMessage="1" xr:uid="{B3375389-84D9-4EC4-B4D0-1ACFAACED635}">
          <x14:formula1>
            <xm:f>ReferentsDPT!A2:A16</xm:f>
          </x14:formula1>
          <xm:sqref>B116</xm:sqref>
        </x14:dataValidation>
        <x14:dataValidation type="list" allowBlank="1" showInputMessage="1" showErrorMessage="1" xr:uid="{0968BD3A-C06B-4691-8DE8-ECF59E5CB8DA}">
          <x14:formula1>
            <xm:f>ReferentsDPT!A2:A16</xm:f>
          </x14:formula1>
          <xm:sqref>B117</xm:sqref>
        </x14:dataValidation>
        <x14:dataValidation type="list" allowBlank="1" showInputMessage="1" showErrorMessage="1" xr:uid="{50E4BA15-FC16-4849-B7FB-FDCACF4BB287}">
          <x14:formula1>
            <xm:f>Classes!A2:A4</xm:f>
          </x14:formula1>
          <xm:sqref>E114</xm:sqref>
        </x14:dataValidation>
        <x14:dataValidation type="list" allowBlank="1" showInputMessage="1" showErrorMessage="1" xr:uid="{E06B585E-7079-4A62-AC1C-DF3B2AF2FCEC}">
          <x14:formula1>
            <xm:f>Classes!A2:A4</xm:f>
          </x14:formula1>
          <xm:sqref>E115</xm:sqref>
        </x14:dataValidation>
        <x14:dataValidation type="list" allowBlank="1" showInputMessage="1" showErrorMessage="1" xr:uid="{74F0FAC5-76CA-4B3B-97B8-CF27BEFEA0DA}">
          <x14:formula1>
            <xm:f>Classes!A2:A4</xm:f>
          </x14:formula1>
          <xm:sqref>E113</xm:sqref>
        </x14:dataValidation>
        <x14:dataValidation type="list" allowBlank="1" showInputMessage="1" showErrorMessage="1" xr:uid="{A8EEBC0F-BA4B-4824-9E40-A4B5F9A61B7F}">
          <x14:formula1>
            <xm:f>Classes!A2:A4</xm:f>
          </x14:formula1>
          <xm:sqref>E116</xm:sqref>
        </x14:dataValidation>
        <x14:dataValidation type="list" allowBlank="1" showInputMessage="1" showErrorMessage="1" xr:uid="{07FC9D54-FDA3-4973-824B-C36BA99431DA}">
          <x14:formula1>
            <xm:f>Classes!A2:A4</xm:f>
          </x14:formula1>
          <xm:sqref>E117</xm:sqref>
        </x14:dataValidation>
        <x14:dataValidation type="list" allowBlank="1" showInputMessage="1" showErrorMessage="1" xr:uid="{7B9C8ADE-4C46-4D6E-AE88-6514277D2166}">
          <x14:formula1>
            <xm:f>ReferentsDPT!A2:A16</xm:f>
          </x14:formula1>
          <xm:sqref>B118</xm:sqref>
        </x14:dataValidation>
        <x14:dataValidation type="list" allowBlank="1" showInputMessage="1" showErrorMessage="1" xr:uid="{9BB98C9B-7498-4BA2-BBA2-E317DD5EA1A7}">
          <x14:formula1>
            <xm:f>Classes!A2:A4</xm:f>
          </x14:formula1>
          <xm:sqref>E118</xm:sqref>
        </x14:dataValidation>
        <x14:dataValidation type="list" allowBlank="1" showInputMessage="1" showErrorMessage="1" xr:uid="{5AADBC82-7F48-47A9-91B4-B043C4AD5256}">
          <x14:formula1>
            <xm:f>ReferentsDPT!A2:A16</xm:f>
          </x14:formula1>
          <xm:sqref>B119</xm:sqref>
        </x14:dataValidation>
        <x14:dataValidation type="list" allowBlank="1" showInputMessage="1" showErrorMessage="1" xr:uid="{3F1A3BBB-BCD3-4F85-A1F3-B110708282D7}">
          <x14:formula1>
            <xm:f>Classes!A2:A4</xm:f>
          </x14:formula1>
          <xm:sqref>E119</xm:sqref>
        </x14:dataValidation>
        <x14:dataValidation type="list" allowBlank="1" showInputMessage="1" showErrorMessage="1" xr:uid="{33B9D19C-923C-4984-83C5-C60564AD543C}">
          <x14:formula1>
            <xm:f>ReferentsDPT!A2:A16</xm:f>
          </x14:formula1>
          <xm:sqref>B120</xm:sqref>
        </x14:dataValidation>
        <x14:dataValidation type="list" allowBlank="1" showInputMessage="1" showErrorMessage="1" xr:uid="{E147D66B-DA35-4A52-88EE-AB6950B1DF22}">
          <x14:formula1>
            <xm:f>Classes!A2:A4</xm:f>
          </x14:formula1>
          <xm:sqref>E120</xm:sqref>
        </x14:dataValidation>
        <x14:dataValidation type="list" allowBlank="1" showInputMessage="1" showErrorMessage="1" xr:uid="{515F4F1F-0540-4E59-A724-17E9B85805DA}">
          <x14:formula1>
            <xm:f>ReferentsDPT!A2:A16</xm:f>
          </x14:formula1>
          <xm:sqref>B121</xm:sqref>
        </x14:dataValidation>
        <x14:dataValidation type="list" allowBlank="1" showInputMessage="1" showErrorMessage="1" xr:uid="{26E531D4-96CC-4B61-9867-A9F3EE60FDBA}">
          <x14:formula1>
            <xm:f>Classes!A2:A4</xm:f>
          </x14:formula1>
          <xm:sqref>E121</xm:sqref>
        </x14:dataValidation>
        <x14:dataValidation type="list" allowBlank="1" showInputMessage="1" showErrorMessage="1" xr:uid="{49D33638-0DDF-409C-B9AC-0C74788140A5}">
          <x14:formula1>
            <xm:f>ReferentsDPT!A2:A16</xm:f>
          </x14:formula1>
          <xm:sqref>B122</xm:sqref>
        </x14:dataValidation>
        <x14:dataValidation type="list" allowBlank="1" showInputMessage="1" showErrorMessage="1" xr:uid="{7ABAE9ED-3EA4-4070-9603-7248B8F2CEEC}">
          <x14:formula1>
            <xm:f>Classes!A2:A4</xm:f>
          </x14:formula1>
          <xm:sqref>E122</xm:sqref>
        </x14:dataValidation>
        <x14:dataValidation type="list" allowBlank="1" showInputMessage="1" showErrorMessage="1" xr:uid="{A31A1E33-6277-41E9-975F-702667C81AB3}">
          <x14:formula1>
            <xm:f>ReferentsDPT!A2:A16</xm:f>
          </x14:formula1>
          <xm:sqref>B123</xm:sqref>
        </x14:dataValidation>
        <x14:dataValidation type="list" allowBlank="1" showInputMessage="1" showErrorMessage="1" xr:uid="{E2B01076-5F29-4B3B-81F8-5B82439447AF}">
          <x14:formula1>
            <xm:f>Classes!A2:A4</xm:f>
          </x14:formula1>
          <xm:sqref>E123</xm:sqref>
        </x14:dataValidation>
        <x14:dataValidation type="list" allowBlank="1" showInputMessage="1" showErrorMessage="1" xr:uid="{E608798D-28D4-453C-A083-7EED910184E3}">
          <x14:formula1>
            <xm:f>ReferentsDPT!A2:A16</xm:f>
          </x14:formula1>
          <xm:sqref>B124</xm:sqref>
        </x14:dataValidation>
        <x14:dataValidation type="list" allowBlank="1" showInputMessage="1" showErrorMessage="1" xr:uid="{6DECC38A-FE98-4278-806A-2BEAE9653108}">
          <x14:formula1>
            <xm:f>ReferentsDPT!A2:A16</xm:f>
          </x14:formula1>
          <xm:sqref>B125</xm:sqref>
        </x14:dataValidation>
        <x14:dataValidation type="list" allowBlank="1" showInputMessage="1" showErrorMessage="1" xr:uid="{EF08262B-478D-416C-8795-4D5D2D6EBD79}">
          <x14:formula1>
            <xm:f>Classes!A2:A4</xm:f>
          </x14:formula1>
          <xm:sqref>E124</xm:sqref>
        </x14:dataValidation>
        <x14:dataValidation type="list" allowBlank="1" showInputMessage="1" showErrorMessage="1" xr:uid="{949220FB-83EA-4137-97B2-CD7176A74A2F}">
          <x14:formula1>
            <xm:f>Classes!A2:A4</xm:f>
          </x14:formula1>
          <xm:sqref>E125</xm:sqref>
        </x14:dataValidation>
        <x14:dataValidation type="list" allowBlank="1" showInputMessage="1" showErrorMessage="1" xr:uid="{4D5B85AB-8641-4A5E-84E8-828920E1ACAB}">
          <x14:formula1>
            <xm:f>ReferentsDPT!A2:A16</xm:f>
          </x14:formula1>
          <xm:sqref>B126</xm:sqref>
        </x14:dataValidation>
        <x14:dataValidation type="list" allowBlank="1" showInputMessage="1" showErrorMessage="1" xr:uid="{E0AF4359-3916-40B7-96CA-A97A5A80206C}">
          <x14:formula1>
            <xm:f>Classes!A2:A4</xm:f>
          </x14:formula1>
          <xm:sqref>E126</xm:sqref>
        </x14:dataValidation>
        <x14:dataValidation type="list" allowBlank="1" showInputMessage="1" showErrorMessage="1" xr:uid="{A914CFF3-1347-400C-8986-D62CF023960D}">
          <x14:formula1>
            <xm:f>ReferentsDPT!A2:A16</xm:f>
          </x14:formula1>
          <xm:sqref>B127</xm:sqref>
        </x14:dataValidation>
        <x14:dataValidation type="list" allowBlank="1" showInputMessage="1" showErrorMessage="1" xr:uid="{CB44FD01-DA10-4F28-A18C-40C79F369676}">
          <x14:formula1>
            <xm:f>Classes!A2:A4</xm:f>
          </x14:formula1>
          <xm:sqref>E127</xm:sqref>
        </x14:dataValidation>
        <x14:dataValidation type="list" allowBlank="1" showInputMessage="1" showErrorMessage="1" xr:uid="{7F3FDB4B-B6A8-4334-8676-0B9661203259}">
          <x14:formula1>
            <xm:f>ReferentsDPT!A2:A16</xm:f>
          </x14:formula1>
          <xm:sqref>B128</xm:sqref>
        </x14:dataValidation>
        <x14:dataValidation type="list" allowBlank="1" showInputMessage="1" showErrorMessage="1" xr:uid="{074B6CA4-2A14-40A2-A4E1-EE2C53B033D5}">
          <x14:formula1>
            <xm:f>Classes!A2:A4</xm:f>
          </x14:formula1>
          <xm:sqref>E128</xm:sqref>
        </x14:dataValidation>
        <x14:dataValidation type="list" allowBlank="1" showInputMessage="1" showErrorMessage="1" xr:uid="{124331C6-5FB5-4DBF-86A6-666C120BD695}">
          <x14:formula1>
            <xm:f>ReferentsDPT!A2:A16</xm:f>
          </x14:formula1>
          <xm:sqref>B129</xm:sqref>
        </x14:dataValidation>
        <x14:dataValidation type="list" allowBlank="1" showInputMessage="1" showErrorMessage="1" xr:uid="{3218E4A4-18EF-4409-80F2-36A384833689}">
          <x14:formula1>
            <xm:f>Classes!A2:A4</xm:f>
          </x14:formula1>
          <xm:sqref>E129</xm:sqref>
        </x14:dataValidation>
        <x14:dataValidation type="list" allowBlank="1" showInputMessage="1" showErrorMessage="1" xr:uid="{75A51868-F19C-4113-A466-B77C1471DD11}">
          <x14:formula1>
            <xm:f>ReferentsDPT!A2:A16</xm:f>
          </x14:formula1>
          <xm:sqref>B130</xm:sqref>
        </x14:dataValidation>
        <x14:dataValidation type="list" allowBlank="1" showInputMessage="1" showErrorMessage="1" xr:uid="{1959D55F-0037-448C-B166-2EBC12C9581D}">
          <x14:formula1>
            <xm:f>Classes!A2:A4</xm:f>
          </x14:formula1>
          <xm:sqref>E130</xm:sqref>
        </x14:dataValidation>
        <x14:dataValidation type="list" allowBlank="1" showInputMessage="1" showErrorMessage="1" xr:uid="{A283C051-1D9A-40FE-B06A-4D938A8D267A}">
          <x14:formula1>
            <xm:f>ReferentsDPT!A2:A16</xm:f>
          </x14:formula1>
          <xm:sqref>B131</xm:sqref>
        </x14:dataValidation>
        <x14:dataValidation type="list" allowBlank="1" showInputMessage="1" showErrorMessage="1" xr:uid="{2125FEC8-5728-4EFE-9B32-9794306D7A70}">
          <x14:formula1>
            <xm:f>ReferentsDPT!A2:A16</xm:f>
          </x14:formula1>
          <xm:sqref>B132</xm:sqref>
        </x14:dataValidation>
        <x14:dataValidation type="list" allowBlank="1" showInputMessage="1" showErrorMessage="1" xr:uid="{90F0461E-3A9A-4763-97F5-EF8D79A442BA}">
          <x14:formula1>
            <xm:f>ReferentsDPT!A2:A16</xm:f>
          </x14:formula1>
          <xm:sqref>B133</xm:sqref>
        </x14:dataValidation>
        <x14:dataValidation type="list" allowBlank="1" showInputMessage="1" showErrorMessage="1" xr:uid="{31BC9CEF-1A63-444F-A420-5E81E00CF3D5}">
          <x14:formula1>
            <xm:f>Classes!A2:A4</xm:f>
          </x14:formula1>
          <xm:sqref>E132</xm:sqref>
        </x14:dataValidation>
        <x14:dataValidation type="list" allowBlank="1" showInputMessage="1" showErrorMessage="1" xr:uid="{9894587E-BC79-48C2-8390-0C0C2209BD02}">
          <x14:formula1>
            <xm:f>Classes!A2:A4</xm:f>
          </x14:formula1>
          <xm:sqref>E133</xm:sqref>
        </x14:dataValidation>
        <x14:dataValidation type="list" allowBlank="1" showInputMessage="1" showErrorMessage="1" xr:uid="{9A55C63A-4B3F-4AE2-A3AC-AAE1DF163461}">
          <x14:formula1>
            <xm:f>Classes!A2:A4</xm:f>
          </x14:formula1>
          <xm:sqref>E131</xm:sqref>
        </x14:dataValidation>
        <x14:dataValidation type="list" allowBlank="1" showInputMessage="1" showErrorMessage="1" xr:uid="{8CA4600E-7B72-4FC0-B12B-7E0285E9DF25}">
          <x14:formula1>
            <xm:f>ReferentsDPT!A2:A16</xm:f>
          </x14:formula1>
          <xm:sqref>B134</xm:sqref>
        </x14:dataValidation>
        <x14:dataValidation type="list" allowBlank="1" showInputMessage="1" showErrorMessage="1" xr:uid="{D7998CE5-A6AB-4414-A85E-D904DB2986EE}">
          <x14:formula1>
            <xm:f>ReferentsDPT!A2:A16</xm:f>
          </x14:formula1>
          <xm:sqref>B135</xm:sqref>
        </x14:dataValidation>
        <x14:dataValidation type="list" allowBlank="1" showInputMessage="1" showErrorMessage="1" xr:uid="{4838077B-D830-45CF-9A7A-D08207B0B272}">
          <x14:formula1>
            <xm:f>Classes!A2:A4</xm:f>
          </x14:formula1>
          <xm:sqref>E134</xm:sqref>
        </x14:dataValidation>
        <x14:dataValidation type="list" allowBlank="1" showInputMessage="1" showErrorMessage="1" xr:uid="{8D485098-2309-49B0-AA74-D83FA2706D2E}">
          <x14:formula1>
            <xm:f>Classes!A2:A4</xm:f>
          </x14:formula1>
          <xm:sqref>E135</xm:sqref>
        </x14:dataValidation>
        <x14:dataValidation type="list" allowBlank="1" showInputMessage="1" showErrorMessage="1" xr:uid="{0E425F4D-E6F4-42FA-922E-175CB6192E06}">
          <x14:formula1>
            <xm:f>ReferentsDPT!A2:A16</xm:f>
          </x14:formula1>
          <xm:sqref>B136</xm:sqref>
        </x14:dataValidation>
        <x14:dataValidation type="list" allowBlank="1" showInputMessage="1" showErrorMessage="1" xr:uid="{D72382AD-E517-41CA-8EFA-71956672D387}">
          <x14:formula1>
            <xm:f>Classes!A2:A4</xm:f>
          </x14:formula1>
          <xm:sqref>E136</xm:sqref>
        </x14:dataValidation>
        <x14:dataValidation type="list" allowBlank="1" showInputMessage="1" showErrorMessage="1" xr:uid="{C3BD5A2D-33F0-45DC-8410-0059D5F0C3A5}">
          <x14:formula1>
            <xm:f>ReferentsDPT!A2:A16</xm:f>
          </x14:formula1>
          <xm:sqref>B137</xm:sqref>
        </x14:dataValidation>
        <x14:dataValidation type="list" allowBlank="1" showInputMessage="1" showErrorMessage="1" xr:uid="{E26DB557-1179-4C7C-B738-90AFC19D0DD2}">
          <x14:formula1>
            <xm:f>Classes!A2:A4</xm:f>
          </x14:formula1>
          <xm:sqref>E137</xm:sqref>
        </x14:dataValidation>
        <x14:dataValidation type="list" allowBlank="1" showInputMessage="1" showErrorMessage="1" xr:uid="{3383FAE6-AF2D-4F62-B18A-F0A835DEF9F6}">
          <x14:formula1>
            <xm:f>ReferentsDPT!A2:A16</xm:f>
          </x14:formula1>
          <xm:sqref>B138</xm:sqref>
        </x14:dataValidation>
        <x14:dataValidation type="list" allowBlank="1" showInputMessage="1" showErrorMessage="1" xr:uid="{71FC6804-AE47-44A4-922D-D15B72E9C9C5}">
          <x14:formula1>
            <xm:f>ReferentsDPT!A2:A16</xm:f>
          </x14:formula1>
          <xm:sqref>B139</xm:sqref>
        </x14:dataValidation>
        <x14:dataValidation type="list" allowBlank="1" showInputMessage="1" showErrorMessage="1" xr:uid="{659225F2-AC67-4709-8063-61C932ACA4EC}">
          <x14:formula1>
            <xm:f>ReferentsDPT!A2:A16</xm:f>
          </x14:formula1>
          <xm:sqref>B140</xm:sqref>
        </x14:dataValidation>
        <x14:dataValidation type="list" allowBlank="1" showInputMessage="1" showErrorMessage="1" xr:uid="{2EC8999B-C534-4922-9453-E2B10967F46F}">
          <x14:formula1>
            <xm:f>ReferentsDPT!A2:A16</xm:f>
          </x14:formula1>
          <xm:sqref>B141</xm:sqref>
        </x14:dataValidation>
        <x14:dataValidation type="list" allowBlank="1" showInputMessage="1" showErrorMessage="1" xr:uid="{CD268AA1-5B84-40E7-BF90-2A0B3687924D}">
          <x14:formula1>
            <xm:f>Classes!A2:A4</xm:f>
          </x14:formula1>
          <xm:sqref>E138</xm:sqref>
        </x14:dataValidation>
        <x14:dataValidation type="list" allowBlank="1" showInputMessage="1" showErrorMessage="1" xr:uid="{7486BF0D-1D2E-40A6-B72C-CDDD66479CA9}">
          <x14:formula1>
            <xm:f>Classes!A2:A4</xm:f>
          </x14:formula1>
          <xm:sqref>E139</xm:sqref>
        </x14:dataValidation>
        <x14:dataValidation type="list" allowBlank="1" showInputMessage="1" showErrorMessage="1" xr:uid="{C31EA1B6-CD67-4426-80D8-CE2962D2B567}">
          <x14:formula1>
            <xm:f>Classes!A2:A4</xm:f>
          </x14:formula1>
          <xm:sqref>E140</xm:sqref>
        </x14:dataValidation>
        <x14:dataValidation type="list" allowBlank="1" showInputMessage="1" showErrorMessage="1" xr:uid="{2B3BDC93-DAE0-472E-B5F6-7BD4A0C40B78}">
          <x14:formula1>
            <xm:f>Classes!A2:A4</xm:f>
          </x14:formula1>
          <xm:sqref>E141</xm:sqref>
        </x14:dataValidation>
        <x14:dataValidation type="list" allowBlank="1" showInputMessage="1" showErrorMessage="1" xr:uid="{C434D04D-A5B5-4632-9DF7-6E2E7A8A1DF3}">
          <x14:formula1>
            <xm:f>ReferentsDPT!A2:A16</xm:f>
          </x14:formula1>
          <xm:sqref>B142</xm:sqref>
        </x14:dataValidation>
        <x14:dataValidation type="list" allowBlank="1" showInputMessage="1" showErrorMessage="1" xr:uid="{DD38BEF6-4AC1-410F-A1CD-425A5F7298EB}">
          <x14:formula1>
            <xm:f>Classes!A2:A4</xm:f>
          </x14:formula1>
          <xm:sqref>E142</xm:sqref>
        </x14:dataValidation>
        <x14:dataValidation type="list" allowBlank="1" showInputMessage="1" showErrorMessage="1" xr:uid="{25B3635F-8646-4791-85CF-924DCE70A41A}">
          <x14:formula1>
            <xm:f>ReferentsDPT!A2:A16</xm:f>
          </x14:formula1>
          <xm:sqref>B143</xm:sqref>
        </x14:dataValidation>
        <x14:dataValidation type="list" allowBlank="1" showInputMessage="1" showErrorMessage="1" xr:uid="{F138442D-077A-4BEB-9484-37F5DB00BC7A}">
          <x14:formula1>
            <xm:f>ReferentsDPT!A2:A16</xm:f>
          </x14:formula1>
          <xm:sqref>B144</xm:sqref>
        </x14:dataValidation>
        <x14:dataValidation type="list" allowBlank="1" showInputMessage="1" showErrorMessage="1" xr:uid="{11D811EF-89B9-46C5-812E-A402FC57F45E}">
          <x14:formula1>
            <xm:f>Classes!A2:A4</xm:f>
          </x14:formula1>
          <xm:sqref>E143</xm:sqref>
        </x14:dataValidation>
        <x14:dataValidation type="list" allowBlank="1" showInputMessage="1" showErrorMessage="1" xr:uid="{7D5FD360-5120-4644-98D2-07F981696EAB}">
          <x14:formula1>
            <xm:f>Classes!A2:A4</xm:f>
          </x14:formula1>
          <xm:sqref>E144</xm:sqref>
        </x14:dataValidation>
        <x14:dataValidation type="list" allowBlank="1" showInputMessage="1" showErrorMessage="1" xr:uid="{AB146A2B-79C5-40CE-ADF2-46BB6B8F21BA}">
          <x14:formula1>
            <xm:f>ReferentsDPT!A2:A16</xm:f>
          </x14:formula1>
          <xm:sqref>B145</xm:sqref>
        </x14:dataValidation>
        <x14:dataValidation type="list" allowBlank="1" showInputMessage="1" showErrorMessage="1" xr:uid="{F11CA25B-F2D2-4004-809E-91C7FC0AFD4D}">
          <x14:formula1>
            <xm:f>Classes!A2:A4</xm:f>
          </x14:formula1>
          <xm:sqref>E145</xm:sqref>
        </x14:dataValidation>
        <x14:dataValidation type="list" allowBlank="1" showInputMessage="1" showErrorMessage="1" xr:uid="{38A9285C-E634-477A-85D6-20A4C73A3247}">
          <x14:formula1>
            <xm:f>ReferentsDPT!A2:A16</xm:f>
          </x14:formula1>
          <xm:sqref>B148</xm:sqref>
        </x14:dataValidation>
        <x14:dataValidation type="list" allowBlank="1" showInputMessage="1" showErrorMessage="1" xr:uid="{FF772E52-79B0-454C-B332-4396B424EF39}">
          <x14:formula1>
            <xm:f>Classes!A2:A4</xm:f>
          </x14:formula1>
          <xm:sqref>E148</xm:sqref>
        </x14:dataValidation>
        <x14:dataValidation type="list" allowBlank="1" showInputMessage="1" showErrorMessage="1" xr:uid="{539749F5-1A42-406E-8950-2D38A8E3C78E}">
          <x14:formula1>
            <xm:f>ReferentsDPT!A2:A16</xm:f>
          </x14:formula1>
          <xm:sqref>B149</xm:sqref>
        </x14:dataValidation>
        <x14:dataValidation type="list" allowBlank="1" showInputMessage="1" showErrorMessage="1" xr:uid="{EC9466D1-A10E-4236-A099-43A438C339C8}">
          <x14:formula1>
            <xm:f>Classes!A2:A4</xm:f>
          </x14:formula1>
          <xm:sqref>E149</xm:sqref>
        </x14:dataValidation>
        <x14:dataValidation type="list" allowBlank="1" showInputMessage="1" showErrorMessage="1" xr:uid="{C3E48B99-9175-46E6-A3AA-D34345B3BA12}">
          <x14:formula1>
            <xm:f>ReferentsDPT!A2:A16</xm:f>
          </x14:formula1>
          <xm:sqref>B150</xm:sqref>
        </x14:dataValidation>
        <x14:dataValidation type="list" allowBlank="1" showInputMessage="1" showErrorMessage="1" xr:uid="{6A49DB85-DEE5-4ED6-9E5D-00A04F3E2A44}">
          <x14:formula1>
            <xm:f>Classes!A2:A4</xm:f>
          </x14:formula1>
          <xm:sqref>E150</xm:sqref>
        </x14:dataValidation>
        <x14:dataValidation type="list" allowBlank="1" showInputMessage="1" showErrorMessage="1" xr:uid="{71FC00A5-90E6-4DF9-BAB2-7F3A83678766}">
          <x14:formula1>
            <xm:f>ReferentsDPT!A2:A16</xm:f>
          </x14:formula1>
          <xm:sqref>B151</xm:sqref>
        </x14:dataValidation>
        <x14:dataValidation type="list" allowBlank="1" showInputMessage="1" showErrorMessage="1" xr:uid="{C5CBC53C-F1B4-4D8C-992B-E55E8A3FA168}">
          <x14:formula1>
            <xm:f>Classes!A2:A4</xm:f>
          </x14:formula1>
          <xm:sqref>E151</xm:sqref>
        </x14:dataValidation>
        <x14:dataValidation type="list" allowBlank="1" showInputMessage="1" showErrorMessage="1" xr:uid="{C1367FAA-AD62-4DB4-A0EA-0999B6A68EE4}">
          <x14:formula1>
            <xm:f>ReferentsDPT!A2:A16</xm:f>
          </x14:formula1>
          <xm:sqref>B152</xm:sqref>
        </x14:dataValidation>
        <x14:dataValidation type="list" allowBlank="1" showInputMessage="1" showErrorMessage="1" xr:uid="{FDE22E71-51C1-4EF9-8F44-303C9951E264}">
          <x14:formula1>
            <xm:f>Classes!A2:A4</xm:f>
          </x14:formula1>
          <xm:sqref>E152</xm:sqref>
        </x14:dataValidation>
        <x14:dataValidation type="list" allowBlank="1" showInputMessage="1" showErrorMessage="1" xr:uid="{B9912689-BC78-40EE-9585-840ECB8D822F}">
          <x14:formula1>
            <xm:f>ReferentsDPT!A2:A16</xm:f>
          </x14:formula1>
          <xm:sqref>B153</xm:sqref>
        </x14:dataValidation>
        <x14:dataValidation type="list" allowBlank="1" showInputMessage="1" showErrorMessage="1" xr:uid="{94505A9D-A797-4A16-AD99-E45C90C7F55E}">
          <x14:formula1>
            <xm:f>Classes!A2:A4</xm:f>
          </x14:formula1>
          <xm:sqref>E153</xm:sqref>
        </x14:dataValidation>
        <x14:dataValidation type="list" allowBlank="1" showInputMessage="1" showErrorMessage="1" xr:uid="{1090A182-D11F-4908-AF5A-EA99667E573A}">
          <x14:formula1>
            <xm:f>ReferentsDPT!A2:A16</xm:f>
          </x14:formula1>
          <xm:sqref>B154</xm:sqref>
        </x14:dataValidation>
        <x14:dataValidation type="list" allowBlank="1" showInputMessage="1" showErrorMessage="1" xr:uid="{A3A3C399-2175-4F7E-8B55-054F3C91CC76}">
          <x14:formula1>
            <xm:f>Classes!A2:A4</xm:f>
          </x14:formula1>
          <xm:sqref>E154</xm:sqref>
        </x14:dataValidation>
        <x14:dataValidation type="list" allowBlank="1" showInputMessage="1" showErrorMessage="1" xr:uid="{BF7A90CB-17CC-4B09-A875-C0E38B6CD9E0}">
          <x14:formula1>
            <xm:f>ReferentsDPT!A2:A16</xm:f>
          </x14:formula1>
          <xm:sqref>B155</xm:sqref>
        </x14:dataValidation>
        <x14:dataValidation type="list" allowBlank="1" showInputMessage="1" showErrorMessage="1" xr:uid="{A84965DF-634F-4895-9AD6-BDF7C638613F}">
          <x14:formula1>
            <xm:f>Classes!A2:A4</xm:f>
          </x14:formula1>
          <xm:sqref>E155</xm:sqref>
        </x14:dataValidation>
        <x14:dataValidation type="list" allowBlank="1" showInputMessage="1" showErrorMessage="1" xr:uid="{6A1552F1-0647-4B57-AFB8-DC537D84CD74}">
          <x14:formula1>
            <xm:f>ReferentsDPT!A2:A16</xm:f>
          </x14:formula1>
          <xm:sqref>B156</xm:sqref>
        </x14:dataValidation>
        <x14:dataValidation type="list" allowBlank="1" showInputMessage="1" showErrorMessage="1" xr:uid="{D89A600C-1152-4976-B88D-42AB6ECB28A5}">
          <x14:formula1>
            <xm:f>Classes!A2:A4</xm:f>
          </x14:formula1>
          <xm:sqref>E156</xm:sqref>
        </x14:dataValidation>
        <x14:dataValidation type="list" allowBlank="1" showInputMessage="1" showErrorMessage="1" xr:uid="{A3A038DE-0A54-4BC1-ACAC-96B5463B2BFC}">
          <x14:formula1>
            <xm:f>ReferentsDPT!A2:A16</xm:f>
          </x14:formula1>
          <xm:sqref>B157</xm:sqref>
        </x14:dataValidation>
        <x14:dataValidation type="list" allowBlank="1" showInputMessage="1" showErrorMessage="1" xr:uid="{B8F37B59-83BC-4FF0-A4F6-69615158B57F}">
          <x14:formula1>
            <xm:f>Classes!A2:A4</xm:f>
          </x14:formula1>
          <xm:sqref>E157</xm:sqref>
        </x14:dataValidation>
        <x14:dataValidation type="list" allowBlank="1" showInputMessage="1" showErrorMessage="1" xr:uid="{56C9F701-1436-4603-80F6-3E7B11A129A8}">
          <x14:formula1>
            <xm:f>Classes!A2:A4</xm:f>
          </x14:formula1>
          <xm:sqref>E146</xm:sqref>
        </x14:dataValidation>
        <x14:dataValidation type="list" allowBlank="1" showInputMessage="1" showErrorMessage="1" xr:uid="{6F1EC25C-2C13-4205-BBB7-19552F4F1661}">
          <x14:formula1>
            <xm:f>Classes!A2:A4</xm:f>
          </x14:formula1>
          <xm:sqref>E147</xm:sqref>
        </x14:dataValidation>
        <x14:dataValidation type="list" allowBlank="1" showInputMessage="1" showErrorMessage="1" xr:uid="{D01A4688-D71D-45E4-BC6A-0542C4D7D68F}">
          <x14:formula1>
            <xm:f>ReferentsDPT!A2:A16</xm:f>
          </x14:formula1>
          <xm:sqref>B158</xm:sqref>
        </x14:dataValidation>
        <x14:dataValidation type="list" allowBlank="1" showInputMessage="1" showErrorMessage="1" xr:uid="{49F42FE3-2BF1-4451-9AC0-9F586082EB78}">
          <x14:formula1>
            <xm:f>Classes!A2:A4</xm:f>
          </x14:formula1>
          <xm:sqref>E158</xm:sqref>
        </x14:dataValidation>
        <x14:dataValidation type="list" allowBlank="1" showInputMessage="1" showErrorMessage="1" xr:uid="{4F48B0FD-4D60-4A3D-8E18-6486800679AF}">
          <x14:formula1>
            <xm:f>ReferentsDPT!A2:A16</xm:f>
          </x14:formula1>
          <xm:sqref>B159</xm:sqref>
        </x14:dataValidation>
        <x14:dataValidation type="list" allowBlank="1" showInputMessage="1" showErrorMessage="1" xr:uid="{A1162DAF-2CB7-4A93-9618-148F73954426}">
          <x14:formula1>
            <xm:f>Classes!A2:A4</xm:f>
          </x14:formula1>
          <xm:sqref>E159</xm:sqref>
        </x14:dataValidation>
        <x14:dataValidation type="list" allowBlank="1" showInputMessage="1" showErrorMessage="1" xr:uid="{FEE7834B-CD9D-4DF2-A3D5-9B010857F11F}">
          <x14:formula1>
            <xm:f>ReferentsDPT!A2:A16</xm:f>
          </x14:formula1>
          <xm:sqref>B160</xm:sqref>
        </x14:dataValidation>
        <x14:dataValidation type="list" allowBlank="1" showInputMessage="1" showErrorMessage="1" xr:uid="{93D1271B-AB38-4E33-9ABA-AE919EB27A90}">
          <x14:formula1>
            <xm:f>ReferentsDPT!A2:A16</xm:f>
          </x14:formula1>
          <xm:sqref>B161</xm:sqref>
        </x14:dataValidation>
        <x14:dataValidation type="list" allowBlank="1" showInputMessage="1" showErrorMessage="1" xr:uid="{D9ED5F3E-9254-4350-828B-79FDE415B7AD}">
          <x14:formula1>
            <xm:f>Classes!A2:A4</xm:f>
          </x14:formula1>
          <xm:sqref>E160</xm:sqref>
        </x14:dataValidation>
        <x14:dataValidation type="list" allowBlank="1" showInputMessage="1" showErrorMessage="1" xr:uid="{214B7125-EBA0-4FB6-85AA-B9E5FAFC1BE9}">
          <x14:formula1>
            <xm:f>Classes!A2:A4</xm:f>
          </x14:formula1>
          <xm:sqref>E161</xm:sqref>
        </x14:dataValidation>
        <x14:dataValidation type="list" allowBlank="1" showInputMessage="1" showErrorMessage="1" xr:uid="{35FF4D62-942B-4734-9666-AC68B66D2498}">
          <x14:formula1>
            <xm:f>ReferentsDPT!A2:A16</xm:f>
          </x14:formula1>
          <xm:sqref>B162</xm:sqref>
        </x14:dataValidation>
        <x14:dataValidation type="list" allowBlank="1" showInputMessage="1" showErrorMessage="1" xr:uid="{908D23AE-94E4-4F95-BB13-1E915FB296A0}">
          <x14:formula1>
            <xm:f>Classes!A2:A4</xm:f>
          </x14:formula1>
          <xm:sqref>E162</xm:sqref>
        </x14:dataValidation>
        <x14:dataValidation type="list" allowBlank="1" showInputMessage="1" showErrorMessage="1" xr:uid="{091A6262-47FC-4BB1-AAE6-4349C702F4FB}">
          <x14:formula1>
            <xm:f>ReferentsDPT!A2:A16</xm:f>
          </x14:formula1>
          <xm:sqref>B163</xm:sqref>
        </x14:dataValidation>
        <x14:dataValidation type="list" allowBlank="1" showInputMessage="1" showErrorMessage="1" xr:uid="{FF43C3E7-B349-4A35-8B4B-FC0B39D61449}">
          <x14:formula1>
            <xm:f>Classes!A2:A4</xm:f>
          </x14:formula1>
          <xm:sqref>E163</xm:sqref>
        </x14:dataValidation>
        <x14:dataValidation type="list" allowBlank="1" showInputMessage="1" showErrorMessage="1" xr:uid="{6171F90A-58C3-4678-B313-72AD2F5FA112}">
          <x14:formula1>
            <xm:f>ReferentsDPT!A2:A16</xm:f>
          </x14:formula1>
          <xm:sqref>B164</xm:sqref>
        </x14:dataValidation>
        <x14:dataValidation type="list" allowBlank="1" showInputMessage="1" showErrorMessage="1" xr:uid="{ECAB731F-BAD3-424F-9F66-254F029AAD19}">
          <x14:formula1>
            <xm:f>Classes!A2:A4</xm:f>
          </x14:formula1>
          <xm:sqref>E164</xm:sqref>
        </x14:dataValidation>
        <x14:dataValidation type="list" allowBlank="1" showInputMessage="1" showErrorMessage="1" xr:uid="{ED21BD20-EC48-47F3-9510-BE05D47DA9C2}">
          <x14:formula1>
            <xm:f>ReferentsDPT!A2:A16</xm:f>
          </x14:formula1>
          <xm:sqref>B165</xm:sqref>
        </x14:dataValidation>
        <x14:dataValidation type="list" allowBlank="1" showInputMessage="1" showErrorMessage="1" xr:uid="{F0351DA1-829E-4ABE-A70F-8E9079FAD630}">
          <x14:formula1>
            <xm:f>Classes!A2:A4</xm:f>
          </x14:formula1>
          <xm:sqref>E165</xm:sqref>
        </x14:dataValidation>
        <x14:dataValidation type="list" allowBlank="1" showInputMessage="1" showErrorMessage="1" xr:uid="{1834ABE8-B949-40D5-8FF0-FD76FB8DB4D8}">
          <x14:formula1>
            <xm:f>ReferentsDPT!A2:A16</xm:f>
          </x14:formula1>
          <xm:sqref>B166</xm:sqref>
        </x14:dataValidation>
        <x14:dataValidation type="list" allowBlank="1" showInputMessage="1" showErrorMessage="1" xr:uid="{206C213F-2B13-4859-9074-67B0134C3B7D}">
          <x14:formula1>
            <xm:f>Classes!A2:A4</xm:f>
          </x14:formula1>
          <xm:sqref>E166</xm:sqref>
        </x14:dataValidation>
        <x14:dataValidation type="list" allowBlank="1" showInputMessage="1" showErrorMessage="1" xr:uid="{C4C7674B-6CBA-438A-B321-7DECF3EA403F}">
          <x14:formula1>
            <xm:f>ReferentsDPT!A2:A16</xm:f>
          </x14:formula1>
          <xm:sqref>B167</xm:sqref>
        </x14:dataValidation>
        <x14:dataValidation type="list" allowBlank="1" showInputMessage="1" showErrorMessage="1" xr:uid="{980D4F9A-D169-4198-A559-E0EE67DE1EB5}">
          <x14:formula1>
            <xm:f>Classes!A2:A4</xm:f>
          </x14:formula1>
          <xm:sqref>E167</xm:sqref>
        </x14:dataValidation>
        <x14:dataValidation type="list" allowBlank="1" showInputMessage="1" showErrorMessage="1" xr:uid="{BD7F7461-2CFA-4E25-A8BF-10BB99FF9436}">
          <x14:formula1>
            <xm:f>ReferentsDPT!A2:A16</xm:f>
          </x14:formula1>
          <xm:sqref>B168</xm:sqref>
        </x14:dataValidation>
        <x14:dataValidation type="list" allowBlank="1" showInputMessage="1" showErrorMessage="1" xr:uid="{4459BDB0-E431-480B-A609-75053C49FC07}">
          <x14:formula1>
            <xm:f>Classes!A2:A4</xm:f>
          </x14:formula1>
          <xm:sqref>E168</xm:sqref>
        </x14:dataValidation>
        <x14:dataValidation type="list" allowBlank="1" showInputMessage="1" showErrorMessage="1" xr:uid="{9F12CBDF-CB3F-45F9-A655-8F0DE7F75082}">
          <x14:formula1>
            <xm:f>ReferentsDPT!A2:A16</xm:f>
          </x14:formula1>
          <xm:sqref>B169</xm:sqref>
        </x14:dataValidation>
        <x14:dataValidation type="list" allowBlank="1" showInputMessage="1" showErrorMessage="1" xr:uid="{483317BF-020B-4663-B047-3583DBAFE6EB}">
          <x14:formula1>
            <xm:f>ReferentsDPT!A2:A16</xm:f>
          </x14:formula1>
          <xm:sqref>B170</xm:sqref>
        </x14:dataValidation>
        <x14:dataValidation type="list" allowBlank="1" showInputMessage="1" showErrorMessage="1" xr:uid="{BF9E7135-6B67-464D-80AE-22D441D3501E}">
          <x14:formula1>
            <xm:f>ReferentsDPT!A2:A16</xm:f>
          </x14:formula1>
          <xm:sqref>B171</xm:sqref>
        </x14:dataValidation>
        <x14:dataValidation type="list" allowBlank="1" showInputMessage="1" showErrorMessage="1" xr:uid="{C0E25C9E-2F2F-4D75-BF99-386FFE22605E}">
          <x14:formula1>
            <xm:f>ReferentsDPT!A2:A16</xm:f>
          </x14:formula1>
          <xm:sqref>B172</xm:sqref>
        </x14:dataValidation>
        <x14:dataValidation type="list" allowBlank="1" showInputMessage="1" showErrorMessage="1" xr:uid="{D83D5786-46B3-4FF6-94CA-5FB77C4A547D}">
          <x14:formula1>
            <xm:f>ReferentsDPT!A2:A16</xm:f>
          </x14:formula1>
          <xm:sqref>B173</xm:sqref>
        </x14:dataValidation>
        <x14:dataValidation type="list" allowBlank="1" showInputMessage="1" showErrorMessage="1" xr:uid="{1DB45A18-25AE-49C0-8085-7BF8ABFD34E5}">
          <x14:formula1>
            <xm:f>ReferentsDPT!A2:A16</xm:f>
          </x14:formula1>
          <xm:sqref>B174</xm:sqref>
        </x14:dataValidation>
        <x14:dataValidation type="list" allowBlank="1" showInputMessage="1" showErrorMessage="1" xr:uid="{7C1752E4-47C0-4CB9-8675-C2D46D631F63}">
          <x14:formula1>
            <xm:f>Classes!A2:A4</xm:f>
          </x14:formula1>
          <xm:sqref>E169</xm:sqref>
        </x14:dataValidation>
        <x14:dataValidation type="list" allowBlank="1" showInputMessage="1" showErrorMessage="1" xr:uid="{EF17DECC-FC4E-464A-8D59-F0A4C4CCAAF5}">
          <x14:formula1>
            <xm:f>Classes!A2:A4</xm:f>
          </x14:formula1>
          <xm:sqref>E170</xm:sqref>
        </x14:dataValidation>
        <x14:dataValidation type="list" allowBlank="1" showInputMessage="1" showErrorMessage="1" xr:uid="{D342B82D-3670-4164-AAC8-80598C54ED3B}">
          <x14:formula1>
            <xm:f>Classes!A2:A4</xm:f>
          </x14:formula1>
          <xm:sqref>E171</xm:sqref>
        </x14:dataValidation>
        <x14:dataValidation type="list" allowBlank="1" showInputMessage="1" showErrorMessage="1" xr:uid="{5568697C-4842-4832-AD80-F14D8C800F7E}">
          <x14:formula1>
            <xm:f>Classes!A2:A4</xm:f>
          </x14:formula1>
          <xm:sqref>E172</xm:sqref>
        </x14:dataValidation>
        <x14:dataValidation type="list" allowBlank="1" showInputMessage="1" showErrorMessage="1" xr:uid="{1DBE9322-6E5C-4BCC-85B7-8747DC1A7184}">
          <x14:formula1>
            <xm:f>Classes!A2:A4</xm:f>
          </x14:formula1>
          <xm:sqref>E173</xm:sqref>
        </x14:dataValidation>
        <x14:dataValidation type="list" allowBlank="1" showInputMessage="1" showErrorMessage="1" xr:uid="{B883B216-717C-4D2F-A4A9-49A0783620C5}">
          <x14:formula1>
            <xm:f>Classes!A2:A4</xm:f>
          </x14:formula1>
          <xm:sqref>E174</xm:sqref>
        </x14:dataValidation>
        <x14:dataValidation type="list" allowBlank="1" showInputMessage="1" showErrorMessage="1" xr:uid="{0C7E71FA-F7DD-4D68-A64F-4B3982A015D2}">
          <x14:formula1>
            <xm:f>ReferentsDPT!A2:A16</xm:f>
          </x14:formula1>
          <xm:sqref>B175</xm:sqref>
        </x14:dataValidation>
        <x14:dataValidation type="list" allowBlank="1" showInputMessage="1" showErrorMessage="1" xr:uid="{F56C243C-E450-4EEE-A0F6-4460355E8BCA}">
          <x14:formula1>
            <xm:f>Classes!A2:A4</xm:f>
          </x14:formula1>
          <xm:sqref>E175</xm:sqref>
        </x14:dataValidation>
        <x14:dataValidation type="list" allowBlank="1" showInputMessage="1" showErrorMessage="1" xr:uid="{F9BB0F1A-97D6-41F5-BCF2-32799C19BC8C}">
          <x14:formula1>
            <xm:f>ReferentsDPT!A2:A16</xm:f>
          </x14:formula1>
          <xm:sqref>B176</xm:sqref>
        </x14:dataValidation>
        <x14:dataValidation type="list" allowBlank="1" showInputMessage="1" showErrorMessage="1" xr:uid="{0D864E3B-6C0B-49BA-AB9C-32496CEDD19D}">
          <x14:formula1>
            <xm:f>Classes!A2:A4</xm:f>
          </x14:formula1>
          <xm:sqref>E176</xm:sqref>
        </x14:dataValidation>
        <x14:dataValidation type="list" allowBlank="1" showInputMessage="1" showErrorMessage="1" xr:uid="{A2CDA7AC-15EA-4DCE-808F-02B6F03A8691}">
          <x14:formula1>
            <xm:f>ReferentsDPT!A2:A16</xm:f>
          </x14:formula1>
          <xm:sqref>B177</xm:sqref>
        </x14:dataValidation>
        <x14:dataValidation type="list" allowBlank="1" showInputMessage="1" showErrorMessage="1" xr:uid="{197DCAA8-4958-4A7E-917A-F63903512882}">
          <x14:formula1>
            <xm:f>Classes!A2:A4</xm:f>
          </x14:formula1>
          <xm:sqref>E177</xm:sqref>
        </x14:dataValidation>
        <x14:dataValidation type="list" allowBlank="1" showInputMessage="1" showErrorMessage="1" xr:uid="{2FC111AF-2830-4BD1-8468-77545F770350}">
          <x14:formula1>
            <xm:f>ReferentsDPT!A2:A16</xm:f>
          </x14:formula1>
          <xm:sqref>B178</xm:sqref>
        </x14:dataValidation>
        <x14:dataValidation type="list" allowBlank="1" showInputMessage="1" showErrorMessage="1" xr:uid="{D140898B-CF03-4F94-81E9-AC350FCABC79}">
          <x14:formula1>
            <xm:f>Classes!A2:A4</xm:f>
          </x14:formula1>
          <xm:sqref>E178</xm:sqref>
        </x14:dataValidation>
        <x14:dataValidation type="list" allowBlank="1" showInputMessage="1" showErrorMessage="1" xr:uid="{AF55EDFD-F4E5-44BC-AABD-0BB8EADFCFE7}">
          <x14:formula1>
            <xm:f>ReferentsDPT!A2:A16</xm:f>
          </x14:formula1>
          <xm:sqref>B179</xm:sqref>
        </x14:dataValidation>
        <x14:dataValidation type="list" allowBlank="1" showInputMessage="1" showErrorMessage="1" xr:uid="{08C99175-6051-4785-96D6-F4E66FA8AE44}">
          <x14:formula1>
            <xm:f>Classes!A2:A4</xm:f>
          </x14:formula1>
          <xm:sqref>E179</xm:sqref>
        </x14:dataValidation>
        <x14:dataValidation type="list" allowBlank="1" showInputMessage="1" showErrorMessage="1" xr:uid="{FEDFCC5E-6BA9-45FE-96AF-A56ABAD48494}">
          <x14:formula1>
            <xm:f>ReferentsDPT!A2:A16</xm:f>
          </x14:formula1>
          <xm:sqref>B180</xm:sqref>
        </x14:dataValidation>
        <x14:dataValidation type="list" allowBlank="1" showInputMessage="1" showErrorMessage="1" xr:uid="{04536B2E-6345-47AF-B283-4C0FF538287D}">
          <x14:formula1>
            <xm:f>Classes!A2:A4</xm:f>
          </x14:formula1>
          <xm:sqref>E180</xm:sqref>
        </x14:dataValidation>
        <x14:dataValidation type="list" allowBlank="1" showInputMessage="1" showErrorMessage="1" xr:uid="{C298A1F9-3C38-4645-A219-1459CD9F8770}">
          <x14:formula1>
            <xm:f>ReferentsDPT!A2:A16</xm:f>
          </x14:formula1>
          <xm:sqref>B181</xm:sqref>
        </x14:dataValidation>
        <x14:dataValidation type="list" allowBlank="1" showInputMessage="1" showErrorMessage="1" xr:uid="{B2557904-4875-42C3-BD9C-C6AC0C34CC71}">
          <x14:formula1>
            <xm:f>Classes!A2:A4</xm:f>
          </x14:formula1>
          <xm:sqref>E181</xm:sqref>
        </x14:dataValidation>
        <x14:dataValidation type="list" allowBlank="1" showInputMessage="1" showErrorMessage="1" xr:uid="{6172DBA3-B771-4E8F-B0E4-E55A74943B44}">
          <x14:formula1>
            <xm:f>ReferentsDPT!A2:A16</xm:f>
          </x14:formula1>
          <xm:sqref>B182</xm:sqref>
        </x14:dataValidation>
        <x14:dataValidation type="list" allowBlank="1" showInputMessage="1" showErrorMessage="1" xr:uid="{B1F32BD2-AB1A-41F8-A281-54C00611C4C9}">
          <x14:formula1>
            <xm:f>Classes!A2:A4</xm:f>
          </x14:formula1>
          <xm:sqref>E182</xm:sqref>
        </x14:dataValidation>
        <x14:dataValidation type="list" allowBlank="1" showInputMessage="1" showErrorMessage="1" xr:uid="{A13989E9-17C1-4FCD-AF6B-452A5BD00F53}">
          <x14:formula1>
            <xm:f>ReferentsDPT!A2:A16</xm:f>
          </x14:formula1>
          <xm:sqref>B183</xm:sqref>
        </x14:dataValidation>
        <x14:dataValidation type="list" allowBlank="1" showInputMessage="1" showErrorMessage="1" xr:uid="{CB9A2638-2136-40BE-AF74-E68C1EE80B94}">
          <x14:formula1>
            <xm:f>Classes!A2:A4</xm:f>
          </x14:formula1>
          <xm:sqref>E183</xm:sqref>
        </x14:dataValidation>
        <x14:dataValidation type="list" allowBlank="1" showInputMessage="1" showErrorMessage="1" xr:uid="{FF461456-BAE6-4950-A38E-5BE226A734FC}">
          <x14:formula1>
            <xm:f>ReferentsDPT!A2:A16</xm:f>
          </x14:formula1>
          <xm:sqref>B184</xm:sqref>
        </x14:dataValidation>
        <x14:dataValidation type="list" allowBlank="1" showInputMessage="1" showErrorMessage="1" xr:uid="{1A56F176-08C5-49CA-B9E0-018F812DF105}">
          <x14:formula1>
            <xm:f>Classes!A2:A4</xm:f>
          </x14:formula1>
          <xm:sqref>E184</xm:sqref>
        </x14:dataValidation>
        <x14:dataValidation type="list" allowBlank="1" showInputMessage="1" showErrorMessage="1" xr:uid="{874BBD2B-74A6-413E-A375-6CD8246CDF4B}">
          <x14:formula1>
            <xm:f>ReferentsDPT!A2:A16</xm:f>
          </x14:formula1>
          <xm:sqref>B187</xm:sqref>
        </x14:dataValidation>
        <x14:dataValidation type="list" allowBlank="1" showInputMessage="1" showErrorMessage="1" xr:uid="{FCD5E0D1-55BA-4EA0-AFBC-912929388F5F}">
          <x14:formula1>
            <xm:f>Classes!A2:A4</xm:f>
          </x14:formula1>
          <xm:sqref>E187</xm:sqref>
        </x14:dataValidation>
        <x14:dataValidation type="list" allowBlank="1" showInputMessage="1" showErrorMessage="1" xr:uid="{076FC1CA-BB05-4186-BFE0-0E341FC1137C}">
          <x14:formula1>
            <xm:f>ReferentsDPT!A2:A16</xm:f>
          </x14:formula1>
          <xm:sqref>B188</xm:sqref>
        </x14:dataValidation>
        <x14:dataValidation type="list" allowBlank="1" showInputMessage="1" showErrorMessage="1" xr:uid="{07426552-5699-49DE-9567-A961EB30331B}">
          <x14:formula1>
            <xm:f>ReferentsDPT!A2:A16</xm:f>
          </x14:formula1>
          <xm:sqref>B189</xm:sqref>
        </x14:dataValidation>
        <x14:dataValidation type="list" allowBlank="1" showInputMessage="1" showErrorMessage="1" xr:uid="{E002502E-5A3C-4204-9E88-9DFEEE534AEA}">
          <x14:formula1>
            <xm:f>ReferentsDPT!A2:A16</xm:f>
          </x14:formula1>
          <xm:sqref>B190</xm:sqref>
        </x14:dataValidation>
        <x14:dataValidation type="list" allowBlank="1" showInputMessage="1" showErrorMessage="1" xr:uid="{73D3DA52-3D59-497C-ADB7-A29C6C281E8A}">
          <x14:formula1>
            <xm:f>Classes!A2:A4</xm:f>
          </x14:formula1>
          <xm:sqref>E188</xm:sqref>
        </x14:dataValidation>
        <x14:dataValidation type="list" allowBlank="1" showInputMessage="1" showErrorMessage="1" xr:uid="{246B4E28-5478-4E12-9F72-B01BA1CDC654}">
          <x14:formula1>
            <xm:f>Classes!A2:A4</xm:f>
          </x14:formula1>
          <xm:sqref>E189</xm:sqref>
        </x14:dataValidation>
        <x14:dataValidation type="list" allowBlank="1" showInputMessage="1" showErrorMessage="1" xr:uid="{F6A8CFA9-D021-4A0E-84E3-EACE2EAD965A}">
          <x14:formula1>
            <xm:f>Classes!A2:A4</xm:f>
          </x14:formula1>
          <xm:sqref>E190</xm:sqref>
        </x14:dataValidation>
        <x14:dataValidation type="list" allowBlank="1" showInputMessage="1" showErrorMessage="1" xr:uid="{3BCAD63B-AEFC-4A2E-965A-4452998F1379}">
          <x14:formula1>
            <xm:f>ReferentsDPT!A2:A16</xm:f>
          </x14:formula1>
          <xm:sqref>B191</xm:sqref>
        </x14:dataValidation>
        <x14:dataValidation type="list" allowBlank="1" showInputMessage="1" showErrorMessage="1" xr:uid="{296AAB51-488E-4F73-AA1F-6F5ECBD5DBA2}">
          <x14:formula1>
            <xm:f>Classes!A2:A4</xm:f>
          </x14:formula1>
          <xm:sqref>E191</xm:sqref>
        </x14:dataValidation>
        <x14:dataValidation type="list" allowBlank="1" showInputMessage="1" showErrorMessage="1" xr:uid="{8AA83077-F5F6-447D-9871-EF200887E6AC}">
          <x14:formula1>
            <xm:f>ReferentsDPT!A2:A16</xm:f>
          </x14:formula1>
          <xm:sqref>B192</xm:sqref>
        </x14:dataValidation>
        <x14:dataValidation type="list" allowBlank="1" showInputMessage="1" showErrorMessage="1" xr:uid="{0F3A4905-DC16-4AA0-9E1C-6595EABC22FF}">
          <x14:formula1>
            <xm:f>Classes!A2:A4</xm:f>
          </x14:formula1>
          <xm:sqref>E192</xm:sqref>
        </x14:dataValidation>
        <x14:dataValidation type="list" allowBlank="1" showInputMessage="1" showErrorMessage="1" xr:uid="{BF59D113-5916-4332-8141-BEC828F411B2}">
          <x14:formula1>
            <xm:f>ReferentsDPT!A2:A16</xm:f>
          </x14:formula1>
          <xm:sqref>B197</xm:sqref>
        </x14:dataValidation>
        <x14:dataValidation type="list" allowBlank="1" showInputMessage="1" showErrorMessage="1" xr:uid="{CBE922B0-B906-48D0-A618-3B033A6B96CA}">
          <x14:formula1>
            <xm:f>Classes!A2:A4</xm:f>
          </x14:formula1>
          <xm:sqref>E197</xm:sqref>
        </x14:dataValidation>
        <x14:dataValidation type="list" allowBlank="1" showInputMessage="1" showErrorMessage="1" xr:uid="{A51DBA6D-EA31-4747-B362-FD75226C71A8}">
          <x14:formula1>
            <xm:f>Classes!A2:A4</xm:f>
          </x14:formula1>
          <xm:sqref>E194</xm:sqref>
        </x14:dataValidation>
        <x14:dataValidation type="list" allowBlank="1" showInputMessage="1" showErrorMessage="1" xr:uid="{AF589BF8-B93B-41CF-B29C-BA2D2F52F6E1}">
          <x14:formula1>
            <xm:f>ReferentsDPT!A2:A16</xm:f>
          </x14:formula1>
          <xm:sqref>B198</xm:sqref>
        </x14:dataValidation>
        <x14:dataValidation type="list" allowBlank="1" showInputMessage="1" showErrorMessage="1" xr:uid="{A9D6116E-5722-4DB4-B441-9B275C1798F6}">
          <x14:formula1>
            <xm:f>Classes!A2:A4</xm:f>
          </x14:formula1>
          <xm:sqref>E198</xm:sqref>
        </x14:dataValidation>
        <x14:dataValidation type="list" allowBlank="1" showInputMessage="1" showErrorMessage="1" xr:uid="{75AB58B6-F712-4887-99FA-98683EF6E436}">
          <x14:formula1>
            <xm:f>ReferentsDPT!A2:A16</xm:f>
          </x14:formula1>
          <xm:sqref>B201</xm:sqref>
        </x14:dataValidation>
        <x14:dataValidation type="list" allowBlank="1" showInputMessage="1" showErrorMessage="1" xr:uid="{D6247B04-098A-494B-9408-AAFE0E3ACC60}">
          <x14:formula1>
            <xm:f>Classes!A2:A4</xm:f>
          </x14:formula1>
          <xm:sqref>E201</xm:sqref>
        </x14:dataValidation>
        <x14:dataValidation type="list" allowBlank="1" showInputMessage="1" showErrorMessage="1" xr:uid="{6DB12ADE-0137-4F1B-A531-2B554D2A61CC}">
          <x14:formula1>
            <xm:f>ReferentsDPT!A2:A16</xm:f>
          </x14:formula1>
          <xm:sqref>B202</xm:sqref>
        </x14:dataValidation>
        <x14:dataValidation type="list" allowBlank="1" showInputMessage="1" showErrorMessage="1" xr:uid="{86A8B0BC-83F6-4C10-A828-54241D76416B}">
          <x14:formula1>
            <xm:f>Classes!A2:A4</xm:f>
          </x14:formula1>
          <xm:sqref>E202</xm:sqref>
        </x14:dataValidation>
        <x14:dataValidation type="list" allowBlank="1" showInputMessage="1" showErrorMessage="1" xr:uid="{74DF6CEA-4839-4469-BF58-FD5211A3ABE0}">
          <x14:formula1>
            <xm:f>ReferentsDPT!A2:A16</xm:f>
          </x14:formula1>
          <xm:sqref>B203</xm:sqref>
        </x14:dataValidation>
        <x14:dataValidation type="list" allowBlank="1" showInputMessage="1" showErrorMessage="1" xr:uid="{6E26DB92-66EE-45F4-A23B-B88FAC4E43DD}">
          <x14:formula1>
            <xm:f>Classes!A2:A4</xm:f>
          </x14:formula1>
          <xm:sqref>E203</xm:sqref>
        </x14:dataValidation>
        <x14:dataValidation type="list" allowBlank="1" showInputMessage="1" showErrorMessage="1" xr:uid="{03163DAC-C9B3-4462-9736-6CF43DBB4E3B}">
          <x14:formula1>
            <xm:f>ReferentsDPT!A2:A16</xm:f>
          </x14:formula1>
          <xm:sqref>B204</xm:sqref>
        </x14:dataValidation>
        <x14:dataValidation type="list" allowBlank="1" showInputMessage="1" showErrorMessage="1" xr:uid="{29BECF7E-D4BD-4A2B-8CE8-4508A4BEFD7D}">
          <x14:formula1>
            <xm:f>ReferentsDPT!A2:A16</xm:f>
          </x14:formula1>
          <xm:sqref>B205</xm:sqref>
        </x14:dataValidation>
        <x14:dataValidation type="list" allowBlank="1" showInputMessage="1" showErrorMessage="1" xr:uid="{EF8E6B70-68D8-489C-8814-C56EA1CB48F1}">
          <x14:formula1>
            <xm:f>ReferentsDPT!A2:A16</xm:f>
          </x14:formula1>
          <xm:sqref>B206</xm:sqref>
        </x14:dataValidation>
        <x14:dataValidation type="list" allowBlank="1" showInputMessage="1" showErrorMessage="1" xr:uid="{5C5E360C-5BE1-4666-BADC-7D5F9C4DE01B}">
          <x14:formula1>
            <xm:f>ReferentsDPT!A2:A16</xm:f>
          </x14:formula1>
          <xm:sqref>B207</xm:sqref>
        </x14:dataValidation>
        <x14:dataValidation type="list" allowBlank="1" showInputMessage="1" showErrorMessage="1" xr:uid="{03070172-2BB8-4811-884E-EAC7677D35E6}">
          <x14:formula1>
            <xm:f>Classes!A2:A4</xm:f>
          </x14:formula1>
          <xm:sqref>E207</xm:sqref>
        </x14:dataValidation>
        <x14:dataValidation type="list" allowBlank="1" showInputMessage="1" showErrorMessage="1" xr:uid="{5EEDC445-427D-40E7-BA3D-4EE099CACA91}">
          <x14:formula1>
            <xm:f>Classes!A2:A4</xm:f>
          </x14:formula1>
          <xm:sqref>E204</xm:sqref>
        </x14:dataValidation>
        <x14:dataValidation type="list" allowBlank="1" showInputMessage="1" showErrorMessage="1" xr:uid="{32914490-2F74-4B05-8A13-D951E9C0011D}">
          <x14:formula1>
            <xm:f>Classes!A2:A4</xm:f>
          </x14:formula1>
          <xm:sqref>E205</xm:sqref>
        </x14:dataValidation>
        <x14:dataValidation type="list" allowBlank="1" showInputMessage="1" showErrorMessage="1" xr:uid="{BB528C93-B38F-4048-B55D-4B157E9841E1}">
          <x14:formula1>
            <xm:f>Classes!A2:A4</xm:f>
          </x14:formula1>
          <xm:sqref>E206</xm:sqref>
        </x14:dataValidation>
        <x14:dataValidation type="list" allowBlank="1" showInputMessage="1" showErrorMessage="1" xr:uid="{499A0555-D28D-47A4-9E78-E70B577618AC}">
          <x14:formula1>
            <xm:f>ReferentsDPT!A2:A16</xm:f>
          </x14:formula1>
          <xm:sqref>B208</xm:sqref>
        </x14:dataValidation>
        <x14:dataValidation type="list" allowBlank="1" showInputMessage="1" showErrorMessage="1" xr:uid="{8FF0ADD3-58AE-4241-9691-6C2055E5CEE5}">
          <x14:formula1>
            <xm:f>Classes!A2:A4</xm:f>
          </x14:formula1>
          <xm:sqref>E208</xm:sqref>
        </x14:dataValidation>
        <x14:dataValidation type="list" allowBlank="1" showInputMessage="1" showErrorMessage="1" xr:uid="{B983B80F-64EE-4569-9BE8-1B76A9C63A70}">
          <x14:formula1>
            <xm:f>ReferentsDPT!A2:A16</xm:f>
          </x14:formula1>
          <xm:sqref>B209</xm:sqref>
        </x14:dataValidation>
        <x14:dataValidation type="list" allowBlank="1" showInputMessage="1" showErrorMessage="1" xr:uid="{4F011810-6AA2-4161-BC21-D83FA5115723}">
          <x14:formula1>
            <xm:f>ReferentsDPT!A2:A16</xm:f>
          </x14:formula1>
          <xm:sqref>B210</xm:sqref>
        </x14:dataValidation>
        <x14:dataValidation type="list" allowBlank="1" showInputMessage="1" showErrorMessage="1" xr:uid="{C6E2D0BF-8300-4528-8070-3ADFFD9699E6}">
          <x14:formula1>
            <xm:f>ReferentsDPT!A2:A16</xm:f>
          </x14:formula1>
          <xm:sqref>B211</xm:sqref>
        </x14:dataValidation>
        <x14:dataValidation type="list" allowBlank="1" showInputMessage="1" showErrorMessage="1" xr:uid="{E2A5879B-97AA-4957-BCD1-89F1D0A20A35}">
          <x14:formula1>
            <xm:f>ReferentsDPT!A2:A16</xm:f>
          </x14:formula1>
          <xm:sqref>B212</xm:sqref>
        </x14:dataValidation>
        <x14:dataValidation type="list" allowBlank="1" showInputMessage="1" showErrorMessage="1" xr:uid="{25214912-5A1F-413C-B730-D71AB26D6A8D}">
          <x14:formula1>
            <xm:f>ReferentsDPT!A2:A16</xm:f>
          </x14:formula1>
          <xm:sqref>B213</xm:sqref>
        </x14:dataValidation>
        <x14:dataValidation type="list" allowBlank="1" showInputMessage="1" showErrorMessage="1" xr:uid="{9EB2E861-C45C-4E51-A1FD-56F5E7AC3DBC}">
          <x14:formula1>
            <xm:f>ReferentsDPT!A2:A16</xm:f>
          </x14:formula1>
          <xm:sqref>B214</xm:sqref>
        </x14:dataValidation>
        <x14:dataValidation type="list" allowBlank="1" showInputMessage="1" showErrorMessage="1" xr:uid="{711C777C-824C-4C88-A5E6-638CDF6D79EF}">
          <x14:formula1>
            <xm:f>ReferentsDPT!A2:A16</xm:f>
          </x14:formula1>
          <xm:sqref>B215</xm:sqref>
        </x14:dataValidation>
        <x14:dataValidation type="list" allowBlank="1" showInputMessage="1" showErrorMessage="1" xr:uid="{8B60875B-5466-4FD7-ACB1-FE35C36BC7D7}">
          <x14:formula1>
            <xm:f>Classes!A2:A4</xm:f>
          </x14:formula1>
          <xm:sqref>E211</xm:sqref>
        </x14:dataValidation>
        <x14:dataValidation type="list" allowBlank="1" showInputMessage="1" showErrorMessage="1" xr:uid="{232E0F1C-08CD-4B93-B9BE-A55029EBD803}">
          <x14:formula1>
            <xm:f>Classes!A2:A4</xm:f>
          </x14:formula1>
          <xm:sqref>E212</xm:sqref>
        </x14:dataValidation>
        <x14:dataValidation type="list" allowBlank="1" showInputMessage="1" showErrorMessage="1" xr:uid="{27E0ED4D-989D-4041-9E9E-22AEED822505}">
          <x14:formula1>
            <xm:f>Classes!A2:A4</xm:f>
          </x14:formula1>
          <xm:sqref>E213</xm:sqref>
        </x14:dataValidation>
        <x14:dataValidation type="list" allowBlank="1" showInputMessage="1" showErrorMessage="1" xr:uid="{85FAA8C0-86C8-43C2-AFCB-EB97F294D031}">
          <x14:formula1>
            <xm:f>Classes!A2:A4</xm:f>
          </x14:formula1>
          <xm:sqref>E214</xm:sqref>
        </x14:dataValidation>
        <x14:dataValidation type="list" allowBlank="1" showInputMessage="1" showErrorMessage="1" xr:uid="{4D65481A-FB80-4491-B243-4BB4ACFE0DA3}">
          <x14:formula1>
            <xm:f>Classes!A2:A4</xm:f>
          </x14:formula1>
          <xm:sqref>E215</xm:sqref>
        </x14:dataValidation>
        <x14:dataValidation type="list" allowBlank="1" showInputMessage="1" showErrorMessage="1" xr:uid="{0150A1BD-CD97-4BFE-996C-58CBD2068124}">
          <x14:formula1>
            <xm:f>Classes!A2:A4</xm:f>
          </x14:formula1>
          <xm:sqref>E210</xm:sqref>
        </x14:dataValidation>
        <x14:dataValidation type="list" allowBlank="1" showInputMessage="1" showErrorMessage="1" xr:uid="{7DE06967-236B-44BE-BE54-E088A76247E5}">
          <x14:formula1>
            <xm:f>Classes!A2:A4</xm:f>
          </x14:formula1>
          <xm:sqref>E209</xm:sqref>
        </x14:dataValidation>
        <x14:dataValidation type="list" allowBlank="1" showInputMessage="1" showErrorMessage="1" xr:uid="{9F8E236B-E986-4449-B4C7-26FA60DD1434}">
          <x14:formula1>
            <xm:f>ReferentsDPT!A2:A16</xm:f>
          </x14:formula1>
          <xm:sqref>B216</xm:sqref>
        </x14:dataValidation>
        <x14:dataValidation type="list" allowBlank="1" showInputMessage="1" showErrorMessage="1" xr:uid="{2E1ED665-8CD5-403D-867D-1C9CC6A39AED}">
          <x14:formula1>
            <xm:f>Classes!A2:A4</xm:f>
          </x14:formula1>
          <xm:sqref>E216</xm:sqref>
        </x14:dataValidation>
        <x14:dataValidation type="list" allowBlank="1" showInputMessage="1" showErrorMessage="1" xr:uid="{C8969898-FAA4-425C-A79B-672BD5F0C5A8}">
          <x14:formula1>
            <xm:f>ReferentsDPT!A2:A16</xm:f>
          </x14:formula1>
          <xm:sqref>B217</xm:sqref>
        </x14:dataValidation>
        <x14:dataValidation type="list" allowBlank="1" showInputMessage="1" showErrorMessage="1" xr:uid="{B1BF05CA-C676-4D11-8C40-89613CABD7CC}">
          <x14:formula1>
            <xm:f>Classes!A2:A4</xm:f>
          </x14:formula1>
          <xm:sqref>E217</xm:sqref>
        </x14:dataValidation>
        <x14:dataValidation type="list" allowBlank="1" showInputMessage="1" showErrorMessage="1" xr:uid="{16C6A7CF-98DC-48D9-A879-DD0A12251164}">
          <x14:formula1>
            <xm:f>ReferentsDPT!A2:A16</xm:f>
          </x14:formula1>
          <xm:sqref>B218</xm:sqref>
        </x14:dataValidation>
        <x14:dataValidation type="list" allowBlank="1" showInputMessage="1" showErrorMessage="1" xr:uid="{6E17ADE7-D3FB-480A-A04C-8C714DD7177B}">
          <x14:formula1>
            <xm:f>Classes!A2:A4</xm:f>
          </x14:formula1>
          <xm:sqref>E218</xm:sqref>
        </x14:dataValidation>
        <x14:dataValidation type="list" allowBlank="1" showInputMessage="1" showErrorMessage="1" xr:uid="{D5172653-3F18-4965-83CA-B4BAD43469B1}">
          <x14:formula1>
            <xm:f>ReferentsDPT!A2:A16</xm:f>
          </x14:formula1>
          <xm:sqref>B219</xm:sqref>
        </x14:dataValidation>
        <x14:dataValidation type="list" allowBlank="1" showInputMessage="1" showErrorMessage="1" xr:uid="{4C16F932-7A3E-4515-9512-201FFF593E99}">
          <x14:formula1>
            <xm:f>ReferentsDPT!A2:A16</xm:f>
          </x14:formula1>
          <xm:sqref>B220</xm:sqref>
        </x14:dataValidation>
        <x14:dataValidation type="list" allowBlank="1" showInputMessage="1" showErrorMessage="1" xr:uid="{495125A0-44CF-4B16-8938-B14D63C9F00B}">
          <x14:formula1>
            <xm:f>Classes!A2:A4</xm:f>
          </x14:formula1>
          <xm:sqref>E219</xm:sqref>
        </x14:dataValidation>
        <x14:dataValidation type="list" allowBlank="1" showInputMessage="1" showErrorMessage="1" xr:uid="{4C5CA289-3F8D-4518-B1FD-54BB82306C60}">
          <x14:formula1>
            <xm:f>ReferentsDPT!A2:A16</xm:f>
          </x14:formula1>
          <xm:sqref>B221</xm:sqref>
        </x14:dataValidation>
        <x14:dataValidation type="list" allowBlank="1" showInputMessage="1" showErrorMessage="1" xr:uid="{9838EB9F-D46C-4EC8-8391-0A10E5E0D65F}">
          <x14:formula1>
            <xm:f>ReferentsDPT!A2:A16</xm:f>
          </x14:formula1>
          <xm:sqref>B222</xm:sqref>
        </x14:dataValidation>
        <x14:dataValidation type="list" allowBlank="1" showInputMessage="1" showErrorMessage="1" xr:uid="{280B3615-084E-4510-A698-D0D98E8D8A4A}">
          <x14:formula1>
            <xm:f>ReferentsDPT!A2:A16</xm:f>
          </x14:formula1>
          <xm:sqref>B223</xm:sqref>
        </x14:dataValidation>
        <x14:dataValidation type="list" allowBlank="1" showInputMessage="1" showErrorMessage="1" xr:uid="{23DDF977-AEEF-4AAD-82A7-B2A5A900B888}">
          <x14:formula1>
            <xm:f>Classes!A2:A4</xm:f>
          </x14:formula1>
          <xm:sqref>E220</xm:sqref>
        </x14:dataValidation>
        <x14:dataValidation type="list" allowBlank="1" showInputMessage="1" showErrorMessage="1" xr:uid="{DB0CBB23-EA2F-45BD-A86C-C32169A4B479}">
          <x14:formula1>
            <xm:f>Classes!A2:A4</xm:f>
          </x14:formula1>
          <xm:sqref>E221</xm:sqref>
        </x14:dataValidation>
        <x14:dataValidation type="list" allowBlank="1" showInputMessage="1" showErrorMessage="1" xr:uid="{4132E43A-2714-41F8-998E-ABD84C57AB08}">
          <x14:formula1>
            <xm:f>Classes!A2:A4</xm:f>
          </x14:formula1>
          <xm:sqref>E222</xm:sqref>
        </x14:dataValidation>
        <x14:dataValidation type="list" allowBlank="1" showInputMessage="1" showErrorMessage="1" xr:uid="{8CA7653B-27C7-40F3-9B89-3EAAF2C291CD}">
          <x14:formula1>
            <xm:f>Classes!A2:A4</xm:f>
          </x14:formula1>
          <xm:sqref>E223</xm:sqref>
        </x14:dataValidation>
        <x14:dataValidation type="list" allowBlank="1" showInputMessage="1" showErrorMessage="1" xr:uid="{6F54DEF1-EAAC-4211-80BB-BBB7E3F8507C}">
          <x14:formula1>
            <xm:f>ReferentsDPT!A2:A16</xm:f>
          </x14:formula1>
          <xm:sqref>B224</xm:sqref>
        </x14:dataValidation>
        <x14:dataValidation type="list" allowBlank="1" showInputMessage="1" showErrorMessage="1" xr:uid="{ACA89F8B-B74F-40C2-9888-92A005637B7C}">
          <x14:formula1>
            <xm:f>Classes!A2:A4</xm:f>
          </x14:formula1>
          <xm:sqref>E224</xm:sqref>
        </x14:dataValidation>
        <x14:dataValidation type="list" allowBlank="1" showInputMessage="1" showErrorMessage="1" xr:uid="{2C9B347D-ED5C-4953-BF83-F60DCBECA433}">
          <x14:formula1>
            <xm:f>ReferentsDPT!A2:A16</xm:f>
          </x14:formula1>
          <xm:sqref>B225</xm:sqref>
        </x14:dataValidation>
        <x14:dataValidation type="list" allowBlank="1" showInputMessage="1" showErrorMessage="1" xr:uid="{6E77FB68-7954-42DC-AC8F-08A2174EB80B}">
          <x14:formula1>
            <xm:f>ReferentsDPT!A2:A16</xm:f>
          </x14:formula1>
          <xm:sqref>B226</xm:sqref>
        </x14:dataValidation>
        <x14:dataValidation type="list" allowBlank="1" showInputMessage="1" showErrorMessage="1" xr:uid="{98543639-9E5D-40EC-976F-DDE0C606EE8E}">
          <x14:formula1>
            <xm:f>Classes!A2:A4</xm:f>
          </x14:formula1>
          <xm:sqref>E225</xm:sqref>
        </x14:dataValidation>
        <x14:dataValidation type="list" allowBlank="1" showInputMessage="1" showErrorMessage="1" xr:uid="{DE406A36-5D10-44BC-B185-4DB2FBDD4432}">
          <x14:formula1>
            <xm:f>Classes!A2:A4</xm:f>
          </x14:formula1>
          <xm:sqref>E226</xm:sqref>
        </x14:dataValidation>
        <x14:dataValidation type="list" allowBlank="1" showInputMessage="1" showErrorMessage="1" xr:uid="{6EC29710-89B5-42BA-98E9-4676FB386A88}">
          <x14:formula1>
            <xm:f>ReferentsDPT!A2:A16</xm:f>
          </x14:formula1>
          <xm:sqref>B227</xm:sqref>
        </x14:dataValidation>
        <x14:dataValidation type="list" allowBlank="1" showInputMessage="1" showErrorMessage="1" xr:uid="{A8B5FDAE-BD20-43B7-BFAD-3E7C0206E8FF}">
          <x14:formula1>
            <xm:f>Classes!A2:A4</xm:f>
          </x14:formula1>
          <xm:sqref>E227</xm:sqref>
        </x14:dataValidation>
        <x14:dataValidation type="list" allowBlank="1" showInputMessage="1" showErrorMessage="1" xr:uid="{203CCCC4-E51A-4D8D-9F3F-7DF9D505BD1C}">
          <x14:formula1>
            <xm:f>ReferentsDPT!A2:A16</xm:f>
          </x14:formula1>
          <xm:sqref>B228</xm:sqref>
        </x14:dataValidation>
        <x14:dataValidation type="list" allowBlank="1" showInputMessage="1" showErrorMessage="1" xr:uid="{2EDB89C6-9C39-4FF0-8C37-F4E99BD432F7}">
          <x14:formula1>
            <xm:f>ReferentsDPT!A2:A16</xm:f>
          </x14:formula1>
          <xm:sqref>B229</xm:sqref>
        </x14:dataValidation>
        <x14:dataValidation type="list" allowBlank="1" showInputMessage="1" showErrorMessage="1" xr:uid="{6363640A-5150-4F7F-B772-1D2609A26986}">
          <x14:formula1>
            <xm:f>ReferentsDPT!A2:A16</xm:f>
          </x14:formula1>
          <xm:sqref>B230</xm:sqref>
        </x14:dataValidation>
        <x14:dataValidation type="list" allowBlank="1" showInputMessage="1" showErrorMessage="1" xr:uid="{7B0D7FEC-CD36-4047-AA75-6E1DC45670CC}">
          <x14:formula1>
            <xm:f>ReferentsDPT!A2:A16</xm:f>
          </x14:formula1>
          <xm:sqref>B231</xm:sqref>
        </x14:dataValidation>
        <x14:dataValidation type="list" allowBlank="1" showInputMessage="1" showErrorMessage="1" xr:uid="{3AE1AD4E-A6FE-4013-B270-907D7B45A48D}">
          <x14:formula1>
            <xm:f>ReferentsDPT!A2:A16</xm:f>
          </x14:formula1>
          <xm:sqref>B232</xm:sqref>
        </x14:dataValidation>
        <x14:dataValidation type="list" allowBlank="1" showInputMessage="1" showErrorMessage="1" xr:uid="{2D5EF355-25D2-40A8-9F54-4C016A8550BE}">
          <x14:formula1>
            <xm:f>ReferentsDPT!A2:A16</xm:f>
          </x14:formula1>
          <xm:sqref>B233</xm:sqref>
        </x14:dataValidation>
        <x14:dataValidation type="list" allowBlank="1" showInputMessage="1" showErrorMessage="1" xr:uid="{29CCE4A5-3B73-4F7D-BC83-F290B856CEFC}">
          <x14:formula1>
            <xm:f>Classes!A2:A4</xm:f>
          </x14:formula1>
          <xm:sqref>E231</xm:sqref>
        </x14:dataValidation>
        <x14:dataValidation type="list" allowBlank="1" showInputMessage="1" showErrorMessage="1" xr:uid="{829F0997-D0F4-44F0-93EC-C6FC21A633F0}">
          <x14:formula1>
            <xm:f>Classes!A2:A4</xm:f>
          </x14:formula1>
          <xm:sqref>E232</xm:sqref>
        </x14:dataValidation>
        <x14:dataValidation type="list" allowBlank="1" showInputMessage="1" showErrorMessage="1" xr:uid="{6DC87512-DB97-4731-891F-4C7BF67A0C3A}">
          <x14:formula1>
            <xm:f>Classes!A2:A4</xm:f>
          </x14:formula1>
          <xm:sqref>E233</xm:sqref>
        </x14:dataValidation>
        <x14:dataValidation type="list" allowBlank="1" showInputMessage="1" showErrorMessage="1" xr:uid="{72F116DD-2F6B-47D2-A4E3-D77B94351C96}">
          <x14:formula1>
            <xm:f>Classes!A2:A4</xm:f>
          </x14:formula1>
          <xm:sqref>E228</xm:sqref>
        </x14:dataValidation>
        <x14:dataValidation type="list" allowBlank="1" showInputMessage="1" showErrorMessage="1" xr:uid="{F798C6C0-0A74-40FC-B1F5-03B7154AAF51}">
          <x14:formula1>
            <xm:f>Classes!A2:A4</xm:f>
          </x14:formula1>
          <xm:sqref>E229</xm:sqref>
        </x14:dataValidation>
        <x14:dataValidation type="list" allowBlank="1" showInputMessage="1" showErrorMessage="1" xr:uid="{80960A89-B68B-47DE-99C0-EFF00C301B86}">
          <x14:formula1>
            <xm:f>Classes!A2:A4</xm:f>
          </x14:formula1>
          <xm:sqref>E230</xm:sqref>
        </x14:dataValidation>
        <x14:dataValidation type="list" allowBlank="1" showInputMessage="1" showErrorMessage="1" xr:uid="{C9ADF340-5358-4E00-97A9-5112E3A018B3}">
          <x14:formula1>
            <xm:f>ReferentsDPT!A2:A16</xm:f>
          </x14:formula1>
          <xm:sqref>B234</xm:sqref>
        </x14:dataValidation>
        <x14:dataValidation type="list" allowBlank="1" showInputMessage="1" showErrorMessage="1" xr:uid="{278B0890-3075-4D8F-BEB0-27EA8D4490A2}">
          <x14:formula1>
            <xm:f>Classes!A2:A4</xm:f>
          </x14:formula1>
          <xm:sqref>E234</xm:sqref>
        </x14:dataValidation>
        <x14:dataValidation type="list" allowBlank="1" showInputMessage="1" showErrorMessage="1" xr:uid="{56817294-BC6E-4D9F-B9D6-62934001ACD7}">
          <x14:formula1>
            <xm:f>ReferentsDPT!A2:A16</xm:f>
          </x14:formula1>
          <xm:sqref>B235</xm:sqref>
        </x14:dataValidation>
        <x14:dataValidation type="list" allowBlank="1" showInputMessage="1" showErrorMessage="1" xr:uid="{0972DF69-3381-4C55-AD27-6C70AB5C3735}">
          <x14:formula1>
            <xm:f>Classes!A2:A4</xm:f>
          </x14:formula1>
          <xm:sqref>E235</xm:sqref>
        </x14:dataValidation>
        <x14:dataValidation type="list" allowBlank="1" showInputMessage="1" showErrorMessage="1" xr:uid="{DCC73119-FE20-4131-BA4C-33FAB6AE1C63}">
          <x14:formula1>
            <xm:f>ReferentsDPT!A2:A16</xm:f>
          </x14:formula1>
          <xm:sqref>B236</xm:sqref>
        </x14:dataValidation>
        <x14:dataValidation type="list" allowBlank="1" showInputMessage="1" showErrorMessage="1" xr:uid="{41FF93B1-B1D4-4FE0-9B9B-7E8A91E4E023}">
          <x14:formula1>
            <xm:f>ReferentsDPT!A2:A16</xm:f>
          </x14:formula1>
          <xm:sqref>B237</xm:sqref>
        </x14:dataValidation>
        <x14:dataValidation type="list" allowBlank="1" showInputMessage="1" showErrorMessage="1" xr:uid="{95C7C717-377E-4E35-A126-8F89AA018656}">
          <x14:formula1>
            <xm:f>ReferentsDPT!A2:A16</xm:f>
          </x14:formula1>
          <xm:sqref>B238</xm:sqref>
        </x14:dataValidation>
        <x14:dataValidation type="list" allowBlank="1" showInputMessage="1" showErrorMessage="1" xr:uid="{2548FBAC-D585-4262-A179-102DF9B182F3}">
          <x14:formula1>
            <xm:f>Classes!A2:A4</xm:f>
          </x14:formula1>
          <xm:sqref>E236</xm:sqref>
        </x14:dataValidation>
        <x14:dataValidation type="list" allowBlank="1" showInputMessage="1" showErrorMessage="1" xr:uid="{8DEA227A-86CB-4A56-87C3-AFA113D0766A}">
          <x14:formula1>
            <xm:f>Classes!A2:A4</xm:f>
          </x14:formula1>
          <xm:sqref>E238</xm:sqref>
        </x14:dataValidation>
        <x14:dataValidation type="list" allowBlank="1" showInputMessage="1" showErrorMessage="1" xr:uid="{A0040B94-453E-4134-9694-241D6E13747E}">
          <x14:formula1>
            <xm:f>ReferentsDPT!A2:A16</xm:f>
          </x14:formula1>
          <xm:sqref>B239</xm:sqref>
        </x14:dataValidation>
        <x14:dataValidation type="list" allowBlank="1" showInputMessage="1" showErrorMessage="1" xr:uid="{DBE1A87E-5D4C-410B-859A-4056BB890EA5}">
          <x14:formula1>
            <xm:f>Classes!A2:A4</xm:f>
          </x14:formula1>
          <xm:sqref>E239</xm:sqref>
        </x14:dataValidation>
        <x14:dataValidation type="list" allowBlank="1" showInputMessage="1" showErrorMessage="1" xr:uid="{C92DC602-678D-44F0-AF97-4D6BD7399085}">
          <x14:formula1>
            <xm:f>ReferentsDPT!A2:A16</xm:f>
          </x14:formula1>
          <xm:sqref>B240</xm:sqref>
        </x14:dataValidation>
        <x14:dataValidation type="list" allowBlank="1" showInputMessage="1" showErrorMessage="1" xr:uid="{F954E067-FEAB-4FF2-9463-98081BF36640}">
          <x14:formula1>
            <xm:f>Classes!A2:A4</xm:f>
          </x14:formula1>
          <xm:sqref>E240</xm:sqref>
        </x14:dataValidation>
        <x14:dataValidation type="list" allowBlank="1" showInputMessage="1" showErrorMessage="1" xr:uid="{39CB3684-1A2E-4142-A94E-A3E948214522}">
          <x14:formula1>
            <xm:f>ReferentsDPT!A2:A16</xm:f>
          </x14:formula1>
          <xm:sqref>B241</xm:sqref>
        </x14:dataValidation>
        <x14:dataValidation type="list" allowBlank="1" showInputMessage="1" showErrorMessage="1" xr:uid="{7F3301A7-A4BB-4A39-9A6A-02B55731D067}">
          <x14:formula1>
            <xm:f>Classes!A2:A4</xm:f>
          </x14:formula1>
          <xm:sqref>E241</xm:sqref>
        </x14:dataValidation>
        <x14:dataValidation type="list" allowBlank="1" showInputMessage="1" showErrorMessage="1" xr:uid="{7550E86D-A9EA-4505-9D62-A5640EAEF377}">
          <x14:formula1>
            <xm:f>ReferentsDPT!A2:A16</xm:f>
          </x14:formula1>
          <xm:sqref>B242</xm:sqref>
        </x14:dataValidation>
        <x14:dataValidation type="list" allowBlank="1" showInputMessage="1" showErrorMessage="1" xr:uid="{1D801D80-34D1-4557-BF11-40163C36B8A7}">
          <x14:formula1>
            <xm:f>Classes!A2:A4</xm:f>
          </x14:formula1>
          <xm:sqref>E242</xm:sqref>
        </x14:dataValidation>
        <x14:dataValidation type="list" allowBlank="1" showInputMessage="1" showErrorMessage="1" xr:uid="{4523387E-EB5F-4881-8779-BE451D868D6F}">
          <x14:formula1>
            <xm:f>ReferentsDPT!A2:A16</xm:f>
          </x14:formula1>
          <xm:sqref>B243</xm:sqref>
        </x14:dataValidation>
        <x14:dataValidation type="list" allowBlank="1" showInputMessage="1" showErrorMessage="1" xr:uid="{DECCBFA9-941E-47BE-9129-EEE744D0C9D0}">
          <x14:formula1>
            <xm:f>ReferentsDPT!A2:A16</xm:f>
          </x14:formula1>
          <xm:sqref>B244</xm:sqref>
        </x14:dataValidation>
        <x14:dataValidation type="list" allowBlank="1" showInputMessage="1" showErrorMessage="1" xr:uid="{E9423C66-F3D8-4354-BD00-5172ADCD8078}">
          <x14:formula1>
            <xm:f>ReferentsDPT!A2:A16</xm:f>
          </x14:formula1>
          <xm:sqref>B245</xm:sqref>
        </x14:dataValidation>
        <x14:dataValidation type="list" allowBlank="1" showInputMessage="1" showErrorMessage="1" xr:uid="{B32B1731-334A-4135-A512-D45184ED4CAE}">
          <x14:formula1>
            <xm:f>Classes!A2:A4</xm:f>
          </x14:formula1>
          <xm:sqref>E243</xm:sqref>
        </x14:dataValidation>
        <x14:dataValidation type="list" allowBlank="1" showInputMessage="1" showErrorMessage="1" xr:uid="{C1EB0ED0-FE30-4250-BDCF-528018BF2B1B}">
          <x14:formula1>
            <xm:f>Classes!A2:A4</xm:f>
          </x14:formula1>
          <xm:sqref>E244</xm:sqref>
        </x14:dataValidation>
        <x14:dataValidation type="list" allowBlank="1" showInputMessage="1" showErrorMessage="1" xr:uid="{443B5CC4-8C85-4734-9518-274B4E3B615D}">
          <x14:formula1>
            <xm:f>Classes!A2:A4</xm:f>
          </x14:formula1>
          <xm:sqref>E245</xm:sqref>
        </x14:dataValidation>
        <x14:dataValidation type="list" allowBlank="1" showInputMessage="1" showErrorMessage="1" xr:uid="{44F8C5E9-E820-48FA-AB4B-227D99DE2837}">
          <x14:formula1>
            <xm:f>ReferentsDPT!A2:A16</xm:f>
          </x14:formula1>
          <xm:sqref>B246</xm:sqref>
        </x14:dataValidation>
        <x14:dataValidation type="list" allowBlank="1" showInputMessage="1" showErrorMessage="1" xr:uid="{F610B888-0B9E-447F-858F-5524ED1CC375}">
          <x14:formula1>
            <xm:f>ReferentsDPT!A2:A16</xm:f>
          </x14:formula1>
          <xm:sqref>B247</xm:sqref>
        </x14:dataValidation>
        <x14:dataValidation type="list" allowBlank="1" showInputMessage="1" showErrorMessage="1" xr:uid="{68FFCF03-793F-4E21-A35F-FE30CF882CCB}">
          <x14:formula1>
            <xm:f>ReferentsDPT!A2:A16</xm:f>
          </x14:formula1>
          <xm:sqref>B248</xm:sqref>
        </x14:dataValidation>
        <x14:dataValidation type="list" allowBlank="1" showInputMessage="1" showErrorMessage="1" xr:uid="{1206AB21-0488-4A1A-8DD8-150760F3CF7C}">
          <x14:formula1>
            <xm:f>Classes!A2:A4</xm:f>
          </x14:formula1>
          <xm:sqref>E246</xm:sqref>
        </x14:dataValidation>
        <x14:dataValidation type="list" allowBlank="1" showInputMessage="1" showErrorMessage="1" xr:uid="{909CCEE0-0CD1-41B5-B867-4F56D8B16BA5}">
          <x14:formula1>
            <xm:f>Classes!A2:A4</xm:f>
          </x14:formula1>
          <xm:sqref>E247</xm:sqref>
        </x14:dataValidation>
        <x14:dataValidation type="list" allowBlank="1" showInputMessage="1" showErrorMessage="1" xr:uid="{7F9C6825-AFB2-487F-BC48-E5D558F4DC5F}">
          <x14:formula1>
            <xm:f>Classes!A2:A4</xm:f>
          </x14:formula1>
          <xm:sqref>E248</xm:sqref>
        </x14:dataValidation>
        <x14:dataValidation type="list" allowBlank="1" showInputMessage="1" showErrorMessage="1" xr:uid="{F7F3C727-5564-4C2C-9E44-5C880EC459FB}">
          <x14:formula1>
            <xm:f>ReferentsDPT!A2:A16</xm:f>
          </x14:formula1>
          <xm:sqref>B250</xm:sqref>
        </x14:dataValidation>
        <x14:dataValidation type="list" allowBlank="1" showInputMessage="1" showErrorMessage="1" xr:uid="{49626280-D694-4DB4-B359-854B9428C9CF}">
          <x14:formula1>
            <xm:f>Classes!A2:A4</xm:f>
          </x14:formula1>
          <xm:sqref>E250</xm:sqref>
        </x14:dataValidation>
        <x14:dataValidation type="list" allowBlank="1" showInputMessage="1" showErrorMessage="1" xr:uid="{B03355F5-62CC-4642-9654-DF7FFB948B16}">
          <x14:formula1>
            <xm:f>ReferentsDPT!A2:A16</xm:f>
          </x14:formula1>
          <xm:sqref>B251</xm:sqref>
        </x14:dataValidation>
        <x14:dataValidation type="list" allowBlank="1" showInputMessage="1" showErrorMessage="1" xr:uid="{9CAEC71C-226C-4F9D-88BF-E272FA499226}">
          <x14:formula1>
            <xm:f>Classes!A2:A4</xm:f>
          </x14:formula1>
          <xm:sqref>E251</xm:sqref>
        </x14:dataValidation>
        <x14:dataValidation type="list" allowBlank="1" showInputMessage="1" showErrorMessage="1" xr:uid="{9ABEF475-DCE3-4C65-B764-78783FBC5A24}">
          <x14:formula1>
            <xm:f>ReferentsDPT!A2:A16</xm:f>
          </x14:formula1>
          <xm:sqref>B252</xm:sqref>
        </x14:dataValidation>
        <x14:dataValidation type="list" allowBlank="1" showInputMessage="1" showErrorMessage="1" xr:uid="{709BD1E8-044A-41BD-9672-F60F64EE631B}">
          <x14:formula1>
            <xm:f>Classes!A2:A4</xm:f>
          </x14:formula1>
          <xm:sqref>E252</xm:sqref>
        </x14:dataValidation>
        <x14:dataValidation type="list" allowBlank="1" showInputMessage="1" showErrorMessage="1" xr:uid="{FF09E67C-3D52-4471-AB3D-7C492E979CE1}">
          <x14:formula1>
            <xm:f>ReferentsDPT!A2:A16</xm:f>
          </x14:formula1>
          <xm:sqref>B253</xm:sqref>
        </x14:dataValidation>
        <x14:dataValidation type="list" allowBlank="1" showInputMessage="1" showErrorMessage="1" xr:uid="{9044A32D-A97B-486C-A0D3-2710D4D25C49}">
          <x14:formula1>
            <xm:f>Classes!A2:A4</xm:f>
          </x14:formula1>
          <xm:sqref>E253</xm:sqref>
        </x14:dataValidation>
        <x14:dataValidation type="list" allowBlank="1" showInputMessage="1" showErrorMessage="1" xr:uid="{36ADEB7D-F6F0-488B-B25D-419C75F04C38}">
          <x14:formula1>
            <xm:f>ReferentsDPT!A2:A16</xm:f>
          </x14:formula1>
          <xm:sqref>B254</xm:sqref>
        </x14:dataValidation>
        <x14:dataValidation type="list" allowBlank="1" showInputMessage="1" showErrorMessage="1" xr:uid="{707C0279-6EBD-4F9E-8B8D-0D193AA8EE4B}">
          <x14:formula1>
            <xm:f>Classes!A2:A4</xm:f>
          </x14:formula1>
          <xm:sqref>E254</xm:sqref>
        </x14:dataValidation>
        <x14:dataValidation type="list" allowBlank="1" showInputMessage="1" showErrorMessage="1" xr:uid="{DFC2540E-AA21-44A2-8076-64C52CF71396}">
          <x14:formula1>
            <xm:f>ReferentsDPT!A2:A16</xm:f>
          </x14:formula1>
          <xm:sqref>B255:B267</xm:sqref>
        </x14:dataValidation>
        <x14:dataValidation type="list" allowBlank="1" showInputMessage="1" showErrorMessage="1" xr:uid="{89D296D8-748C-4CB4-B8CE-95B39544D444}">
          <x14:formula1>
            <xm:f>Classes!A2:A4</xm:f>
          </x14:formula1>
          <xm:sqref>E255:E266</xm:sqref>
        </x14:dataValidation>
        <x14:dataValidation type="list" allowBlank="1" showInputMessage="1" showErrorMessage="1" xr:uid="{59B02AA1-E64E-434F-8C95-BBCB303091A8}">
          <x14:formula1>
            <xm:f>Classes!A2:A4</xm:f>
          </x14:formula1>
          <xm:sqref>E267</xm:sqref>
        </x14:dataValidation>
        <x14:dataValidation type="list" allowBlank="1" showInputMessage="1" showErrorMessage="1" xr:uid="{221E9741-1C49-4F8D-BEAA-2CA7FA28664B}">
          <x14:formula1>
            <xm:f>ReferentsDPT!A2:A16</xm:f>
          </x14:formula1>
          <xm:sqref>B268</xm:sqref>
        </x14:dataValidation>
        <x14:dataValidation type="list" allowBlank="1" showInputMessage="1" showErrorMessage="1" xr:uid="{70AD757C-ABC2-47C3-802B-39508BA879E1}">
          <x14:formula1>
            <xm:f>Classes!A2:A4</xm:f>
          </x14:formula1>
          <xm:sqref>E268</xm:sqref>
        </x14:dataValidation>
        <x14:dataValidation type="list" allowBlank="1" showInputMessage="1" showErrorMessage="1" xr:uid="{D2DB6C42-3D50-4C30-BB39-512F24962130}">
          <x14:formula1>
            <xm:f>ReferentsDPT!A2:A16</xm:f>
          </x14:formula1>
          <xm:sqref>B269</xm:sqref>
        </x14:dataValidation>
        <x14:dataValidation type="list" allowBlank="1" showInputMessage="1" showErrorMessage="1" xr:uid="{6A158C0A-5030-4666-B3D2-93A76596F189}">
          <x14:formula1>
            <xm:f>Classes!A2:A4</xm:f>
          </x14:formula1>
          <xm:sqref>E269</xm:sqref>
        </x14:dataValidation>
        <x14:dataValidation type="list" allowBlank="1" showInputMessage="1" showErrorMessage="1" xr:uid="{FBC7B9E9-EB0D-4E48-AE4C-ADEF8C4F6966}">
          <x14:formula1>
            <xm:f>ReferentsDPT!A2:A16</xm:f>
          </x14:formula1>
          <xm:sqref>B270</xm:sqref>
        </x14:dataValidation>
        <x14:dataValidation type="list" allowBlank="1" showInputMessage="1" showErrorMessage="1" xr:uid="{A773BF9A-21F1-4439-9EE1-FC83FAFC370E}">
          <x14:formula1>
            <xm:f>ReferentsDPT!A2:A16</xm:f>
          </x14:formula1>
          <xm:sqref>B271</xm:sqref>
        </x14:dataValidation>
        <x14:dataValidation type="list" allowBlank="1" showInputMessage="1" showErrorMessage="1" xr:uid="{EFDD040F-9F2E-4F17-832E-5271C0052573}">
          <x14:formula1>
            <xm:f>ReferentsDPT!A2:A16</xm:f>
          </x14:formula1>
          <xm:sqref>B272</xm:sqref>
        </x14:dataValidation>
        <x14:dataValidation type="list" allowBlank="1" showInputMessage="1" showErrorMessage="1" xr:uid="{BB07B777-DDAD-4F66-8403-E5AA50EA2977}">
          <x14:formula1>
            <xm:f>Classes!A2:A4</xm:f>
          </x14:formula1>
          <xm:sqref>E270</xm:sqref>
        </x14:dataValidation>
        <x14:dataValidation type="list" allowBlank="1" showInputMessage="1" showErrorMessage="1" xr:uid="{1C9FA5CC-7992-465D-8A2F-2F3DE2C143DC}">
          <x14:formula1>
            <xm:f>Classes!A2:A4</xm:f>
          </x14:formula1>
          <xm:sqref>E271</xm:sqref>
        </x14:dataValidation>
        <x14:dataValidation type="list" allowBlank="1" showInputMessage="1" showErrorMessage="1" xr:uid="{01B5A1B1-0173-45D7-B469-B28F52FF0A7F}">
          <x14:formula1>
            <xm:f>Classes!A2:A4</xm:f>
          </x14:formula1>
          <xm:sqref>E272</xm:sqref>
        </x14:dataValidation>
        <x14:dataValidation type="list" allowBlank="1" showInputMessage="1" showErrorMessage="1" xr:uid="{F645284F-7BD8-4FCB-A851-F8B0FDE7F2C0}">
          <x14:formula1>
            <xm:f>ReferentsDPT!A2:A16</xm:f>
          </x14:formula1>
          <xm:sqref>B273</xm:sqref>
        </x14:dataValidation>
        <x14:dataValidation type="list" allowBlank="1" showInputMessage="1" showErrorMessage="1" xr:uid="{E0958BF0-42EC-48B2-97E5-9CFD85692DEA}">
          <x14:formula1>
            <xm:f>Classes!A2:A4</xm:f>
          </x14:formula1>
          <xm:sqref>E273</xm:sqref>
        </x14:dataValidation>
        <x14:dataValidation type="list" allowBlank="1" showInputMessage="1" showErrorMessage="1" xr:uid="{AA46AD25-8D77-4AD1-9757-E6005256FD24}">
          <x14:formula1>
            <xm:f>ReferentsDPT!A2:A16</xm:f>
          </x14:formula1>
          <xm:sqref>B274</xm:sqref>
        </x14:dataValidation>
        <x14:dataValidation type="list" allowBlank="1" showInputMessage="1" showErrorMessage="1" xr:uid="{C205251C-828D-4A3C-A8F6-3A4B56D6D4DC}">
          <x14:formula1>
            <xm:f>Classes!A2:A4</xm:f>
          </x14:formula1>
          <xm:sqref>E274</xm:sqref>
        </x14:dataValidation>
        <x14:dataValidation type="list" allowBlank="1" showInputMessage="1" showErrorMessage="1" xr:uid="{8211ABDD-0DD4-4A1E-96F1-7610014348B0}">
          <x14:formula1>
            <xm:f>ReferentsDPT!A2:A16</xm:f>
          </x14:formula1>
          <xm:sqref>B275</xm:sqref>
        </x14:dataValidation>
        <x14:dataValidation type="list" allowBlank="1" showInputMessage="1" showErrorMessage="1" xr:uid="{37C5FC3F-CC0E-48A0-938A-CA5A66F2C666}">
          <x14:formula1>
            <xm:f>Classes!A2:A4</xm:f>
          </x14:formula1>
          <xm:sqref>E275</xm:sqref>
        </x14:dataValidation>
        <x14:dataValidation type="list" allowBlank="1" showInputMessage="1" showErrorMessage="1" xr:uid="{921800C8-ECDC-4141-B0CA-B33EE40A60BF}">
          <x14:formula1>
            <xm:f>ReferentsDPT!A2:A16</xm:f>
          </x14:formula1>
          <xm:sqref>B276</xm:sqref>
        </x14:dataValidation>
        <x14:dataValidation type="list" allowBlank="1" showInputMessage="1" showErrorMessage="1" xr:uid="{4D4A2F86-2135-4746-8999-AB1494716120}">
          <x14:formula1>
            <xm:f>Classes!A2:A4</xm:f>
          </x14:formula1>
          <xm:sqref>E276</xm:sqref>
        </x14:dataValidation>
        <x14:dataValidation type="list" allowBlank="1" showInputMessage="1" showErrorMessage="1" xr:uid="{CC8F365B-978F-4E68-9A25-E97BAD5BFD51}">
          <x14:formula1>
            <xm:f>ReferentsDPT!A2:A16</xm:f>
          </x14:formula1>
          <xm:sqref>B277</xm:sqref>
        </x14:dataValidation>
        <x14:dataValidation type="list" allowBlank="1" showInputMessage="1" showErrorMessage="1" xr:uid="{8FC22C64-840A-435A-8959-281E70C3BDFA}">
          <x14:formula1>
            <xm:f>Classes!A2:A4</xm:f>
          </x14:formula1>
          <xm:sqref>E277</xm:sqref>
        </x14:dataValidation>
        <x14:dataValidation type="list" allowBlank="1" showInputMessage="1" showErrorMessage="1" xr:uid="{64D5BFC8-38AF-4956-8840-CAE63FC13FE1}">
          <x14:formula1>
            <xm:f>ReferentsDPT!A2:A16</xm:f>
          </x14:formula1>
          <xm:sqref>B278</xm:sqref>
        </x14:dataValidation>
        <x14:dataValidation type="list" allowBlank="1" showInputMessage="1" showErrorMessage="1" xr:uid="{A0C42AEA-87F3-4660-B65C-4B30E4360303}">
          <x14:formula1>
            <xm:f>ReferentsDPT!A2:A16</xm:f>
          </x14:formula1>
          <xm:sqref>B279</xm:sqref>
        </x14:dataValidation>
        <x14:dataValidation type="list" allowBlank="1" showInputMessage="1" showErrorMessage="1" xr:uid="{01E04455-2C8B-4C6C-A569-2FC10B3D24A2}">
          <x14:formula1>
            <xm:f>ReferentsDPT!A2:A16</xm:f>
          </x14:formula1>
          <xm:sqref>B280</xm:sqref>
        </x14:dataValidation>
        <x14:dataValidation type="list" allowBlank="1" showInputMessage="1" showErrorMessage="1" xr:uid="{0C18845F-127E-4EA3-88F5-5F1719C255BE}">
          <x14:formula1>
            <xm:f>ReferentsDPT!A2:A16</xm:f>
          </x14:formula1>
          <xm:sqref>B282</xm:sqref>
        </x14:dataValidation>
        <x14:dataValidation type="list" allowBlank="1" showInputMessage="1" showErrorMessage="1" xr:uid="{2F78F990-C73D-4E91-9475-18C6FBF9BD50}">
          <x14:formula1>
            <xm:f>ReferentsDPT!A2:A16</xm:f>
          </x14:formula1>
          <xm:sqref>B283</xm:sqref>
        </x14:dataValidation>
        <x14:dataValidation type="list" allowBlank="1" showInputMessage="1" showErrorMessage="1" xr:uid="{B65DBFAD-0515-4393-9F6D-DDB4830C3755}">
          <x14:formula1>
            <xm:f>Classes!A2:A4</xm:f>
          </x14:formula1>
          <xm:sqref>E283</xm:sqref>
        </x14:dataValidation>
        <x14:dataValidation type="list" allowBlank="1" showInputMessage="1" showErrorMessage="1" xr:uid="{E3728A79-169B-4E2C-8F3F-8A944946BCC4}">
          <x14:formula1>
            <xm:f>Classes!A2:A4</xm:f>
          </x14:formula1>
          <xm:sqref>E278</xm:sqref>
        </x14:dataValidation>
        <x14:dataValidation type="list" allowBlank="1" showInputMessage="1" showErrorMessage="1" xr:uid="{6B3FF7C4-2D7B-4E58-9256-D3ECB3562106}">
          <x14:formula1>
            <xm:f>Classes!A2:A4</xm:f>
          </x14:formula1>
          <xm:sqref>E279</xm:sqref>
        </x14:dataValidation>
        <x14:dataValidation type="list" allowBlank="1" showInputMessage="1" showErrorMessage="1" xr:uid="{4B0A7DCB-5B2C-4434-881B-22E94AA56662}">
          <x14:formula1>
            <xm:f>ReferentsDPT!A2:A16</xm:f>
          </x14:formula1>
          <xm:sqref>B281</xm:sqref>
        </x14:dataValidation>
        <x14:dataValidation type="list" allowBlank="1" showInputMessage="1" showErrorMessage="1" xr:uid="{494064DE-7D3B-44A5-BAC5-D5E667B5BE9F}">
          <x14:formula1>
            <xm:f>Classes!A2:A4</xm:f>
          </x14:formula1>
          <xm:sqref>E280</xm:sqref>
        </x14:dataValidation>
        <x14:dataValidation type="list" allowBlank="1" showInputMessage="1" showErrorMessage="1" xr:uid="{20BB61D2-EE6F-4F46-BBEF-C39C462252FB}">
          <x14:formula1>
            <xm:f>Classes!A2:A4</xm:f>
          </x14:formula1>
          <xm:sqref>E281</xm:sqref>
        </x14:dataValidation>
        <x14:dataValidation type="list" allowBlank="1" showInputMessage="1" showErrorMessage="1" xr:uid="{FCFE2B6B-80E3-4AFA-AF5A-4B833D84D088}">
          <x14:formula1>
            <xm:f>Classes!A2:A4</xm:f>
          </x14:formula1>
          <xm:sqref>E282</xm:sqref>
        </x14:dataValidation>
        <x14:dataValidation type="list" allowBlank="1" showInputMessage="1" showErrorMessage="1" xr:uid="{CDB0426C-566A-4621-A50E-E65FA721C71F}">
          <x14:formula1>
            <xm:f>ReferentsDPT!A2:A16</xm:f>
          </x14:formula1>
          <xm:sqref>B284</xm:sqref>
        </x14:dataValidation>
        <x14:dataValidation type="list" allowBlank="1" showInputMessage="1" showErrorMessage="1" xr:uid="{D93EC605-59CD-4E12-92D3-2D98CF18F84A}">
          <x14:formula1>
            <xm:f>ReferentsDPT!A2:A16</xm:f>
          </x14:formula1>
          <xm:sqref>B285</xm:sqref>
        </x14:dataValidation>
        <x14:dataValidation type="list" allowBlank="1" showInputMessage="1" showErrorMessage="1" xr:uid="{4EEA7B45-E752-4B45-9AA7-3C4D14CA3A16}">
          <x14:formula1>
            <xm:f>ReferentsDPT!A2:A16</xm:f>
          </x14:formula1>
          <xm:sqref>B286</xm:sqref>
        </x14:dataValidation>
        <x14:dataValidation type="list" allowBlank="1" showInputMessage="1" showErrorMessage="1" xr:uid="{E6720AD6-4B4E-4E62-9ACB-4C64FFD1D2E0}">
          <x14:formula1>
            <xm:f>ReferentsDPT!A2:A16</xm:f>
          </x14:formula1>
          <xm:sqref>B287</xm:sqref>
        </x14:dataValidation>
        <x14:dataValidation type="list" allowBlank="1" showInputMessage="1" showErrorMessage="1" xr:uid="{4D41357C-858C-4BCE-9B52-6568C2139D19}">
          <x14:formula1>
            <xm:f>Classes!A2:A4</xm:f>
          </x14:formula1>
          <xm:sqref>E284</xm:sqref>
        </x14:dataValidation>
        <x14:dataValidation type="list" allowBlank="1" showInputMessage="1" showErrorMessage="1" xr:uid="{90F05107-CA39-4E31-B37E-B6EF7DD3C193}">
          <x14:formula1>
            <xm:f>Classes!A2:A4</xm:f>
          </x14:formula1>
          <xm:sqref>E285</xm:sqref>
        </x14:dataValidation>
        <x14:dataValidation type="list" allowBlank="1" showInputMessage="1" showErrorMessage="1" xr:uid="{C8517B15-697F-4838-A949-ADE91004E457}">
          <x14:formula1>
            <xm:f>Classes!A2:A4</xm:f>
          </x14:formula1>
          <xm:sqref>E286</xm:sqref>
        </x14:dataValidation>
        <x14:dataValidation type="list" allowBlank="1" showInputMessage="1" showErrorMessage="1" xr:uid="{20B37CD9-CD53-4F95-B7B7-17086FD3804A}">
          <x14:formula1>
            <xm:f>Classes!A2:A4</xm:f>
          </x14:formula1>
          <xm:sqref>E287</xm:sqref>
        </x14:dataValidation>
        <x14:dataValidation type="list" allowBlank="1" showInputMessage="1" showErrorMessage="1" xr:uid="{AC99506D-62E8-4C9D-A730-DE7608DA1960}">
          <x14:formula1>
            <xm:f>ReferentsDPT!A2:A16</xm:f>
          </x14:formula1>
          <xm:sqref>B288</xm:sqref>
        </x14:dataValidation>
        <x14:dataValidation type="list" allowBlank="1" showInputMessage="1" showErrorMessage="1" xr:uid="{4D86623D-1A71-4F88-8AB4-FA565820BC53}">
          <x14:formula1>
            <xm:f>Classes!A2:A4</xm:f>
          </x14:formula1>
          <xm:sqref>E288</xm:sqref>
        </x14:dataValidation>
        <x14:dataValidation type="list" allowBlank="1" showInputMessage="1" showErrorMessage="1" xr:uid="{A4EEFF6D-ADBA-4E0F-8E90-F911AE54C6F7}">
          <x14:formula1>
            <xm:f>ReferentsDPT!A2:A16</xm:f>
          </x14:formula1>
          <xm:sqref>B289</xm:sqref>
        </x14:dataValidation>
        <x14:dataValidation type="list" allowBlank="1" showInputMessage="1" showErrorMessage="1" xr:uid="{39835FFD-08D2-4DD9-97D4-823F3DF28ADB}">
          <x14:formula1>
            <xm:f>Classes!A2:A4</xm:f>
          </x14:formula1>
          <xm:sqref>E289</xm:sqref>
        </x14:dataValidation>
        <x14:dataValidation type="list" allowBlank="1" showInputMessage="1" showErrorMessage="1" xr:uid="{7C548C50-C64E-40E4-BD10-58B7908C6439}">
          <x14:formula1>
            <xm:f>ReferentsDPT!A2:A16</xm:f>
          </x14:formula1>
          <xm:sqref>B290</xm:sqref>
        </x14:dataValidation>
        <x14:dataValidation type="list" allowBlank="1" showInputMessage="1" showErrorMessage="1" xr:uid="{F632BE34-0953-4F91-8932-AF40A11C1A75}">
          <x14:formula1>
            <xm:f>ReferentsDPT!A2:A16</xm:f>
          </x14:formula1>
          <xm:sqref>B291</xm:sqref>
        </x14:dataValidation>
        <x14:dataValidation type="list" allowBlank="1" showInputMessage="1" showErrorMessage="1" xr:uid="{5C1AD7DD-7EEA-4324-8A9E-B622802FB2B4}">
          <x14:formula1>
            <xm:f>Classes!A2:A4</xm:f>
          </x14:formula1>
          <xm:sqref>E290</xm:sqref>
        </x14:dataValidation>
        <x14:dataValidation type="list" allowBlank="1" showInputMessage="1" showErrorMessage="1" xr:uid="{E35DAB3F-C471-4D8A-9021-1E59FD5ED8D8}">
          <x14:formula1>
            <xm:f>Classes!A2:A4</xm:f>
          </x14:formula1>
          <xm:sqref>E291</xm:sqref>
        </x14:dataValidation>
        <x14:dataValidation type="list" allowBlank="1" showInputMessage="1" showErrorMessage="1" xr:uid="{9AC15746-8DF8-4711-9E69-9471136BEEB6}">
          <x14:formula1>
            <xm:f>ReferentsDPT!A2:A16</xm:f>
          </x14:formula1>
          <xm:sqref>B292</xm:sqref>
        </x14:dataValidation>
        <x14:dataValidation type="list" allowBlank="1" showInputMessage="1" showErrorMessage="1" xr:uid="{7AEEC23C-22E3-4FB7-95F5-805314D43D1D}">
          <x14:formula1>
            <xm:f>Classes!A2:A4</xm:f>
          </x14:formula1>
          <xm:sqref>E292</xm:sqref>
        </x14:dataValidation>
        <x14:dataValidation type="list" allowBlank="1" showInputMessage="1" showErrorMessage="1" xr:uid="{136DD878-3E53-4AAB-898D-32253962652C}">
          <x14:formula1>
            <xm:f>ReferentsDPT!A2:A16</xm:f>
          </x14:formula1>
          <xm:sqref>B293</xm:sqref>
        </x14:dataValidation>
        <x14:dataValidation type="list" allowBlank="1" showInputMessage="1" showErrorMessage="1" xr:uid="{FECEBD7F-DBA4-427B-BE0D-4C2CBD7F9026}">
          <x14:formula1>
            <xm:f>Classes!A2:A4</xm:f>
          </x14:formula1>
          <xm:sqref>E293</xm:sqref>
        </x14:dataValidation>
        <x14:dataValidation type="list" allowBlank="1" showInputMessage="1" showErrorMessage="1" xr:uid="{670A8DB8-ACC9-4A85-9E71-5B2DD6179FC4}">
          <x14:formula1>
            <xm:f>ReferentsDPT!A2:A16</xm:f>
          </x14:formula1>
          <xm:sqref>B294</xm:sqref>
        </x14:dataValidation>
        <x14:dataValidation type="list" allowBlank="1" showInputMessage="1" showErrorMessage="1" xr:uid="{4D7E0668-CB8D-415B-AA82-1E32D2804D80}">
          <x14:formula1>
            <xm:f>Classes!A2:A4</xm:f>
          </x14:formula1>
          <xm:sqref>E294</xm:sqref>
        </x14:dataValidation>
        <x14:dataValidation type="list" allowBlank="1" showInputMessage="1" showErrorMessage="1" xr:uid="{37992238-CE4F-435E-8D22-697F89CF61AF}">
          <x14:formula1>
            <xm:f>ReferentsDPT!A2:A16</xm:f>
          </x14:formula1>
          <xm:sqref>B295</xm:sqref>
        </x14:dataValidation>
        <x14:dataValidation type="list" allowBlank="1" showInputMessage="1" showErrorMessage="1" xr:uid="{416A0509-12F0-41EC-8E58-D0E073481B9E}">
          <x14:formula1>
            <xm:f>Classes!A2:A4</xm:f>
          </x14:formula1>
          <xm:sqref>E295</xm:sqref>
        </x14:dataValidation>
        <x14:dataValidation type="list" allowBlank="1" showInputMessage="1" showErrorMessage="1" xr:uid="{35F453A2-8A76-46CA-A118-88CD38DDDD43}">
          <x14:formula1>
            <xm:f>ReferentsDPT!A2:A16</xm:f>
          </x14:formula1>
          <xm:sqref>B296</xm:sqref>
        </x14:dataValidation>
        <x14:dataValidation type="list" allowBlank="1" showInputMessage="1" showErrorMessage="1" xr:uid="{31A30348-ECE2-4D42-BE48-0935C04A3715}">
          <x14:formula1>
            <xm:f>Classes!A2:A4</xm:f>
          </x14:formula1>
          <xm:sqref>E296</xm:sqref>
        </x14:dataValidation>
        <x14:dataValidation type="list" allowBlank="1" showInputMessage="1" showErrorMessage="1" xr:uid="{6673B004-6A64-4508-A467-3F9AF5E3E275}">
          <x14:formula1>
            <xm:f>ReferentsDPT!A2:A16</xm:f>
          </x14:formula1>
          <xm:sqref>B297</xm:sqref>
        </x14:dataValidation>
        <x14:dataValidation type="list" allowBlank="1" showInputMessage="1" showErrorMessage="1" xr:uid="{BE1E7A69-D067-401E-A7CA-DACCDDF6E99B}">
          <x14:formula1>
            <xm:f>Classes!A2:A4</xm:f>
          </x14:formula1>
          <xm:sqref>E297</xm:sqref>
        </x14:dataValidation>
        <x14:dataValidation type="list" allowBlank="1" showInputMessage="1" showErrorMessage="1" xr:uid="{A83F245E-E4E6-4CC0-BB47-E8C1E679C03A}">
          <x14:formula1>
            <xm:f>ReferentsDPT!A2:A16</xm:f>
          </x14:formula1>
          <xm:sqref>B298</xm:sqref>
        </x14:dataValidation>
        <x14:dataValidation type="list" allowBlank="1" showInputMessage="1" showErrorMessage="1" xr:uid="{9FCD3DC2-E3A5-4E1B-8BF2-F4906C6918EB}">
          <x14:formula1>
            <xm:f>Classes!A2:A4</xm:f>
          </x14:formula1>
          <xm:sqref>E298</xm:sqref>
        </x14:dataValidation>
        <x14:dataValidation type="list" allowBlank="1" showInputMessage="1" showErrorMessage="1" xr:uid="{0D69DBAA-3753-4E37-B733-3CB883AA0107}">
          <x14:formula1>
            <xm:f>ReferentsDPT!A2:A16</xm:f>
          </x14:formula1>
          <xm:sqref>B299</xm:sqref>
        </x14:dataValidation>
        <x14:dataValidation type="list" allowBlank="1" showInputMessage="1" showErrorMessage="1" xr:uid="{E2D2CCBA-0B64-4048-930A-3E8AC32595B4}">
          <x14:formula1>
            <xm:f>ReferentsDPT!A2:A16</xm:f>
          </x14:formula1>
          <xm:sqref>B300</xm:sqref>
        </x14:dataValidation>
        <x14:dataValidation type="list" allowBlank="1" showInputMessage="1" showErrorMessage="1" xr:uid="{4887CA44-790F-449E-B943-E17E42557369}">
          <x14:formula1>
            <xm:f>ReferentsDPT!A2:A16</xm:f>
          </x14:formula1>
          <xm:sqref>B301</xm:sqref>
        </x14:dataValidation>
        <x14:dataValidation type="list" allowBlank="1" showInputMessage="1" showErrorMessage="1" xr:uid="{8F3F219B-4679-45F3-AB14-9AAF09E9B6D5}">
          <x14:formula1>
            <xm:f>Classes!A2:A4</xm:f>
          </x14:formula1>
          <xm:sqref>E299</xm:sqref>
        </x14:dataValidation>
        <x14:dataValidation type="list" allowBlank="1" showInputMessage="1" showErrorMessage="1" xr:uid="{4C2D2CAC-18A3-4109-9737-A06485757346}">
          <x14:formula1>
            <xm:f>Classes!A2:A4</xm:f>
          </x14:formula1>
          <xm:sqref>E300</xm:sqref>
        </x14:dataValidation>
        <x14:dataValidation type="list" allowBlank="1" showInputMessage="1" showErrorMessage="1" xr:uid="{934CE5D8-77C9-4BFE-BAE5-BFB486239AE5}">
          <x14:formula1>
            <xm:f>Classes!A2:A4</xm:f>
          </x14:formula1>
          <xm:sqref>E301</xm:sqref>
        </x14:dataValidation>
        <x14:dataValidation type="list" allowBlank="1" showInputMessage="1" showErrorMessage="1" xr:uid="{24F531BF-71FD-4E83-8E37-F0C5A3DE15FA}">
          <x14:formula1>
            <xm:f>ReferentsDPT!A2:A16</xm:f>
          </x14:formula1>
          <xm:sqref>B302</xm:sqref>
        </x14:dataValidation>
        <x14:dataValidation type="list" allowBlank="1" showInputMessage="1" showErrorMessage="1" xr:uid="{B93509B8-5792-4B1A-9A83-2BA7382BB472}">
          <x14:formula1>
            <xm:f>Classes!A2:A4</xm:f>
          </x14:formula1>
          <xm:sqref>E302</xm:sqref>
        </x14:dataValidation>
        <x14:dataValidation type="list" allowBlank="1" showInputMessage="1" showErrorMessage="1" xr:uid="{6EF94908-5283-4B92-8BFC-A570B71C2844}">
          <x14:formula1>
            <xm:f>ReferentsDPT!A2:A16</xm:f>
          </x14:formula1>
          <xm:sqref>B303</xm:sqref>
        </x14:dataValidation>
        <x14:dataValidation type="list" allowBlank="1" showInputMessage="1" showErrorMessage="1" xr:uid="{0127D062-12D0-4FBC-8A02-406C5B5345FA}">
          <x14:formula1>
            <xm:f>Classes!A2:A4</xm:f>
          </x14:formula1>
          <xm:sqref>E303</xm:sqref>
        </x14:dataValidation>
        <x14:dataValidation type="list" allowBlank="1" showInputMessage="1" showErrorMessage="1" xr:uid="{3EBACFB4-8659-4ABA-B8A0-1B4C11E4508B}">
          <x14:formula1>
            <xm:f>ReferentsDPT!A2:A16</xm:f>
          </x14:formula1>
          <xm:sqref>B304</xm:sqref>
        </x14:dataValidation>
        <x14:dataValidation type="list" allowBlank="1" showInputMessage="1" showErrorMessage="1" xr:uid="{A1284C17-5593-48B9-BE77-0026B86FDA81}">
          <x14:formula1>
            <xm:f>Classes!A2:A4</xm:f>
          </x14:formula1>
          <xm:sqref>E304</xm:sqref>
        </x14:dataValidation>
        <x14:dataValidation type="list" allowBlank="1" showInputMessage="1" showErrorMessage="1" xr:uid="{573B8CC4-2103-45B8-8B1E-A0D5BE38ECDA}">
          <x14:formula1>
            <xm:f>ReferentsDPT!A2:A16</xm:f>
          </x14:formula1>
          <xm:sqref>B305</xm:sqref>
        </x14:dataValidation>
        <x14:dataValidation type="list" allowBlank="1" showInputMessage="1" showErrorMessage="1" xr:uid="{0803BDDD-16FB-48C4-A2B7-BF16421C11C7}">
          <x14:formula1>
            <xm:f>Classes!A2:A4</xm:f>
          </x14:formula1>
          <xm:sqref>E305</xm:sqref>
        </x14:dataValidation>
        <x14:dataValidation type="list" allowBlank="1" showInputMessage="1" showErrorMessage="1" xr:uid="{DFA33951-0A12-4197-B866-D6A34FEE3CD0}">
          <x14:formula1>
            <xm:f>ReferentsDPT!A2:A16</xm:f>
          </x14:formula1>
          <xm:sqref>B306</xm:sqref>
        </x14:dataValidation>
        <x14:dataValidation type="list" allowBlank="1" showInputMessage="1" showErrorMessage="1" xr:uid="{51495CEE-B6C1-4564-9F66-1916AC136CAF}">
          <x14:formula1>
            <xm:f>Classes!A2:A4</xm:f>
          </x14:formula1>
          <xm:sqref>E306</xm:sqref>
        </x14:dataValidation>
        <x14:dataValidation type="list" allowBlank="1" showInputMessage="1" showErrorMessage="1" xr:uid="{007A02F4-D10D-450B-9EFA-9FA83630ED68}">
          <x14:formula1>
            <xm:f>ReferentsDPT!A2:A16</xm:f>
          </x14:formula1>
          <xm:sqref>B307</xm:sqref>
        </x14:dataValidation>
        <x14:dataValidation type="list" allowBlank="1" showInputMessage="1" showErrorMessage="1" xr:uid="{5AB87192-9C93-458D-8949-75B2F7F84CFA}">
          <x14:formula1>
            <xm:f>Classes!A2:A4</xm:f>
          </x14:formula1>
          <xm:sqref>E307</xm:sqref>
        </x14:dataValidation>
        <x14:dataValidation type="list" allowBlank="1" showInputMessage="1" showErrorMessage="1" xr:uid="{F4D4B207-75F8-415D-8EAB-1C5C3BADD29B}">
          <x14:formula1>
            <xm:f>Classes!A2:A4</xm:f>
          </x14:formula1>
          <xm:sqref>E308</xm:sqref>
        </x14:dataValidation>
        <x14:dataValidation type="list" allowBlank="1" showInputMessage="1" showErrorMessage="1" xr:uid="{89475F4E-5D5A-402B-9E77-7220DD31D886}">
          <x14:formula1>
            <xm:f>ReferentsDPT!A2:A16</xm:f>
          </x14:formula1>
          <xm:sqref>B308</xm:sqref>
        </x14:dataValidation>
        <x14:dataValidation type="list" allowBlank="1" showInputMessage="1" showErrorMessage="1" xr:uid="{8FD4DB84-1571-4B04-8077-615A9945FD92}">
          <x14:formula1>
            <xm:f>ReferentsDPT!A2:A16</xm:f>
          </x14:formula1>
          <xm:sqref>B309</xm:sqref>
        </x14:dataValidation>
        <x14:dataValidation type="list" allowBlank="1" showInputMessage="1" showErrorMessage="1" xr:uid="{B6216312-33E1-48E4-9066-04E49BBACA0C}">
          <x14:formula1>
            <xm:f>Classes!A2:A4</xm:f>
          </x14:formula1>
          <xm:sqref>E309</xm:sqref>
        </x14:dataValidation>
        <x14:dataValidation type="list" allowBlank="1" showInputMessage="1" showErrorMessage="1" xr:uid="{2BE707FC-3FE4-48E7-91BB-C220DFF389C4}">
          <x14:formula1>
            <xm:f>ReferentsDPT!A2:A16</xm:f>
          </x14:formula1>
          <xm:sqref>B310</xm:sqref>
        </x14:dataValidation>
        <x14:dataValidation type="list" allowBlank="1" showInputMessage="1" showErrorMessage="1" xr:uid="{172F2735-AFA7-42AC-81DE-026EDD42D6F1}">
          <x14:formula1>
            <xm:f>ReferentsDPT!A2:A16</xm:f>
          </x14:formula1>
          <xm:sqref>B311</xm:sqref>
        </x14:dataValidation>
        <x14:dataValidation type="list" allowBlank="1" showInputMessage="1" showErrorMessage="1" xr:uid="{06D6AE98-48D0-44A7-8476-06FB791D8757}">
          <x14:formula1>
            <xm:f>Classes!A2:A4</xm:f>
          </x14:formula1>
          <xm:sqref>E310</xm:sqref>
        </x14:dataValidation>
        <x14:dataValidation type="list" allowBlank="1" showInputMessage="1" showErrorMessage="1" xr:uid="{6624BC63-C881-4931-9113-F17EFB1A6DD8}">
          <x14:formula1>
            <xm:f>Classes!A2:A4</xm:f>
          </x14:formula1>
          <xm:sqref>E311</xm:sqref>
        </x14:dataValidation>
        <x14:dataValidation type="list" allowBlank="1" showInputMessage="1" showErrorMessage="1" xr:uid="{DBCF8CE5-1B4C-48F2-A8AC-6AF2789B9727}">
          <x14:formula1>
            <xm:f>ReferentsDPT!A2:A16</xm:f>
          </x14:formula1>
          <xm:sqref>B312</xm:sqref>
        </x14:dataValidation>
        <x14:dataValidation type="list" allowBlank="1" showInputMessage="1" showErrorMessage="1" xr:uid="{9608CA13-4120-4173-9693-0AA2AAF75F47}">
          <x14:formula1>
            <xm:f>Classes!A2:A4</xm:f>
          </x14:formula1>
          <xm:sqref>E312</xm:sqref>
        </x14:dataValidation>
        <x14:dataValidation type="list" allowBlank="1" showInputMessage="1" showErrorMessage="1" xr:uid="{D124C443-916C-45E6-8C5F-6A65A91A4FF3}">
          <x14:formula1>
            <xm:f>ReferentsDPT!A2:A16</xm:f>
          </x14:formula1>
          <xm:sqref>B313</xm:sqref>
        </x14:dataValidation>
        <x14:dataValidation type="list" allowBlank="1" showInputMessage="1" showErrorMessage="1" xr:uid="{69BB1863-9C59-4F11-AF30-87C53A5A7E7F}">
          <x14:formula1>
            <xm:f>ReferentsDPT!A2:A16</xm:f>
          </x14:formula1>
          <xm:sqref>B314</xm:sqref>
        </x14:dataValidation>
        <x14:dataValidation type="list" allowBlank="1" showInputMessage="1" showErrorMessage="1" xr:uid="{5E970A03-CE78-47D5-B2FA-B64126E38971}">
          <x14:formula1>
            <xm:f>Classes!A2:A4</xm:f>
          </x14:formula1>
          <xm:sqref>E313</xm:sqref>
        </x14:dataValidation>
        <x14:dataValidation type="list" allowBlank="1" showInputMessage="1" showErrorMessage="1" xr:uid="{9C8EA583-23F6-4867-BEFC-19D7A9E1994B}">
          <x14:formula1>
            <xm:f>Classes!A2:A4</xm:f>
          </x14:formula1>
          <xm:sqref>E314</xm:sqref>
        </x14:dataValidation>
        <x14:dataValidation type="list" allowBlank="1" showInputMessage="1" showErrorMessage="1" xr:uid="{E5550650-9818-4E2A-9D0A-AF2FE74FD330}">
          <x14:formula1>
            <xm:f>ReferentsDPT!A2:A16</xm:f>
          </x14:formula1>
          <xm:sqref>B315</xm:sqref>
        </x14:dataValidation>
        <x14:dataValidation type="list" allowBlank="1" showInputMessage="1" showErrorMessage="1" xr:uid="{12D28A1C-5917-4054-AC9E-1BF1415EA53B}">
          <x14:formula1>
            <xm:f>Classes!A2:A4</xm:f>
          </x14:formula1>
          <xm:sqref>E315</xm:sqref>
        </x14:dataValidation>
        <x14:dataValidation type="list" allowBlank="1" showInputMessage="1" showErrorMessage="1" xr:uid="{78E430E6-CF5A-4357-B05C-38E0526ADB51}">
          <x14:formula1>
            <xm:f>Classes!A2:A4</xm:f>
          </x14:formula1>
          <xm:sqref>E316</xm:sqref>
        </x14:dataValidation>
        <x14:dataValidation type="list" allowBlank="1" showInputMessage="1" showErrorMessage="1" xr:uid="{2C084C43-7C95-4216-B1C7-2B215059CD34}">
          <x14:formula1>
            <xm:f>ReferentsDPT!A2:A16</xm:f>
          </x14:formula1>
          <xm:sqref>B316</xm:sqref>
        </x14:dataValidation>
        <x14:dataValidation type="list" allowBlank="1" showInputMessage="1" showErrorMessage="1" xr:uid="{E0A6FA97-A11A-4BAB-B652-B35BB8F5D181}">
          <x14:formula1>
            <xm:f>ReferentsDPT!A2:A16</xm:f>
          </x14:formula1>
          <xm:sqref>B317</xm:sqref>
        </x14:dataValidation>
        <x14:dataValidation type="list" allowBlank="1" showInputMessage="1" showErrorMessage="1" xr:uid="{D47CC46B-41E5-4A1F-A998-DF5410FC38E1}">
          <x14:formula1>
            <xm:f>ReferentsDPT!A2:A16</xm:f>
          </x14:formula1>
          <xm:sqref>B318</xm:sqref>
        </x14:dataValidation>
        <x14:dataValidation type="list" allowBlank="1" showInputMessage="1" showErrorMessage="1" xr:uid="{1CB9D676-644A-4498-8D47-31F58FD1AA27}">
          <x14:formula1>
            <xm:f>ReferentsDPT!A2:A16</xm:f>
          </x14:formula1>
          <xm:sqref>B319</xm:sqref>
        </x14:dataValidation>
        <x14:dataValidation type="list" allowBlank="1" showInputMessage="1" showErrorMessage="1" xr:uid="{978DC467-0CB4-4F6D-8434-74E4B40B9FEC}">
          <x14:formula1>
            <xm:f>Classes!A2:A4</xm:f>
          </x14:formula1>
          <xm:sqref>E317</xm:sqref>
        </x14:dataValidation>
        <x14:dataValidation type="list" allowBlank="1" showInputMessage="1" showErrorMessage="1" xr:uid="{E84E63D9-76D7-4F1F-95AB-8BB1D6EE7778}">
          <x14:formula1>
            <xm:f>ReferentsDPT!A2:A16</xm:f>
          </x14:formula1>
          <xm:sqref>B320</xm:sqref>
        </x14:dataValidation>
        <x14:dataValidation type="list" allowBlank="1" showInputMessage="1" showErrorMessage="1" xr:uid="{868B055C-E092-45A9-A415-577FB159C009}">
          <x14:formula1>
            <xm:f>Classes!A2:A4</xm:f>
          </x14:formula1>
          <xm:sqref>E320</xm:sqref>
        </x14:dataValidation>
        <x14:dataValidation type="list" allowBlank="1" showInputMessage="1" showErrorMessage="1" xr:uid="{CEA28CB8-8CF0-403C-B15D-466DE297DF90}">
          <x14:formula1>
            <xm:f>Classes!A2:A4</xm:f>
          </x14:formula1>
          <xm:sqref>E318</xm:sqref>
        </x14:dataValidation>
        <x14:dataValidation type="list" allowBlank="1" showInputMessage="1" showErrorMessage="1" xr:uid="{E36E2C2B-02D6-40C4-8F47-AB1CFAF0C6DE}">
          <x14:formula1>
            <xm:f>Classes!A2:A4</xm:f>
          </x14:formula1>
          <xm:sqref>E319</xm:sqref>
        </x14:dataValidation>
        <x14:dataValidation type="list" allowBlank="1" showInputMessage="1" showErrorMessage="1" xr:uid="{5CE1DF9A-6D58-46BE-A94E-2A4E7A2ADD07}">
          <x14:formula1>
            <xm:f>ReferentsDPT!A2:A16</xm:f>
          </x14:formula1>
          <xm:sqref>B321</xm:sqref>
        </x14:dataValidation>
        <x14:dataValidation type="list" allowBlank="1" showInputMessage="1" showErrorMessage="1" xr:uid="{1F81E684-0FF2-469B-9D14-3A00194C2093}">
          <x14:formula1>
            <xm:f>Classes!A2:A4</xm:f>
          </x14:formula1>
          <xm:sqref>E321</xm:sqref>
        </x14:dataValidation>
        <x14:dataValidation type="list" allowBlank="1" showInputMessage="1" showErrorMessage="1" xr:uid="{EDA8444B-4671-4C0E-B688-4DD15476BE9A}">
          <x14:formula1>
            <xm:f>ReferentsDPT!A2:A16</xm:f>
          </x14:formula1>
          <xm:sqref>B322</xm:sqref>
        </x14:dataValidation>
        <x14:dataValidation type="list" allowBlank="1" showInputMessage="1" showErrorMessage="1" xr:uid="{BE11C18D-7B44-4ADC-A580-7AC30F857805}">
          <x14:formula1>
            <xm:f>Classes!A2:A4</xm:f>
          </x14:formula1>
          <xm:sqref>E322</xm:sqref>
        </x14:dataValidation>
        <x14:dataValidation type="list" allowBlank="1" showInputMessage="1" showErrorMessage="1" xr:uid="{7712CCF3-AF9A-4100-AAB3-AEDE2CF2DAA9}">
          <x14:formula1>
            <xm:f>ReferentsDPT!A2:A16</xm:f>
          </x14:formula1>
          <xm:sqref>B325</xm:sqref>
        </x14:dataValidation>
        <x14:dataValidation type="list" allowBlank="1" showInputMessage="1" showErrorMessage="1" xr:uid="{9BC28227-05F1-47FF-A869-585D27B79CBC}">
          <x14:formula1>
            <xm:f>Classes!A2:A4</xm:f>
          </x14:formula1>
          <xm:sqref>E325</xm:sqref>
        </x14:dataValidation>
        <x14:dataValidation type="list" allowBlank="1" showInputMessage="1" showErrorMessage="1" xr:uid="{87834B36-C8D3-4D56-9E8D-B7696C7EA8CE}">
          <x14:formula1>
            <xm:f>ReferentsDPT!A2:A16</xm:f>
          </x14:formula1>
          <xm:sqref>B326</xm:sqref>
        </x14:dataValidation>
        <x14:dataValidation type="list" allowBlank="1" showInputMessage="1" showErrorMessage="1" xr:uid="{E8C68A4F-C11B-4357-B6B8-FA6CA6DE642A}">
          <x14:formula1>
            <xm:f>Classes!A2:A4</xm:f>
          </x14:formula1>
          <xm:sqref>E326</xm:sqref>
        </x14:dataValidation>
        <x14:dataValidation type="list" allowBlank="1" showInputMessage="1" showErrorMessage="1" xr:uid="{0E350C18-2CA4-4997-9405-1E0AA4AD0A3C}">
          <x14:formula1>
            <xm:f>ReferentsDPT!A2:A16</xm:f>
          </x14:formula1>
          <xm:sqref>B327</xm:sqref>
        </x14:dataValidation>
        <x14:dataValidation type="list" allowBlank="1" showInputMessage="1" showErrorMessage="1" xr:uid="{5AE4680D-E73F-4ED9-BD58-EB8115A2FB6C}">
          <x14:formula1>
            <xm:f>Classes!A2:A4</xm:f>
          </x14:formula1>
          <xm:sqref>E327</xm:sqref>
        </x14:dataValidation>
        <x14:dataValidation type="list" allowBlank="1" showInputMessage="1" showErrorMessage="1" xr:uid="{22B622AC-7C39-4B56-9F0B-065D952E45D2}">
          <x14:formula1>
            <xm:f>ReferentsDPT!A2:A16</xm:f>
          </x14:formula1>
          <xm:sqref>B328</xm:sqref>
        </x14:dataValidation>
        <x14:dataValidation type="list" allowBlank="1" showInputMessage="1" showErrorMessage="1" xr:uid="{24FE9F83-86CF-4FC3-B257-78D733652951}">
          <x14:formula1>
            <xm:f>Classes!A2:A4</xm:f>
          </x14:formula1>
          <xm:sqref>E328</xm:sqref>
        </x14:dataValidation>
        <x14:dataValidation type="list" allowBlank="1" showInputMessage="1" showErrorMessage="1" xr:uid="{547C47A3-8AF2-46AB-B7F3-98AF1811B9DF}">
          <x14:formula1>
            <xm:f>ReferentsDPT!A2:A16</xm:f>
          </x14:formula1>
          <xm:sqref>B329</xm:sqref>
        </x14:dataValidation>
        <x14:dataValidation type="list" allowBlank="1" showInputMessage="1" showErrorMessage="1" xr:uid="{96126BF5-8A52-4364-AE00-4D5275FCACD4}">
          <x14:formula1>
            <xm:f>Classes!A2:A4</xm:f>
          </x14:formula1>
          <xm:sqref>E329</xm:sqref>
        </x14:dataValidation>
        <x14:dataValidation type="list" allowBlank="1" showInputMessage="1" showErrorMessage="1" xr:uid="{7C7C550B-84D0-4FA3-A7A8-1C6F1ACF130A}">
          <x14:formula1>
            <xm:f>Classes!A2:A4</xm:f>
          </x14:formula1>
          <xm:sqref>E330:E331</xm:sqref>
        </x14:dataValidation>
        <x14:dataValidation type="list" allowBlank="1" showInputMessage="1" showErrorMessage="1" xr:uid="{8958B4AA-DD71-41C8-82DC-44869EF5B724}">
          <x14:formula1>
            <xm:f>ReferentsDPT!A2:A16</xm:f>
          </x14:formula1>
          <xm:sqref>B330</xm:sqref>
        </x14:dataValidation>
        <x14:dataValidation type="list" allowBlank="1" showInputMessage="1" showErrorMessage="1" xr:uid="{B66B9A13-3BF8-4938-8945-39E78EACF2DE}">
          <x14:formula1>
            <xm:f>ReferentsDPT!A2:A16</xm:f>
          </x14:formula1>
          <xm:sqref>B331</xm:sqref>
        </x14:dataValidation>
        <x14:dataValidation type="list" allowBlank="1" showInputMessage="1" showErrorMessage="1" xr:uid="{F6BBF8C6-3467-4A27-8363-BD210140D758}">
          <x14:formula1>
            <xm:f>ReferentsDPT!A2:A16</xm:f>
          </x14:formula1>
          <xm:sqref>B332</xm:sqref>
        </x14:dataValidation>
        <x14:dataValidation type="list" allowBlank="1" showInputMessage="1" showErrorMessage="1" xr:uid="{6C7BF479-EB71-4B3D-98C5-14B1EF8848BD}">
          <x14:formula1>
            <xm:f>Classes!A2:A4</xm:f>
          </x14:formula1>
          <xm:sqref>E332</xm:sqref>
        </x14:dataValidation>
        <x14:dataValidation type="list" allowBlank="1" showInputMessage="1" showErrorMessage="1" xr:uid="{D6B89D91-626D-4743-9C13-EA20BD43263E}">
          <x14:formula1>
            <xm:f>ReferentsDPT!A2:A16</xm:f>
          </x14:formula1>
          <xm:sqref>B333</xm:sqref>
        </x14:dataValidation>
        <x14:dataValidation type="list" allowBlank="1" showInputMessage="1" showErrorMessage="1" xr:uid="{CBDF7C5A-105F-4B4E-A721-E6CB2C9F1335}">
          <x14:formula1>
            <xm:f>Classes!A2:A4</xm:f>
          </x14:formula1>
          <xm:sqref>E333:E334</xm:sqref>
        </x14:dataValidation>
        <x14:dataValidation type="list" allowBlank="1" showInputMessage="1" showErrorMessage="1" xr:uid="{80F580D0-4520-4D91-9F84-7EE5A4646D64}">
          <x14:formula1>
            <xm:f>ReferentsDPT!A2:A16</xm:f>
          </x14:formula1>
          <xm:sqref>B334</xm:sqref>
        </x14:dataValidation>
        <x14:dataValidation type="list" allowBlank="1" showInputMessage="1" showErrorMessage="1" xr:uid="{013E2029-3A15-4907-A110-58B96F8082D5}">
          <x14:formula1>
            <xm:f>ReferentsDPT!A2:A16</xm:f>
          </x14:formula1>
          <xm:sqref>B340</xm:sqref>
        </x14:dataValidation>
        <x14:dataValidation type="list" allowBlank="1" showInputMessage="1" showErrorMessage="1" xr:uid="{16DD41F0-19E1-4A6F-A3F8-A695136FB8B7}">
          <x14:formula1>
            <xm:f>Classes!A2:A4</xm:f>
          </x14:formula1>
          <xm:sqref>E340</xm:sqref>
        </x14:dataValidation>
        <x14:dataValidation type="list" allowBlank="1" showInputMessage="1" showErrorMessage="1" xr:uid="{E27ADD56-8535-49D6-A19C-1BAAFCB9BF01}">
          <x14:formula1>
            <xm:f>ReferentsDPT!A2:A16</xm:f>
          </x14:formula1>
          <xm:sqref>B341</xm:sqref>
        </x14:dataValidation>
        <x14:dataValidation type="list" allowBlank="1" showInputMessage="1" showErrorMessage="1" xr:uid="{F0CCC799-5EB9-4C77-A908-F6893BFB85D7}">
          <x14:formula1>
            <xm:f>Classes!A2:A4</xm:f>
          </x14:formula1>
          <xm:sqref>E341</xm:sqref>
        </x14:dataValidation>
        <x14:dataValidation type="list" allowBlank="1" showInputMessage="1" showErrorMessage="1" xr:uid="{EB28EE1A-3AA0-4A02-B572-42C0928C8CA7}">
          <x14:formula1>
            <xm:f>ReferentsDPT!A2:A16</xm:f>
          </x14:formula1>
          <xm:sqref>B342</xm:sqref>
        </x14:dataValidation>
        <x14:dataValidation type="list" allowBlank="1" showInputMessage="1" showErrorMessage="1" xr:uid="{0645400E-6576-47BC-A0A0-B1B8634859E3}">
          <x14:formula1>
            <xm:f>Classes!A2:A4</xm:f>
          </x14:formula1>
          <xm:sqref>E342</xm:sqref>
        </x14:dataValidation>
        <x14:dataValidation type="list" allowBlank="1" showInputMessage="1" showErrorMessage="1" xr:uid="{20D73308-18F9-4E79-9D6A-4402AEEBA9BC}">
          <x14:formula1>
            <xm:f>ReferentsDPT!A2:A16</xm:f>
          </x14:formula1>
          <xm:sqref>B343</xm:sqref>
        </x14:dataValidation>
        <x14:dataValidation type="list" allowBlank="1" showInputMessage="1" showErrorMessage="1" xr:uid="{510ADE22-925E-4D19-976F-3B9820916E5C}">
          <x14:formula1>
            <xm:f>Classes!A2:A4</xm:f>
          </x14:formula1>
          <xm:sqref>E343</xm:sqref>
        </x14:dataValidation>
        <x14:dataValidation type="list" allowBlank="1" showInputMessage="1" showErrorMessage="1" xr:uid="{BEB323FD-3CF8-49C4-A4B1-824E855D16AC}">
          <x14:formula1>
            <xm:f>ReferentsDPT!A2:A16</xm:f>
          </x14:formula1>
          <xm:sqref>B336</xm:sqref>
        </x14:dataValidation>
        <x14:dataValidation type="list" allowBlank="1" showInputMessage="1" showErrorMessage="1" xr:uid="{6404F204-0AC1-4F2A-B9BB-784A2D328100}">
          <x14:formula1>
            <xm:f>ReferentsDPT!A2:A16</xm:f>
          </x14:formula1>
          <xm:sqref>B344</xm:sqref>
        </x14:dataValidation>
        <x14:dataValidation type="list" allowBlank="1" showInputMessage="1" showErrorMessage="1" xr:uid="{E4AF4144-EE4D-4359-AAD8-787C496D3617}">
          <x14:formula1>
            <xm:f>Classes!A2:A4</xm:f>
          </x14:formula1>
          <xm:sqref>E344</xm:sqref>
        </x14:dataValidation>
        <x14:dataValidation type="list" allowBlank="1" showInputMessage="1" showErrorMessage="1" xr:uid="{EC86BDAD-3A06-487F-A171-C7E28FBFC867}">
          <x14:formula1>
            <xm:f>ReferentsDPT!A2:A16</xm:f>
          </x14:formula1>
          <xm:sqref>B345</xm:sqref>
        </x14:dataValidation>
        <x14:dataValidation type="list" allowBlank="1" showInputMessage="1" showErrorMessage="1" xr:uid="{07FFE4F6-FD66-4CC8-A971-D676733AD7B5}">
          <x14:formula1>
            <xm:f>Classes!A2:A4</xm:f>
          </x14:formula1>
          <xm:sqref>E345</xm:sqref>
        </x14:dataValidation>
        <x14:dataValidation type="list" allowBlank="1" showInputMessage="1" showErrorMessage="1" xr:uid="{B27D85D0-2453-45B7-8426-EFEDB7255CA4}">
          <x14:formula1>
            <xm:f>ReferentsDPT!A2:A16</xm:f>
          </x14:formula1>
          <xm:sqref>B346</xm:sqref>
        </x14:dataValidation>
        <x14:dataValidation type="list" allowBlank="1" showInputMessage="1" showErrorMessage="1" xr:uid="{91A2E6C7-EBA0-4834-86D8-C3AB7199A2D5}">
          <x14:formula1>
            <xm:f>Classes!A2:A4</xm:f>
          </x14:formula1>
          <xm:sqref>E346</xm:sqref>
        </x14:dataValidation>
        <x14:dataValidation type="list" allowBlank="1" showInputMessage="1" showErrorMessage="1" xr:uid="{757EE8AB-1E0E-4C29-AEBA-AF466A158174}">
          <x14:formula1>
            <xm:f>ReferentsDPT!A2:A16</xm:f>
          </x14:formula1>
          <xm:sqref>B347</xm:sqref>
        </x14:dataValidation>
        <x14:dataValidation type="list" allowBlank="1" showInputMessage="1" showErrorMessage="1" xr:uid="{FA4614CB-BE23-47E4-81D9-B8DFFCF0BD8C}">
          <x14:formula1>
            <xm:f>Classes!A2:A4</xm:f>
          </x14:formula1>
          <xm:sqref>E347</xm:sqref>
        </x14:dataValidation>
        <x14:dataValidation type="list" allowBlank="1" showInputMessage="1" showErrorMessage="1" xr:uid="{769188D5-DA21-4881-8834-D592FE129FD3}">
          <x14:formula1>
            <xm:f>ReferentsDPT!A2:A16</xm:f>
          </x14:formula1>
          <xm:sqref>B348</xm:sqref>
        </x14:dataValidation>
        <x14:dataValidation type="list" allowBlank="1" showInputMessage="1" showErrorMessage="1" xr:uid="{532DB8CB-8BAE-40D0-8F3E-D9B918FFFE5F}">
          <x14:formula1>
            <xm:f>ReferentsDPT!A2:A16</xm:f>
          </x14:formula1>
          <xm:sqref>B349</xm:sqref>
        </x14:dataValidation>
        <x14:dataValidation type="list" allowBlank="1" showInputMessage="1" showErrorMessage="1" xr:uid="{3FCFDF9C-BFDF-40BC-AC25-3B344BC7802D}">
          <x14:formula1>
            <xm:f>Classes!A2:A4</xm:f>
          </x14:formula1>
          <xm:sqref>E348</xm:sqref>
        </x14:dataValidation>
        <x14:dataValidation type="list" allowBlank="1" showInputMessage="1" showErrorMessage="1" xr:uid="{DF98135F-795A-4DCC-8690-C1A51E8D7721}">
          <x14:formula1>
            <xm:f>Classes!A2:A4</xm:f>
          </x14:formula1>
          <xm:sqref>E349</xm:sqref>
        </x14:dataValidation>
        <x14:dataValidation type="list" allowBlank="1" showInputMessage="1" showErrorMessage="1" xr:uid="{9948678D-B8F6-4482-8718-6E8A6B1B7439}">
          <x14:formula1>
            <xm:f>ReferentsDPT!A2:A16</xm:f>
          </x14:formula1>
          <xm:sqref>B350</xm:sqref>
        </x14:dataValidation>
        <x14:dataValidation type="list" allowBlank="1" showInputMessage="1" showErrorMessage="1" xr:uid="{1268C6E2-D8AA-40C8-9B72-17F72AA0EF5F}">
          <x14:formula1>
            <xm:f>Classes!A2:A4</xm:f>
          </x14:formula1>
          <xm:sqref>E350</xm:sqref>
        </x14:dataValidation>
        <x14:dataValidation type="list" allowBlank="1" showInputMessage="1" showErrorMessage="1" xr:uid="{E6333375-3270-4603-87B1-7F4D29116E8E}">
          <x14:formula1>
            <xm:f>ReferentsDPT!A2:A16</xm:f>
          </x14:formula1>
          <xm:sqref>B351</xm:sqref>
        </x14:dataValidation>
        <x14:dataValidation type="list" allowBlank="1" showInputMessage="1" showErrorMessage="1" xr:uid="{DEE13824-B803-47F0-BA43-15C5E415CAA7}">
          <x14:formula1>
            <xm:f>Classes!A2:A4</xm:f>
          </x14:formula1>
          <xm:sqref>E351</xm:sqref>
        </x14:dataValidation>
        <x14:dataValidation type="list" allowBlank="1" showInputMessage="1" showErrorMessage="1" xr:uid="{94E37931-4A77-41B2-92B5-F935D5763B23}">
          <x14:formula1>
            <xm:f>Classes!A2:A4</xm:f>
          </x14:formula1>
          <xm:sqref>E337</xm:sqref>
        </x14:dataValidation>
        <x14:dataValidation type="list" allowBlank="1" showInputMessage="1" showErrorMessage="1" xr:uid="{C0874BEC-B98E-45E3-88B7-B7793E412FB5}">
          <x14:formula1>
            <xm:f>ReferentsDPT!A2:A16</xm:f>
          </x14:formula1>
          <xm:sqref>B352</xm:sqref>
        </x14:dataValidation>
        <x14:dataValidation type="list" allowBlank="1" showInputMessage="1" showErrorMessage="1" xr:uid="{670655F1-430F-46D0-A959-FBFDD191DC95}">
          <x14:formula1>
            <xm:f>Classes!A2:A4</xm:f>
          </x14:formula1>
          <xm:sqref>E352</xm:sqref>
        </x14:dataValidation>
        <x14:dataValidation type="list" allowBlank="1" showInputMessage="1" showErrorMessage="1" xr:uid="{99B19FAB-3B43-4766-9FCE-2B21F41180D4}">
          <x14:formula1>
            <xm:f>ReferentsDPT!A2:A16</xm:f>
          </x14:formula1>
          <xm:sqref>B353</xm:sqref>
        </x14:dataValidation>
        <x14:dataValidation type="list" allowBlank="1" showInputMessage="1" showErrorMessage="1" xr:uid="{3E78EB30-FDC5-4C85-AC29-2791BB3F1F5B}">
          <x14:formula1>
            <xm:f>Classes!A2:A4</xm:f>
          </x14:formula1>
          <xm:sqref>E353</xm:sqref>
        </x14:dataValidation>
        <x14:dataValidation type="list" allowBlank="1" showInputMessage="1" showErrorMessage="1" xr:uid="{A15EDA4D-8196-4E82-8B48-823958B1C880}">
          <x14:formula1>
            <xm:f>ReferentsDPT!A2:A16</xm:f>
          </x14:formula1>
          <xm:sqref>B354</xm:sqref>
        </x14:dataValidation>
        <x14:dataValidation type="list" allowBlank="1" showInputMessage="1" showErrorMessage="1" xr:uid="{1C6D22FE-250E-45E7-9FF8-E675FE18BE7C}">
          <x14:formula1>
            <xm:f>Classes!A2:A4</xm:f>
          </x14:formula1>
          <xm:sqref>E354</xm:sqref>
        </x14:dataValidation>
        <x14:dataValidation type="list" allowBlank="1" showInputMessage="1" showErrorMessage="1" xr:uid="{2C51FB26-2264-4C4B-B0C9-DD570A51C404}">
          <x14:formula1>
            <xm:f>ReferentsDPT!A2:A16</xm:f>
          </x14:formula1>
          <xm:sqref>B355</xm:sqref>
        </x14:dataValidation>
        <x14:dataValidation type="list" allowBlank="1" showInputMessage="1" showErrorMessage="1" xr:uid="{81E5ED68-D29D-4D87-99DC-E8109E34CBCC}">
          <x14:formula1>
            <xm:f>ReferentsDPT!A2:A16</xm:f>
          </x14:formula1>
          <xm:sqref>B356</xm:sqref>
        </x14:dataValidation>
        <x14:dataValidation type="list" allowBlank="1" showInputMessage="1" showErrorMessage="1" xr:uid="{3475C6E1-82AE-41F4-8094-C8C48E87D190}">
          <x14:formula1>
            <xm:f>ReferentsDPT!A2:A16</xm:f>
          </x14:formula1>
          <xm:sqref>B357</xm:sqref>
        </x14:dataValidation>
        <x14:dataValidation type="list" allowBlank="1" showInputMessage="1" showErrorMessage="1" xr:uid="{A64FCFC8-1786-4742-AEB6-7E8D85BD0C94}">
          <x14:formula1>
            <xm:f>ReferentsDPT!A2:A16</xm:f>
          </x14:formula1>
          <xm:sqref>B358</xm:sqref>
        </x14:dataValidation>
        <x14:dataValidation type="list" allowBlank="1" showInputMessage="1" showErrorMessage="1" xr:uid="{46D29EEF-1DFD-4EBF-9653-11FD4373522F}">
          <x14:formula1>
            <xm:f>ReferentsDPT!A2:A16</xm:f>
          </x14:formula1>
          <xm:sqref>B359</xm:sqref>
        </x14:dataValidation>
        <x14:dataValidation type="list" allowBlank="1" showInputMessage="1" showErrorMessage="1" xr:uid="{3BC543E5-6BF5-46FB-A138-59734270F94F}">
          <x14:formula1>
            <xm:f>Classes!A2:A4</xm:f>
          </x14:formula1>
          <xm:sqref>E359</xm:sqref>
        </x14:dataValidation>
        <x14:dataValidation type="list" allowBlank="1" showInputMessage="1" showErrorMessage="1" xr:uid="{8EEEDC82-28C7-4B29-A82F-6ACBF9BCDACC}">
          <x14:formula1>
            <xm:f>Classes!A2:A4</xm:f>
          </x14:formula1>
          <xm:sqref>E355</xm:sqref>
        </x14:dataValidation>
        <x14:dataValidation type="list" allowBlank="1" showInputMessage="1" showErrorMessage="1" xr:uid="{8F6592B2-16C5-4D70-9516-A074247E488E}">
          <x14:formula1>
            <xm:f>Classes!A2:A4</xm:f>
          </x14:formula1>
          <xm:sqref>E356</xm:sqref>
        </x14:dataValidation>
        <x14:dataValidation type="list" allowBlank="1" showInputMessage="1" showErrorMessage="1" xr:uid="{B187CB67-F0E5-40C6-A7D3-C42D15616D02}">
          <x14:formula1>
            <xm:f>Classes!A2:A4</xm:f>
          </x14:formula1>
          <xm:sqref>E357</xm:sqref>
        </x14:dataValidation>
        <x14:dataValidation type="list" allowBlank="1" showInputMessage="1" showErrorMessage="1" xr:uid="{5212965C-7439-4B5F-9CEE-52FE06975390}">
          <x14:formula1>
            <xm:f>Classes!A2:A4</xm:f>
          </x14:formula1>
          <xm:sqref>E358</xm:sqref>
        </x14:dataValidation>
        <x14:dataValidation type="list" allowBlank="1" showInputMessage="1" showErrorMessage="1" xr:uid="{BBF85375-7452-4796-BE76-EDA564D935A8}">
          <x14:formula1>
            <xm:f>ReferentsDPT!A2:A16</xm:f>
          </x14:formula1>
          <xm:sqref>B360</xm:sqref>
        </x14:dataValidation>
        <x14:dataValidation type="list" allowBlank="1" showInputMessage="1" showErrorMessage="1" xr:uid="{08C6105F-6491-4EE3-BEAA-F77DECBC14F1}">
          <x14:formula1>
            <xm:f>Classes!A2:A4</xm:f>
          </x14:formula1>
          <xm:sqref>E360</xm:sqref>
        </x14:dataValidation>
        <x14:dataValidation type="list" allowBlank="1" showInputMessage="1" showErrorMessage="1" xr:uid="{40226866-B343-4DD8-83D9-3C2B1DFE043E}">
          <x14:formula1>
            <xm:f>ReferentsDPT!A2:A16</xm:f>
          </x14:formula1>
          <xm:sqref>B361</xm:sqref>
        </x14:dataValidation>
        <x14:dataValidation type="list" allowBlank="1" showInputMessage="1" showErrorMessage="1" xr:uid="{07F63A64-8CE8-4722-9FEE-BA92611E0940}">
          <x14:formula1>
            <xm:f>Classes!A2:A4</xm:f>
          </x14:formula1>
          <xm:sqref>E361</xm:sqref>
        </x14:dataValidation>
        <x14:dataValidation type="list" allowBlank="1" showInputMessage="1" showErrorMessage="1" xr:uid="{4F61E6DE-68B1-42C9-AF3A-BB3070094E70}">
          <x14:formula1>
            <xm:f>ReferentsDPT!A2:A16</xm:f>
          </x14:formula1>
          <xm:sqref>B362</xm:sqref>
        </x14:dataValidation>
        <x14:dataValidation type="list" allowBlank="1" showInputMessage="1" showErrorMessage="1" xr:uid="{8FBCB055-23E2-42FF-8520-7E9545B16AAE}">
          <x14:formula1>
            <xm:f>Classes!A2:A4</xm:f>
          </x14:formula1>
          <xm:sqref>E362</xm:sqref>
        </x14:dataValidation>
        <x14:dataValidation type="list" allowBlank="1" showInputMessage="1" showErrorMessage="1" xr:uid="{A67DD5C4-3D9E-469B-B377-BC12F8D8FD0A}">
          <x14:formula1>
            <xm:f>ReferentsDPT!A2:A16</xm:f>
          </x14:formula1>
          <xm:sqref>B363</xm:sqref>
        </x14:dataValidation>
        <x14:dataValidation type="list" allowBlank="1" showInputMessage="1" showErrorMessage="1" xr:uid="{7A09F2DC-751C-46DF-BC2F-B296F360BABB}">
          <x14:formula1>
            <xm:f>Classes!A2:A4</xm:f>
          </x14:formula1>
          <xm:sqref>E363</xm:sqref>
        </x14:dataValidation>
        <x14:dataValidation type="list" allowBlank="1" showInputMessage="1" showErrorMessage="1" xr:uid="{F5E21A85-E949-45CD-98EB-4AB384641FF5}">
          <x14:formula1>
            <xm:f>ReferentsDPT!A2:A16</xm:f>
          </x14:formula1>
          <xm:sqref>B364</xm:sqref>
        </x14:dataValidation>
        <x14:dataValidation type="list" allowBlank="1" showInputMessage="1" showErrorMessage="1" xr:uid="{CA497798-8DC3-46AC-AA8D-EF11F613895F}">
          <x14:formula1>
            <xm:f>ReferentsDPT!A2:A16</xm:f>
          </x14:formula1>
          <xm:sqref>B365</xm:sqref>
        </x14:dataValidation>
        <x14:dataValidation type="list" allowBlank="1" showInputMessage="1" showErrorMessage="1" xr:uid="{4D19F3B1-9274-4C64-A212-F141C41F7D17}">
          <x14:formula1>
            <xm:f>Classes!A2:A4</xm:f>
          </x14:formula1>
          <xm:sqref>E365</xm:sqref>
        </x14:dataValidation>
        <x14:dataValidation type="list" allowBlank="1" showInputMessage="1" showErrorMessage="1" xr:uid="{F009BCB0-6F76-45D7-AFD8-161CF8CDC0F0}">
          <x14:formula1>
            <xm:f>ReferentsDPT!A2:A16</xm:f>
          </x14:formula1>
          <xm:sqref>B366</xm:sqref>
        </x14:dataValidation>
        <x14:dataValidation type="list" allowBlank="1" showInputMessage="1" showErrorMessage="1" xr:uid="{701E01F4-A9F9-421F-8705-5C41D89E1BB1}">
          <x14:formula1>
            <xm:f>Classes!A2:A4</xm:f>
          </x14:formula1>
          <xm:sqref>E366</xm:sqref>
        </x14:dataValidation>
        <x14:dataValidation type="list" allowBlank="1" showInputMessage="1" showErrorMessage="1" xr:uid="{A3106845-43FD-43B0-BD9C-C551F75C847C}">
          <x14:formula1>
            <xm:f>ReferentsDPT!A2:A16</xm:f>
          </x14:formula1>
          <xm:sqref>B367</xm:sqref>
        </x14:dataValidation>
        <x14:dataValidation type="list" allowBlank="1" showInputMessage="1" showErrorMessage="1" xr:uid="{EA1CC0E1-C99A-4516-ADF1-15E280B671E6}">
          <x14:formula1>
            <xm:f>Classes!A2:A4</xm:f>
          </x14:formula1>
          <xm:sqref>E367</xm:sqref>
        </x14:dataValidation>
        <x14:dataValidation type="list" allowBlank="1" showInputMessage="1" showErrorMessage="1" xr:uid="{C9FFDE7B-A491-4F19-BB68-1F0EDE0B9987}">
          <x14:formula1>
            <xm:f>Classes!A2:A4</xm:f>
          </x14:formula1>
          <xm:sqref>E364</xm:sqref>
        </x14:dataValidation>
        <x14:dataValidation type="list" allowBlank="1" showInputMessage="1" showErrorMessage="1" xr:uid="{DB66589F-D6CB-494F-B0B2-70DF2975AE7E}">
          <x14:formula1>
            <xm:f>ReferentsDPT!A2:A16</xm:f>
          </x14:formula1>
          <xm:sqref>B368</xm:sqref>
        </x14:dataValidation>
        <x14:dataValidation type="list" allowBlank="1" showInputMessage="1" showErrorMessage="1" xr:uid="{99FF82DA-C24A-4F8E-8C3E-D013F4725770}">
          <x14:formula1>
            <xm:f>ReferentsDPT!A2:A16</xm:f>
          </x14:formula1>
          <xm:sqref>B369</xm:sqref>
        </x14:dataValidation>
        <x14:dataValidation type="list" allowBlank="1" showInputMessage="1" showErrorMessage="1" xr:uid="{DD633420-AE01-4E33-890F-655A39035390}">
          <x14:formula1>
            <xm:f>Classes!A2:A4</xm:f>
          </x14:formula1>
          <xm:sqref>E369</xm:sqref>
        </x14:dataValidation>
        <x14:dataValidation type="list" allowBlank="1" showInputMessage="1" showErrorMessage="1" xr:uid="{43BAAA81-E95F-4BBA-A32C-A9D1A1D1D6ED}">
          <x14:formula1>
            <xm:f>Classes!A2:A4</xm:f>
          </x14:formula1>
          <xm:sqref>E336</xm:sqref>
        </x14:dataValidation>
        <x14:dataValidation type="list" allowBlank="1" showInputMessage="1" showErrorMessage="1" xr:uid="{E450A8A6-606C-4850-B1CD-0A4C5C16763C}">
          <x14:formula1>
            <xm:f>ReferentsDPT!A2:A16</xm:f>
          </x14:formula1>
          <xm:sqref>B370</xm:sqref>
        </x14:dataValidation>
        <x14:dataValidation type="list" allowBlank="1" showInputMessage="1" showErrorMessage="1" xr:uid="{E9169B64-DF19-4E07-8A96-16FD194E7773}">
          <x14:formula1>
            <xm:f>Classes!A2:A4</xm:f>
          </x14:formula1>
          <xm:sqref>E370</xm:sqref>
        </x14:dataValidation>
        <x14:dataValidation type="list" allowBlank="1" showInputMessage="1" showErrorMessage="1" xr:uid="{7410D8BC-441B-4EA2-BCC3-0D64BDF7C575}">
          <x14:formula1>
            <xm:f>ReferentsDPT!A2:A16</xm:f>
          </x14:formula1>
          <xm:sqref>B371</xm:sqref>
        </x14:dataValidation>
        <x14:dataValidation type="list" allowBlank="1" showInputMessage="1" showErrorMessage="1" xr:uid="{BC1C502F-D0D1-416D-912A-063565CC54FB}">
          <x14:formula1>
            <xm:f>Classes!A2:A4</xm:f>
          </x14:formula1>
          <xm:sqref>E371</xm:sqref>
        </x14:dataValidation>
        <x14:dataValidation type="list" allowBlank="1" showInputMessage="1" showErrorMessage="1" xr:uid="{1BD6333F-AB63-45FE-9068-89520E00E82E}">
          <x14:formula1>
            <xm:f>ReferentsDPT!A2:A16</xm:f>
          </x14:formula1>
          <xm:sqref>B372</xm:sqref>
        </x14:dataValidation>
        <x14:dataValidation type="list" allowBlank="1" showInputMessage="1" showErrorMessage="1" xr:uid="{37D990C7-7F5B-48CB-94B0-FCF899F0B548}">
          <x14:formula1>
            <xm:f>Classes!A2:A4</xm:f>
          </x14:formula1>
          <xm:sqref>E372</xm:sqref>
        </x14:dataValidation>
        <x14:dataValidation type="list" allowBlank="1" showInputMessage="1" showErrorMessage="1" xr:uid="{7C216513-B69D-4391-81A3-1A9A54E2F695}">
          <x14:formula1>
            <xm:f>ReferentsDPT!A2:A16</xm:f>
          </x14:formula1>
          <xm:sqref>B373</xm:sqref>
        </x14:dataValidation>
        <x14:dataValidation type="list" allowBlank="1" showInputMessage="1" showErrorMessage="1" xr:uid="{08F35F22-5FD7-4B93-8B06-36D25109CFA7}">
          <x14:formula1>
            <xm:f>Classes!A2:A4</xm:f>
          </x14:formula1>
          <xm:sqref>E373</xm:sqref>
        </x14:dataValidation>
        <x14:dataValidation type="list" allowBlank="1" showInputMessage="1" showErrorMessage="1" xr:uid="{B494BEBC-F768-4749-80B3-8AF06BFAA8A3}">
          <x14:formula1>
            <xm:f>ReferentsDPT!A2:A16</xm:f>
          </x14:formula1>
          <xm:sqref>B374</xm:sqref>
        </x14:dataValidation>
        <x14:dataValidation type="list" allowBlank="1" showInputMessage="1" showErrorMessage="1" xr:uid="{7B8DA21E-0DC2-4BB1-8460-F9029310B6BD}">
          <x14:formula1>
            <xm:f>Classes!A2:A4</xm:f>
          </x14:formula1>
          <xm:sqref>E374</xm:sqref>
        </x14:dataValidation>
        <x14:dataValidation type="list" allowBlank="1" showInputMessage="1" showErrorMessage="1" xr:uid="{141A5D2F-3164-46B2-BDE3-56D65AFDF11B}">
          <x14:formula1>
            <xm:f>ReferentsDPT!A2:A16</xm:f>
          </x14:formula1>
          <xm:sqref>B375</xm:sqref>
        </x14:dataValidation>
        <x14:dataValidation type="list" allowBlank="1" showInputMessage="1" showErrorMessage="1" xr:uid="{41BDF0C1-F981-4F11-852B-2E2140F02586}">
          <x14:formula1>
            <xm:f>Classes!A2:A4</xm:f>
          </x14:formula1>
          <xm:sqref>E375</xm:sqref>
        </x14:dataValidation>
        <x14:dataValidation type="list" allowBlank="1" showInputMessage="1" showErrorMessage="1" xr:uid="{69C4AEC4-0670-4E82-A790-19037E90049D}">
          <x14:formula1>
            <xm:f>ReferentsDPT!A2:A16</xm:f>
          </x14:formula1>
          <xm:sqref>B376</xm:sqref>
        </x14:dataValidation>
        <x14:dataValidation type="list" allowBlank="1" showInputMessage="1" showErrorMessage="1" xr:uid="{C3813EA8-47CF-4B6F-8709-7840267E9DD0}">
          <x14:formula1>
            <xm:f>ReferentsDPT!A2:A16</xm:f>
          </x14:formula1>
          <xm:sqref>B377</xm:sqref>
        </x14:dataValidation>
        <x14:dataValidation type="list" allowBlank="1" showInputMessage="1" showErrorMessage="1" xr:uid="{C75DEF87-5A92-4FD5-AB7A-FA740C4E7B15}">
          <x14:formula1>
            <xm:f>ReferentsDPT!A2:A16</xm:f>
          </x14:formula1>
          <xm:sqref>B378</xm:sqref>
        </x14:dataValidation>
        <x14:dataValidation type="list" allowBlank="1" showInputMessage="1" showErrorMessage="1" xr:uid="{4AED9D55-539D-4F15-8FD1-C5BB3C736EFE}">
          <x14:formula1>
            <xm:f>ReferentsDPT!A2:A16</xm:f>
          </x14:formula1>
          <xm:sqref>B379</xm:sqref>
        </x14:dataValidation>
        <x14:dataValidation type="list" allowBlank="1" showInputMessage="1" showErrorMessage="1" xr:uid="{91CABED5-D618-4620-BF9A-EF9A59B19C2D}">
          <x14:formula1>
            <xm:f>Classes!A2:A4</xm:f>
          </x14:formula1>
          <xm:sqref>E376</xm:sqref>
        </x14:dataValidation>
        <x14:dataValidation type="list" allowBlank="1" showInputMessage="1" showErrorMessage="1" xr:uid="{90F240AF-26B0-47FC-8502-1D584EFA78C8}">
          <x14:formula1>
            <xm:f>Classes!A2:A4</xm:f>
          </x14:formula1>
          <xm:sqref>E377</xm:sqref>
        </x14:dataValidation>
        <x14:dataValidation type="list" allowBlank="1" showInputMessage="1" showErrorMessage="1" xr:uid="{96BCEDFC-69BF-424B-92DC-646D0EB0B4A9}">
          <x14:formula1>
            <xm:f>Classes!A2:A4</xm:f>
          </x14:formula1>
          <xm:sqref>E378</xm:sqref>
        </x14:dataValidation>
        <x14:dataValidation type="list" allowBlank="1" showInputMessage="1" showErrorMessage="1" xr:uid="{7B9D10D0-EDE4-4CF1-90F4-7BD203E900D0}">
          <x14:formula1>
            <xm:f>Classes!A2:A4</xm:f>
          </x14:formula1>
          <xm:sqref>E379</xm:sqref>
        </x14:dataValidation>
        <x14:dataValidation type="list" allowBlank="1" showInputMessage="1" showErrorMessage="1" xr:uid="{F3156E2C-DD84-414F-B47B-9E9624060C59}">
          <x14:formula1>
            <xm:f>ReferentsDPT!A2:A16</xm:f>
          </x14:formula1>
          <xm:sqref>B380</xm:sqref>
        </x14:dataValidation>
        <x14:dataValidation type="list" allowBlank="1" showInputMessage="1" showErrorMessage="1" xr:uid="{EB0B4F1C-17FA-4C5A-8C44-EE5FD2A69FE4}">
          <x14:formula1>
            <xm:f>Classes!A2:A4</xm:f>
          </x14:formula1>
          <xm:sqref>E380</xm:sqref>
        </x14:dataValidation>
        <x14:dataValidation type="list" allowBlank="1" showInputMessage="1" showErrorMessage="1" xr:uid="{E177FC1E-5E50-4BF9-B978-27F4AE9EDA39}">
          <x14:formula1>
            <xm:f>ReferentsDPT!A2:A16</xm:f>
          </x14:formula1>
          <xm:sqref>B381</xm:sqref>
        </x14:dataValidation>
        <x14:dataValidation type="list" allowBlank="1" showInputMessage="1" showErrorMessage="1" xr:uid="{DBC039BD-97A0-4167-8CF1-46AD9F7C2B8F}">
          <x14:formula1>
            <xm:f>Classes!A2:A4</xm:f>
          </x14:formula1>
          <xm:sqref>E381</xm:sqref>
        </x14:dataValidation>
        <x14:dataValidation type="list" allowBlank="1" showInputMessage="1" showErrorMessage="1" xr:uid="{BF467EA9-5F99-4DB0-9C92-DCEA50465A05}">
          <x14:formula1>
            <xm:f>ReferentsDPT!A2:A16</xm:f>
          </x14:formula1>
          <xm:sqref>B382</xm:sqref>
        </x14:dataValidation>
        <x14:dataValidation type="list" allowBlank="1" showInputMessage="1" showErrorMessage="1" xr:uid="{9C8564DE-159D-4FE3-868E-5CCCD90109B9}">
          <x14:formula1>
            <xm:f>Classes!A2:A4</xm:f>
          </x14:formula1>
          <xm:sqref>E382</xm:sqref>
        </x14:dataValidation>
        <x14:dataValidation type="list" allowBlank="1" showInputMessage="1" showErrorMessage="1" xr:uid="{0A8985BB-2E3F-419C-BC20-4EC6F097C022}">
          <x14:formula1>
            <xm:f>ReferentsDPT!A2:A16</xm:f>
          </x14:formula1>
          <xm:sqref>B383</xm:sqref>
        </x14:dataValidation>
        <x14:dataValidation type="list" allowBlank="1" showInputMessage="1" showErrorMessage="1" xr:uid="{734BB5E1-06AB-4C4D-B18D-DA8DBAA74995}">
          <x14:formula1>
            <xm:f>Classes!A2:A4</xm:f>
          </x14:formula1>
          <xm:sqref>E383</xm:sqref>
        </x14:dataValidation>
        <x14:dataValidation type="list" allowBlank="1" showInputMessage="1" showErrorMessage="1" xr:uid="{25CEF063-F024-4ADB-A093-C9FCFE592454}">
          <x14:formula1>
            <xm:f>ReferentsDPT!A2:A16</xm:f>
          </x14:formula1>
          <xm:sqref>B384</xm:sqref>
        </x14:dataValidation>
        <x14:dataValidation type="list" allowBlank="1" showInputMessage="1" showErrorMessage="1" xr:uid="{26F8D472-0FFE-43A4-AAF4-F18C587985BC}">
          <x14:formula1>
            <xm:f>Classes!A2:A4</xm:f>
          </x14:formula1>
          <xm:sqref>E384</xm:sqref>
        </x14:dataValidation>
        <x14:dataValidation type="list" allowBlank="1" showInputMessage="1" showErrorMessage="1" xr:uid="{7870F18D-6E64-4928-8BF2-A105B935D0FF}">
          <x14:formula1>
            <xm:f>ReferentsDPT!A2:A16</xm:f>
          </x14:formula1>
          <xm:sqref>B385</xm:sqref>
        </x14:dataValidation>
        <x14:dataValidation type="list" allowBlank="1" showInputMessage="1" showErrorMessage="1" xr:uid="{008F94CC-C8E1-4460-B757-FF38B84810A2}">
          <x14:formula1>
            <xm:f>Classes!A2:A4</xm:f>
          </x14:formula1>
          <xm:sqref>E385</xm:sqref>
        </x14:dataValidation>
        <x14:dataValidation type="list" allowBlank="1" showInputMessage="1" showErrorMessage="1" xr:uid="{35CC35FE-FFF5-484F-9200-1215A5E1A055}">
          <x14:formula1>
            <xm:f>ReferentsDPT!A2:A16</xm:f>
          </x14:formula1>
          <xm:sqref>B386</xm:sqref>
        </x14:dataValidation>
        <x14:dataValidation type="list" allowBlank="1" showInputMessage="1" showErrorMessage="1" xr:uid="{896EF004-A160-48DE-9C64-2EAB418DAA32}">
          <x14:formula1>
            <xm:f>Classes!A2:A4</xm:f>
          </x14:formula1>
          <xm:sqref>E386</xm:sqref>
        </x14:dataValidation>
        <x14:dataValidation type="list" allowBlank="1" showInputMessage="1" showErrorMessage="1" xr:uid="{F816F31F-55BA-4641-A21C-E2433B42E82A}">
          <x14:formula1>
            <xm:f>ReferentsDPT!A2:A16</xm:f>
          </x14:formula1>
          <xm:sqref>B387</xm:sqref>
        </x14:dataValidation>
        <x14:dataValidation type="list" allowBlank="1" showInputMessage="1" showErrorMessage="1" xr:uid="{8A03A24C-3B68-4901-9231-49CCD7896E29}">
          <x14:formula1>
            <xm:f>Classes!A2:A4</xm:f>
          </x14:formula1>
          <xm:sqref>E387</xm:sqref>
        </x14:dataValidation>
        <x14:dataValidation type="list" allowBlank="1" showInputMessage="1" showErrorMessage="1" xr:uid="{04C37588-FC16-4F26-9EC2-A93358A43B97}">
          <x14:formula1>
            <xm:f>ReferentsDPT!A2:A16</xm:f>
          </x14:formula1>
          <xm:sqref>B388</xm:sqref>
        </x14:dataValidation>
        <x14:dataValidation type="list" allowBlank="1" showInputMessage="1" showErrorMessage="1" xr:uid="{FDF15D62-CDF7-4F48-93C4-392186E012BE}">
          <x14:formula1>
            <xm:f>Classes!A2:A4</xm:f>
          </x14:formula1>
          <xm:sqref>E388 E428</xm:sqref>
        </x14:dataValidation>
        <x14:dataValidation type="list" allowBlank="1" showInputMessage="1" showErrorMessage="1" xr:uid="{29980B93-1E8E-43D9-9C43-634BB5D8E4D0}">
          <x14:formula1>
            <xm:f>ReferentsDPT!A2:A16</xm:f>
          </x14:formula1>
          <xm:sqref>B389</xm:sqref>
        </x14:dataValidation>
        <x14:dataValidation type="list" allowBlank="1" showInputMessage="1" showErrorMessage="1" xr:uid="{3051882D-7508-4278-A72D-3378863DDD52}">
          <x14:formula1>
            <xm:f>Classes!A2:A4</xm:f>
          </x14:formula1>
          <xm:sqref>E389</xm:sqref>
        </x14:dataValidation>
        <x14:dataValidation type="list" allowBlank="1" showInputMessage="1" showErrorMessage="1" xr:uid="{A61532D5-AD2F-4CCF-A8EE-7CA34AF496E9}">
          <x14:formula1>
            <xm:f>ReferentsDPT!A2:A16</xm:f>
          </x14:formula1>
          <xm:sqref>B391</xm:sqref>
        </x14:dataValidation>
        <x14:dataValidation type="list" allowBlank="1" showInputMessage="1" showErrorMessage="1" xr:uid="{B62B8205-EEE3-492C-829D-EADF0DA2EB1F}">
          <x14:formula1>
            <xm:f>Classes!A2:A4</xm:f>
          </x14:formula1>
          <xm:sqref>E391</xm:sqref>
        </x14:dataValidation>
        <x14:dataValidation type="list" allowBlank="1" showInputMessage="1" showErrorMessage="1" xr:uid="{931FE695-0A4A-4EEC-A81B-58B15C28505E}">
          <x14:formula1>
            <xm:f>ReferentsDPT!A2:A16</xm:f>
          </x14:formula1>
          <xm:sqref>B392</xm:sqref>
        </x14:dataValidation>
        <x14:dataValidation type="list" allowBlank="1" showInputMessage="1" showErrorMessage="1" xr:uid="{EB5301AD-4FAE-4F05-B63C-4F32F7DAE8B2}">
          <x14:formula1>
            <xm:f>Classes!A2:A4</xm:f>
          </x14:formula1>
          <xm:sqref>E392:E393</xm:sqref>
        </x14:dataValidation>
        <x14:dataValidation type="list" allowBlank="1" showInputMessage="1" showErrorMessage="1" xr:uid="{2C3FD0F7-F8ED-4063-9DC4-4651661CF16B}">
          <x14:formula1>
            <xm:f>ReferentsDPT!A2:A16</xm:f>
          </x14:formula1>
          <xm:sqref>B393</xm:sqref>
        </x14:dataValidation>
        <x14:dataValidation type="list" allowBlank="1" showInputMessage="1" showErrorMessage="1" xr:uid="{4F29FE3C-1F9F-4D7B-BBFE-2B30C79AB952}">
          <x14:formula1>
            <xm:f>ReferentsDPT!A2:A16</xm:f>
          </x14:formula1>
          <xm:sqref>B394</xm:sqref>
        </x14:dataValidation>
        <x14:dataValidation type="list" allowBlank="1" showInputMessage="1" showErrorMessage="1" xr:uid="{DBB2C25E-0561-442C-840E-63518662E81F}">
          <x14:formula1>
            <xm:f>Classes!A2:A4</xm:f>
          </x14:formula1>
          <xm:sqref>E394</xm:sqref>
        </x14:dataValidation>
        <x14:dataValidation type="list" allowBlank="1" showInputMessage="1" showErrorMessage="1" xr:uid="{BBCE1482-69DF-4598-A2F3-32FCE44778C6}">
          <x14:formula1>
            <xm:f>ReferentsDPT!A2:A16</xm:f>
          </x14:formula1>
          <xm:sqref>B395</xm:sqref>
        </x14:dataValidation>
        <x14:dataValidation type="list" allowBlank="1" showInputMessage="1" showErrorMessage="1" xr:uid="{AAB5F904-E739-4270-930E-A15796CB2002}">
          <x14:formula1>
            <xm:f>Classes!A2:A4</xm:f>
          </x14:formula1>
          <xm:sqref>E395</xm:sqref>
        </x14:dataValidation>
        <x14:dataValidation type="list" allowBlank="1" showInputMessage="1" showErrorMessage="1" xr:uid="{B4856C2B-F6FE-4D1B-A9DE-3413B82C0884}">
          <x14:formula1>
            <xm:f>ReferentsDPT!A2:A16</xm:f>
          </x14:formula1>
          <xm:sqref>B396</xm:sqref>
        </x14:dataValidation>
        <x14:dataValidation type="list" allowBlank="1" showInputMessage="1" showErrorMessage="1" xr:uid="{B828868C-6824-4AEF-B1A7-35C09FD4039E}">
          <x14:formula1>
            <xm:f>Classes!A2:A4</xm:f>
          </x14:formula1>
          <xm:sqref>E396</xm:sqref>
        </x14:dataValidation>
        <x14:dataValidation type="list" allowBlank="1" showInputMessage="1" showErrorMessage="1" xr:uid="{08A94F86-CBC7-410E-A4CA-DC04FB619BAA}">
          <x14:formula1>
            <xm:f>ReferentsDPT!A2:A16</xm:f>
          </x14:formula1>
          <xm:sqref>B397</xm:sqref>
        </x14:dataValidation>
        <x14:dataValidation type="list" allowBlank="1" showInputMessage="1" showErrorMessage="1" xr:uid="{EF96BC69-C030-4A56-AF8E-CC3188EDBED7}">
          <x14:formula1>
            <xm:f>Classes!A2:A4</xm:f>
          </x14:formula1>
          <xm:sqref>E397</xm:sqref>
        </x14:dataValidation>
        <x14:dataValidation type="list" allowBlank="1" showInputMessage="1" showErrorMessage="1" xr:uid="{2478F3AF-7562-48F1-8979-414C00AB0BD6}">
          <x14:formula1>
            <xm:f>ReferentsDPT!A2:A16</xm:f>
          </x14:formula1>
          <xm:sqref>B398</xm:sqref>
        </x14:dataValidation>
        <x14:dataValidation type="list" allowBlank="1" showInputMessage="1" showErrorMessage="1" xr:uid="{1F7ADCEF-4496-4BEA-A1E1-A477788B13FA}">
          <x14:formula1>
            <xm:f>Classes!A2:A4</xm:f>
          </x14:formula1>
          <xm:sqref>E398</xm:sqref>
        </x14:dataValidation>
        <x14:dataValidation type="list" allowBlank="1" showInputMessage="1" showErrorMessage="1" xr:uid="{16D6FF59-5B61-4FDD-99AE-FB26384B9EF8}">
          <x14:formula1>
            <xm:f>ReferentsDPT!A2:A16</xm:f>
          </x14:formula1>
          <xm:sqref>B399</xm:sqref>
        </x14:dataValidation>
        <x14:dataValidation type="list" allowBlank="1" showInputMessage="1" showErrorMessage="1" xr:uid="{0B15AAC1-59D6-4AE3-8CFA-CF499A48D4FC}">
          <x14:formula1>
            <xm:f>Classes!A2:A4</xm:f>
          </x14:formula1>
          <xm:sqref>E399</xm:sqref>
        </x14:dataValidation>
        <x14:dataValidation type="list" allowBlank="1" showInputMessage="1" showErrorMessage="1" xr:uid="{BF80D0D6-BCD8-4D6B-AE25-A8BAC46A097A}">
          <x14:formula1>
            <xm:f>ReferentsDPT!A2:A16</xm:f>
          </x14:formula1>
          <xm:sqref>B400</xm:sqref>
        </x14:dataValidation>
        <x14:dataValidation type="list" allowBlank="1" showInputMessage="1" showErrorMessage="1" xr:uid="{01BC0BDA-D25A-4116-90C5-9CBC5820F453}">
          <x14:formula1>
            <xm:f>Classes!A2:A4</xm:f>
          </x14:formula1>
          <xm:sqref>E400</xm:sqref>
        </x14:dataValidation>
        <x14:dataValidation type="list" allowBlank="1" showInputMessage="1" showErrorMessage="1" xr:uid="{F6DBFE28-993A-4FBB-A539-738D8A1F90D7}">
          <x14:formula1>
            <xm:f>ReferentsDPT!A2:A16</xm:f>
          </x14:formula1>
          <xm:sqref>B401</xm:sqref>
        </x14:dataValidation>
        <x14:dataValidation type="list" allowBlank="1" showInputMessage="1" showErrorMessage="1" xr:uid="{63441A42-2415-4DA6-8AF0-B2F7711F10B9}">
          <x14:formula1>
            <xm:f>Classes!A2:A4</xm:f>
          </x14:formula1>
          <xm:sqref>E401</xm:sqref>
        </x14:dataValidation>
        <x14:dataValidation type="list" allowBlank="1" showInputMessage="1" showErrorMessage="1" xr:uid="{D930BA16-6E1A-4CFC-B1D4-8DF5C99B7E1D}">
          <x14:formula1>
            <xm:f>ReferentsDPT!A2:A16</xm:f>
          </x14:formula1>
          <xm:sqref>B402</xm:sqref>
        </x14:dataValidation>
        <x14:dataValidation type="list" allowBlank="1" showInputMessage="1" showErrorMessage="1" xr:uid="{E86CF575-ACE8-4C55-B626-F733CC544ED4}">
          <x14:formula1>
            <xm:f>ReferentsDPT!A2:A16</xm:f>
          </x14:formula1>
          <xm:sqref>B403</xm:sqref>
        </x14:dataValidation>
        <x14:dataValidation type="list" allowBlank="1" showInputMessage="1" showErrorMessage="1" xr:uid="{0E14A18F-0EBD-4851-B08E-D6165703A3FA}">
          <x14:formula1>
            <xm:f>ReferentsDPT!A2:A16</xm:f>
          </x14:formula1>
          <xm:sqref>B404</xm:sqref>
        </x14:dataValidation>
        <x14:dataValidation type="list" allowBlank="1" showInputMessage="1" showErrorMessage="1" xr:uid="{5311EAE7-6CF1-4D49-8D5C-53C6E8ABB83C}">
          <x14:formula1>
            <xm:f>Classes!A2:A4</xm:f>
          </x14:formula1>
          <xm:sqref>E402</xm:sqref>
        </x14:dataValidation>
        <x14:dataValidation type="list" allowBlank="1" showInputMessage="1" showErrorMessage="1" xr:uid="{1CF701F7-20F4-41F1-9A7A-385B750398C8}">
          <x14:formula1>
            <xm:f>Classes!A2:A4</xm:f>
          </x14:formula1>
          <xm:sqref>E403</xm:sqref>
        </x14:dataValidation>
        <x14:dataValidation type="list" allowBlank="1" showInputMessage="1" showErrorMessage="1" xr:uid="{C31D729E-F12E-45C3-B5D8-9EA43F970683}">
          <x14:formula1>
            <xm:f>Classes!A2:A4</xm:f>
          </x14:formula1>
          <xm:sqref>E404</xm:sqref>
        </x14:dataValidation>
        <x14:dataValidation type="list" allowBlank="1" showInputMessage="1" showErrorMessage="1" xr:uid="{BA5390BD-E543-431C-A67B-0E0D05C12872}">
          <x14:formula1>
            <xm:f>ReferentsDPT!A2:A16</xm:f>
          </x14:formula1>
          <xm:sqref>B405</xm:sqref>
        </x14:dataValidation>
        <x14:dataValidation type="list" allowBlank="1" showInputMessage="1" showErrorMessage="1" xr:uid="{733C425D-2EF2-4C52-87E1-DBAFF8C12523}">
          <x14:formula1>
            <xm:f>ReferentsDPT!A2:A16</xm:f>
          </x14:formula1>
          <xm:sqref>B406</xm:sqref>
        </x14:dataValidation>
        <x14:dataValidation type="list" allowBlank="1" showInputMessage="1" showErrorMessage="1" xr:uid="{D736F5DA-493B-434C-A375-6572E00201B2}">
          <x14:formula1>
            <xm:f>ReferentsDPT!A2:A16</xm:f>
          </x14:formula1>
          <xm:sqref>B407</xm:sqref>
        </x14:dataValidation>
        <x14:dataValidation type="list" allowBlank="1" showInputMessage="1" showErrorMessage="1" xr:uid="{2BD2E020-78F2-49CF-A6A2-6435F9EDB8E4}">
          <x14:formula1>
            <xm:f>Classes!A2:A4</xm:f>
          </x14:formula1>
          <xm:sqref>E405</xm:sqref>
        </x14:dataValidation>
        <x14:dataValidation type="list" allowBlank="1" showInputMessage="1" showErrorMessage="1" xr:uid="{64D5CC05-2F89-442F-97CE-0663422DE10C}">
          <x14:formula1>
            <xm:f>Classes!A2:A4</xm:f>
          </x14:formula1>
          <xm:sqref>E406</xm:sqref>
        </x14:dataValidation>
        <x14:dataValidation type="list" allowBlank="1" showInputMessage="1" showErrorMessage="1" xr:uid="{EB0C1FE3-C9DA-4C38-93C2-E7CE302A750F}">
          <x14:formula1>
            <xm:f>Classes!A2:A4</xm:f>
          </x14:formula1>
          <xm:sqref>E407</xm:sqref>
        </x14:dataValidation>
        <x14:dataValidation type="list" allowBlank="1" showInputMessage="1" showErrorMessage="1" xr:uid="{BE01A020-1911-4F6F-8592-D148E59F730C}">
          <x14:formula1>
            <xm:f>ReferentsDPT!A2:A16</xm:f>
          </x14:formula1>
          <xm:sqref>B408</xm:sqref>
        </x14:dataValidation>
        <x14:dataValidation type="list" allowBlank="1" showInputMessage="1" showErrorMessage="1" xr:uid="{DFDA440E-5788-4DF0-8A81-8BA5BC6341A9}">
          <x14:formula1>
            <xm:f>Classes!A2:A4</xm:f>
          </x14:formula1>
          <xm:sqref>E408</xm:sqref>
        </x14:dataValidation>
        <x14:dataValidation type="list" allowBlank="1" showInputMessage="1" showErrorMessage="1" xr:uid="{BC0EA749-A606-4921-BD4F-D8ADF7F177B3}">
          <x14:formula1>
            <xm:f>ReferentsDPT!A2:A16</xm:f>
          </x14:formula1>
          <xm:sqref>B409</xm:sqref>
        </x14:dataValidation>
        <x14:dataValidation type="list" allowBlank="1" showInputMessage="1" showErrorMessage="1" xr:uid="{8F877BDB-D563-4CD7-BC71-1AED784D4F26}">
          <x14:formula1>
            <xm:f>Classes!A2:A4</xm:f>
          </x14:formula1>
          <xm:sqref>E409</xm:sqref>
        </x14:dataValidation>
        <x14:dataValidation type="list" allowBlank="1" showInputMessage="1" showErrorMessage="1" xr:uid="{DDE2A8BD-A881-4FC8-979B-24B2F34DDCAD}">
          <x14:formula1>
            <xm:f>ReferentsDPT!A2:A16</xm:f>
          </x14:formula1>
          <xm:sqref>B411</xm:sqref>
        </x14:dataValidation>
        <x14:dataValidation type="list" allowBlank="1" showInputMessage="1" showErrorMessage="1" xr:uid="{2C9F6851-FD8D-47E0-844A-6D2353848C4E}">
          <x14:formula1>
            <xm:f>Classes!A2:A4</xm:f>
          </x14:formula1>
          <xm:sqref>E411</xm:sqref>
        </x14:dataValidation>
        <x14:dataValidation type="list" allowBlank="1" showInputMessage="1" showErrorMessage="1" xr:uid="{D68E9585-DE51-4264-9EAF-A734F4A56310}">
          <x14:formula1>
            <xm:f>ReferentsDPT!A2:A16</xm:f>
          </x14:formula1>
          <xm:sqref>B413</xm:sqref>
        </x14:dataValidation>
        <x14:dataValidation type="list" allowBlank="1" showInputMessage="1" showErrorMessage="1" xr:uid="{85A4EF1E-206E-4008-92E7-83B958D2BA46}">
          <x14:formula1>
            <xm:f>Classes!A2:A4</xm:f>
          </x14:formula1>
          <xm:sqref>E413</xm:sqref>
        </x14:dataValidation>
        <x14:dataValidation type="list" allowBlank="1" showInputMessage="1" showErrorMessage="1" xr:uid="{48F92990-3333-45AB-A332-291C689EFBA3}">
          <x14:formula1>
            <xm:f>ReferentsDPT!A2:A16</xm:f>
          </x14:formula1>
          <xm:sqref>B414</xm:sqref>
        </x14:dataValidation>
        <x14:dataValidation type="list" allowBlank="1" showInputMessage="1" showErrorMessage="1" xr:uid="{98BDFA6A-5A5C-41D0-8488-76BE56ED3EEB}">
          <x14:formula1>
            <xm:f>ReferentsDPT!A2:A16</xm:f>
          </x14:formula1>
          <xm:sqref>B415</xm:sqref>
        </x14:dataValidation>
        <x14:dataValidation type="list" allowBlank="1" showInputMessage="1" showErrorMessage="1" xr:uid="{5C16E375-62A6-4B7B-99A3-9700F5656083}">
          <x14:formula1>
            <xm:f>Classes!A2:A4</xm:f>
          </x14:formula1>
          <xm:sqref>E414</xm:sqref>
        </x14:dataValidation>
        <x14:dataValidation type="list" allowBlank="1" showInputMessage="1" showErrorMessage="1" xr:uid="{D4F0FAA5-25E2-4FF8-8A7F-ED69DE4C5064}">
          <x14:formula1>
            <xm:f>Classes!A2:A4</xm:f>
          </x14:formula1>
          <xm:sqref>E415</xm:sqref>
        </x14:dataValidation>
        <x14:dataValidation type="list" allowBlank="1" showInputMessage="1" showErrorMessage="1" xr:uid="{ECB7877C-1CCD-44C1-AB1C-B226CB54CB96}">
          <x14:formula1>
            <xm:f>ReferentsDPT!A2:A16</xm:f>
          </x14:formula1>
          <xm:sqref>B416</xm:sqref>
        </x14:dataValidation>
        <x14:dataValidation type="list" allowBlank="1" showInputMessage="1" showErrorMessage="1" xr:uid="{4311F009-DDFE-46CD-A591-2C2AFE6C750E}">
          <x14:formula1>
            <xm:f>ReferentsDPT!A2:A16</xm:f>
          </x14:formula1>
          <xm:sqref>B417</xm:sqref>
        </x14:dataValidation>
        <x14:dataValidation type="list" allowBlank="1" showInputMessage="1" showErrorMessage="1" xr:uid="{8A59D75B-32A9-4BA0-91DC-06DF30508CB3}">
          <x14:formula1>
            <xm:f>Classes!A2:A4</xm:f>
          </x14:formula1>
          <xm:sqref>E417</xm:sqref>
        </x14:dataValidation>
        <x14:dataValidation type="list" allowBlank="1" showInputMessage="1" showErrorMessage="1" xr:uid="{BD248C18-BB7F-4E36-97F9-CD090A6D77C3}">
          <x14:formula1>
            <xm:f>ReferentsDPT!A2:A16</xm:f>
          </x14:formula1>
          <xm:sqref>B410</xm:sqref>
        </x14:dataValidation>
        <x14:dataValidation type="list" allowBlank="1" showInputMessage="1" showErrorMessage="1" xr:uid="{742B4951-ADF0-469C-9275-439E4CC99B97}">
          <x14:formula1>
            <xm:f>ReferentsDPT!A2:A16</xm:f>
          </x14:formula1>
          <xm:sqref>B418</xm:sqref>
        </x14:dataValidation>
        <x14:dataValidation type="list" allowBlank="1" showInputMessage="1" showErrorMessage="1" xr:uid="{904E6A47-4B9F-43E2-B791-3997D4030D1F}">
          <x14:formula1>
            <xm:f>Classes!A2:A4</xm:f>
          </x14:formula1>
          <xm:sqref>E418</xm:sqref>
        </x14:dataValidation>
        <x14:dataValidation type="list" allowBlank="1" showInputMessage="1" showErrorMessage="1" xr:uid="{C2FEE149-73BD-4882-AB65-D0571531EDBA}">
          <x14:formula1>
            <xm:f>ReferentsDPT!A2:A16</xm:f>
          </x14:formula1>
          <xm:sqref>B419</xm:sqref>
        </x14:dataValidation>
        <x14:dataValidation type="list" allowBlank="1" showInputMessage="1" showErrorMessage="1" xr:uid="{3D6AAEDE-BBC7-42AF-8828-D5636A31C961}">
          <x14:formula1>
            <xm:f>Classes!A2:A4</xm:f>
          </x14:formula1>
          <xm:sqref>E419</xm:sqref>
        </x14:dataValidation>
        <x14:dataValidation type="list" allowBlank="1" showInputMessage="1" showErrorMessage="1" xr:uid="{929C3F46-7D3B-4935-A54C-9757FB4E08B3}">
          <x14:formula1>
            <xm:f>ReferentsDPT!A2:A16</xm:f>
          </x14:formula1>
          <xm:sqref>B420</xm:sqref>
        </x14:dataValidation>
        <x14:dataValidation type="list" allowBlank="1" showInputMessage="1" showErrorMessage="1" xr:uid="{1232C519-F69E-49BE-9249-9C1C457F003B}">
          <x14:formula1>
            <xm:f>Classes!A2:A4</xm:f>
          </x14:formula1>
          <xm:sqref>E420</xm:sqref>
        </x14:dataValidation>
        <x14:dataValidation type="list" allowBlank="1" showInputMessage="1" showErrorMessage="1" xr:uid="{77531FD6-4BD3-450A-BCC4-0C7697E5ED5D}">
          <x14:formula1>
            <xm:f>ReferentsDPT!A2:A16</xm:f>
          </x14:formula1>
          <xm:sqref>B421</xm:sqref>
        </x14:dataValidation>
        <x14:dataValidation type="list" allowBlank="1" showInputMessage="1" showErrorMessage="1" xr:uid="{BA5A7512-9D6E-49BB-A3C6-2955806306CD}">
          <x14:formula1>
            <xm:f>ReferentsDPT!A2:A16</xm:f>
          </x14:formula1>
          <xm:sqref>B422</xm:sqref>
        </x14:dataValidation>
        <x14:dataValidation type="list" allowBlank="1" showInputMessage="1" showErrorMessage="1" xr:uid="{DA2193CB-5537-4A92-8DDF-A06A7BA05DED}">
          <x14:formula1>
            <xm:f>ReferentsDPT!A2:A16</xm:f>
          </x14:formula1>
          <xm:sqref>B423</xm:sqref>
        </x14:dataValidation>
        <x14:dataValidation type="list" allowBlank="1" showInputMessage="1" showErrorMessage="1" xr:uid="{13D481A0-9FE7-4962-854F-2FE84079112C}">
          <x14:formula1>
            <xm:f>ReferentsDPT!A2:A16</xm:f>
          </x14:formula1>
          <xm:sqref>B424</xm:sqref>
        </x14:dataValidation>
        <x14:dataValidation type="list" allowBlank="1" showInputMessage="1" showErrorMessage="1" xr:uid="{273C85E1-5179-428B-A1E5-EB0FD060D772}">
          <x14:formula1>
            <xm:f>ReferentsDPT!A2:A16</xm:f>
          </x14:formula1>
          <xm:sqref>B425</xm:sqref>
        </x14:dataValidation>
        <x14:dataValidation type="list" allowBlank="1" showInputMessage="1" showErrorMessage="1" xr:uid="{7EB935FB-B9E5-4F65-BB24-CD8CB9350CE1}">
          <x14:formula1>
            <xm:f>ReferentsDPT!A2:A16</xm:f>
          </x14:formula1>
          <xm:sqref>B426</xm:sqref>
        </x14:dataValidation>
        <x14:dataValidation type="list" allowBlank="1" showInputMessage="1" showErrorMessage="1" xr:uid="{ECF90ECC-3951-402D-BCE3-D654171C5FB2}">
          <x14:formula1>
            <xm:f>ReferentsDPT!A2:A16</xm:f>
          </x14:formula1>
          <xm:sqref>B427</xm:sqref>
        </x14:dataValidation>
        <x14:dataValidation type="list" allowBlank="1" showInputMessage="1" showErrorMessage="1" xr:uid="{190769AA-0F45-4AEA-ABB5-FE5A1279EBC8}">
          <x14:formula1>
            <xm:f>Classes!A2:A4</xm:f>
          </x14:formula1>
          <xm:sqref>E425</xm:sqref>
        </x14:dataValidation>
        <x14:dataValidation type="list" allowBlank="1" showInputMessage="1" showErrorMessage="1" xr:uid="{323F6751-E6D3-46F6-AA1D-1AE2E08EE01E}">
          <x14:formula1>
            <xm:f>Classes!A2:A4</xm:f>
          </x14:formula1>
          <xm:sqref>E426</xm:sqref>
        </x14:dataValidation>
        <x14:dataValidation type="list" allowBlank="1" showInputMessage="1" showErrorMessage="1" xr:uid="{756FFF11-C1E1-477A-8DE6-FDD82CEC312F}">
          <x14:formula1>
            <xm:f>Classes!A2:A4</xm:f>
          </x14:formula1>
          <xm:sqref>E421</xm:sqref>
        </x14:dataValidation>
        <x14:dataValidation type="list" allowBlank="1" showInputMessage="1" showErrorMessage="1" xr:uid="{31215033-2404-488F-AA4A-6CFAB0BE5F92}">
          <x14:formula1>
            <xm:f>Classes!A2:A4</xm:f>
          </x14:formula1>
          <xm:sqref>E422</xm:sqref>
        </x14:dataValidation>
        <x14:dataValidation type="list" allowBlank="1" showInputMessage="1" showErrorMessage="1" xr:uid="{7F9847C1-E664-4F52-8130-CEF7CA946051}">
          <x14:formula1>
            <xm:f>Classes!A2:A4</xm:f>
          </x14:formula1>
          <xm:sqref>E423</xm:sqref>
        </x14:dataValidation>
        <x14:dataValidation type="list" allowBlank="1" showInputMessage="1" showErrorMessage="1" xr:uid="{86B20896-9E49-4026-A4FF-7A6AF9C3CD61}">
          <x14:formula1>
            <xm:f>Classes!A2:A4</xm:f>
          </x14:formula1>
          <xm:sqref>E424</xm:sqref>
        </x14:dataValidation>
        <x14:dataValidation type="list" allowBlank="1" showInputMessage="1" showErrorMessage="1" xr:uid="{4180FC14-74D0-4C7D-B959-034941A6BB20}">
          <x14:formula1>
            <xm:f>Classes!A2:A4</xm:f>
          </x14:formula1>
          <xm:sqref>E427</xm:sqref>
        </x14:dataValidation>
        <x14:dataValidation type="list" allowBlank="1" showInputMessage="1" showErrorMessage="1" xr:uid="{92E53E58-62FB-4828-BB2D-E4ADDEEE2FDC}">
          <x14:formula1>
            <xm:f>ReferentsDPT!A2:A16</xm:f>
          </x14:formula1>
          <xm:sqref>B429</xm:sqref>
        </x14:dataValidation>
        <x14:dataValidation type="list" allowBlank="1" showInputMessage="1" showErrorMessage="1" xr:uid="{4FCB09A1-3FFB-4ED9-B06A-A2EA91EE51AE}">
          <x14:formula1>
            <xm:f>Classes!A2:A4</xm:f>
          </x14:formula1>
          <xm:sqref>E429</xm:sqref>
        </x14:dataValidation>
        <x14:dataValidation type="list" allowBlank="1" showInputMessage="1" showErrorMessage="1" xr:uid="{C1306FCF-231B-400A-9EA0-055A484CE676}">
          <x14:formula1>
            <xm:f>ReferentsDPT!A2:A16</xm:f>
          </x14:formula1>
          <xm:sqref>B430</xm:sqref>
        </x14:dataValidation>
        <x14:dataValidation type="list" allowBlank="1" showInputMessage="1" showErrorMessage="1" xr:uid="{1919CF7D-65B1-4D70-A8CF-9B40C98D82FF}">
          <x14:formula1>
            <xm:f>Classes!A2:A4</xm:f>
          </x14:formula1>
          <xm:sqref>E430</xm:sqref>
        </x14:dataValidation>
        <x14:dataValidation type="list" allowBlank="1" showInputMessage="1" showErrorMessage="1" xr:uid="{FFBEE03E-F07C-4526-9A6F-C21CE17C97EA}">
          <x14:formula1>
            <xm:f>ReferentsDPT!A2:A16</xm:f>
          </x14:formula1>
          <xm:sqref>B431</xm:sqref>
        </x14:dataValidation>
        <x14:dataValidation type="list" allowBlank="1" showInputMessage="1" showErrorMessage="1" xr:uid="{D83EE030-8E6E-48CA-AB90-A720E7832DA9}">
          <x14:formula1>
            <xm:f>Classes!A2:A4</xm:f>
          </x14:formula1>
          <xm:sqref>E431</xm:sqref>
        </x14:dataValidation>
        <x14:dataValidation type="list" allowBlank="1" showInputMessage="1" showErrorMessage="1" xr:uid="{7B792179-329A-4909-A97E-9DFF73933E23}">
          <x14:formula1>
            <xm:f>ReferentsDPT!A2:A16</xm:f>
          </x14:formula1>
          <xm:sqref>B432</xm:sqref>
        </x14:dataValidation>
        <x14:dataValidation type="list" allowBlank="1" showInputMessage="1" showErrorMessage="1" xr:uid="{0663E399-93F6-4EC2-8707-218B12E695CF}">
          <x14:formula1>
            <xm:f>Classes!A2:A4</xm:f>
          </x14:formula1>
          <xm:sqref>E432</xm:sqref>
        </x14:dataValidation>
        <x14:dataValidation type="list" allowBlank="1" showInputMessage="1" showErrorMessage="1" xr:uid="{F671F55E-5A27-4966-9F50-2102B33FCE3B}">
          <x14:formula1>
            <xm:f>ReferentsDPT!A2:A16</xm:f>
          </x14:formula1>
          <xm:sqref>B433</xm:sqref>
        </x14:dataValidation>
        <x14:dataValidation type="list" allowBlank="1" showInputMessage="1" showErrorMessage="1" xr:uid="{7B4A9A47-1599-4665-ABFD-AD40ADBDA57D}">
          <x14:formula1>
            <xm:f>Classes!A2:A4</xm:f>
          </x14:formula1>
          <xm:sqref>E433</xm:sqref>
        </x14:dataValidation>
        <x14:dataValidation type="list" allowBlank="1" showInputMessage="1" showErrorMessage="1" xr:uid="{B499314F-FCA1-49AC-812C-1ABDBDC8A97D}">
          <x14:formula1>
            <xm:f>ReferentsDPT!A2:A16</xm:f>
          </x14:formula1>
          <xm:sqref>B434</xm:sqref>
        </x14:dataValidation>
        <x14:dataValidation type="list" allowBlank="1" showInputMessage="1" showErrorMessage="1" xr:uid="{164AE27B-12F8-4A51-98D0-937D7D73A220}">
          <x14:formula1>
            <xm:f>ReferentsDPT!A2:A16</xm:f>
          </x14:formula1>
          <xm:sqref>B435</xm:sqref>
        </x14:dataValidation>
        <x14:dataValidation type="list" allowBlank="1" showInputMessage="1" showErrorMessage="1" xr:uid="{AFA6253F-5410-4443-8DF6-7C3C289520D8}">
          <x14:formula1>
            <xm:f>Classes!A2:A4</xm:f>
          </x14:formula1>
          <xm:sqref>E434</xm:sqref>
        </x14:dataValidation>
        <x14:dataValidation type="list" allowBlank="1" showInputMessage="1" showErrorMessage="1" xr:uid="{11D59B28-C997-4F4F-8D53-8CFA8E05330F}">
          <x14:formula1>
            <xm:f>Classes!A2:A4</xm:f>
          </x14:formula1>
          <xm:sqref>E435</xm:sqref>
        </x14:dataValidation>
        <x14:dataValidation type="list" allowBlank="1" showInputMessage="1" showErrorMessage="1" xr:uid="{351601D9-E01C-4267-A7DA-64879E0B4E2E}">
          <x14:formula1>
            <xm:f>ReferentsDPT!A2:A16</xm:f>
          </x14:formula1>
          <xm:sqref>B436:B437</xm:sqref>
        </x14:dataValidation>
        <x14:dataValidation type="list" allowBlank="1" showInputMessage="1" showErrorMessage="1" xr:uid="{3CE8CD9D-C33A-4F10-8917-D6B2753344F6}">
          <x14:formula1>
            <xm:f>Classes!A2:A4</xm:f>
          </x14:formula1>
          <xm:sqref>E436</xm:sqref>
        </x14:dataValidation>
        <x14:dataValidation type="list" allowBlank="1" showInputMessage="1" showErrorMessage="1" xr:uid="{7DA51BE5-F1F6-4CF2-9D7A-365792ABE2FA}">
          <x14:formula1>
            <xm:f>Classes!A2:A4</xm:f>
          </x14:formula1>
          <xm:sqref>E437</xm:sqref>
        </x14:dataValidation>
        <x14:dataValidation type="list" allowBlank="1" showInputMessage="1" showErrorMessage="1" xr:uid="{D06EB3C8-5550-4F6B-A4C7-110D86E2C9BE}">
          <x14:formula1>
            <xm:f>ReferentsDPT!A2:A16</xm:f>
          </x14:formula1>
          <xm:sqref>B438</xm:sqref>
        </x14:dataValidation>
        <x14:dataValidation type="list" allowBlank="1" showInputMessage="1" showErrorMessage="1" xr:uid="{594DB56A-6066-4F86-9386-68565F6A1F01}">
          <x14:formula1>
            <xm:f>Classes!A2:A4</xm:f>
          </x14:formula1>
          <xm:sqref>E438</xm:sqref>
        </x14:dataValidation>
        <x14:dataValidation type="list" allowBlank="1" showInputMessage="1" showErrorMessage="1" xr:uid="{C8E8103F-8362-4C74-8E23-94A2B2DAE85B}">
          <x14:formula1>
            <xm:f>ReferentsDPT!A2:A16</xm:f>
          </x14:formula1>
          <xm:sqref>B439:B442</xm:sqref>
        </x14:dataValidation>
        <x14:dataValidation type="list" allowBlank="1" showInputMessage="1" showErrorMessage="1" xr:uid="{26046044-98D0-49B6-B372-ADDC568DE8B3}">
          <x14:formula1>
            <xm:f>Classes!A2:A4</xm:f>
          </x14:formula1>
          <xm:sqref>E439</xm:sqref>
        </x14:dataValidation>
        <x14:dataValidation type="list" allowBlank="1" showInputMessage="1" showErrorMessage="1" xr:uid="{BFE7CDAC-4FF6-4E17-B84B-7778387B817D}">
          <x14:formula1>
            <xm:f>Classes!A2:A4</xm:f>
          </x14:formula1>
          <xm:sqref>E440</xm:sqref>
        </x14:dataValidation>
        <x14:dataValidation type="list" allowBlank="1" showInputMessage="1" showErrorMessage="1" xr:uid="{27207738-2166-4630-A703-13A1CB5EA152}">
          <x14:formula1>
            <xm:f>Classes!A2:A4</xm:f>
          </x14:formula1>
          <xm:sqref>E441</xm:sqref>
        </x14:dataValidation>
        <x14:dataValidation type="list" allowBlank="1" showInputMessage="1" showErrorMessage="1" xr:uid="{EEE8E411-5A18-4403-98F1-9087B7508515}">
          <x14:formula1>
            <xm:f>Classes!A2:A4</xm:f>
          </x14:formula1>
          <xm:sqref>E442</xm:sqref>
        </x14:dataValidation>
        <x14:dataValidation type="list" allowBlank="1" showInputMessage="1" showErrorMessage="1" xr:uid="{2101670A-03E7-4568-A33D-E0FDB461385A}">
          <x14:formula1>
            <xm:f>ReferentsDPT!A2:A16</xm:f>
          </x14:formula1>
          <xm:sqref>B443</xm:sqref>
        </x14:dataValidation>
        <x14:dataValidation type="list" allowBlank="1" showInputMessage="1" showErrorMessage="1" xr:uid="{C9A3AD87-A060-47F7-AC32-E3F31E0AFB1D}">
          <x14:formula1>
            <xm:f>Classes!A2:A4</xm:f>
          </x14:formula1>
          <xm:sqref>E443</xm:sqref>
        </x14:dataValidation>
        <x14:dataValidation type="list" allowBlank="1" showInputMessage="1" showErrorMessage="1" xr:uid="{F5A7DEA3-55D1-4652-A3B1-73FC321F90D6}">
          <x14:formula1>
            <xm:f>ReferentsDPT!A2:A16</xm:f>
          </x14:formula1>
          <xm:sqref>B444</xm:sqref>
        </x14:dataValidation>
        <x14:dataValidation type="list" allowBlank="1" showInputMessage="1" showErrorMessage="1" xr:uid="{29361303-57F0-47A3-9453-4D2474430491}">
          <x14:formula1>
            <xm:f>Classes!A2:A4</xm:f>
          </x14:formula1>
          <xm:sqref>E444</xm:sqref>
        </x14:dataValidation>
        <x14:dataValidation type="list" allowBlank="1" showInputMessage="1" showErrorMessage="1" xr:uid="{A606B16C-1833-4B4F-BC84-08CB0E261DE5}">
          <x14:formula1>
            <xm:f>ReferentsDPT!A2:A16</xm:f>
          </x14:formula1>
          <xm:sqref>B445</xm:sqref>
        </x14:dataValidation>
        <x14:dataValidation type="list" allowBlank="1" showInputMessage="1" showErrorMessage="1" xr:uid="{C4F368AD-DDDD-42AA-8C61-550D87472E55}">
          <x14:formula1>
            <xm:f>Classes!A2:A4</xm:f>
          </x14:formula1>
          <xm:sqref>E445</xm:sqref>
        </x14:dataValidation>
        <x14:dataValidation type="list" allowBlank="1" showInputMessage="1" showErrorMessage="1" xr:uid="{D8372E38-306C-4EA5-A7F2-149220FBC02F}">
          <x14:formula1>
            <xm:f>ReferentsDPT!A2:A16</xm:f>
          </x14:formula1>
          <xm:sqref>B446</xm:sqref>
        </x14:dataValidation>
        <x14:dataValidation type="list" allowBlank="1" showInputMessage="1" showErrorMessage="1" xr:uid="{347CBCBE-F836-4D91-BC7E-59F013AE648E}">
          <x14:formula1>
            <xm:f>Classes!A2:A4</xm:f>
          </x14:formula1>
          <xm:sqref>E446</xm:sqref>
        </x14:dataValidation>
        <x14:dataValidation type="list" allowBlank="1" showInputMessage="1" showErrorMessage="1" xr:uid="{0AC30452-1A4C-40B8-A31D-3155A5AE7D6F}">
          <x14:formula1>
            <xm:f>ReferentsDPT!A2:A16</xm:f>
          </x14:formula1>
          <xm:sqref>B447</xm:sqref>
        </x14:dataValidation>
        <x14:dataValidation type="list" allowBlank="1" showInputMessage="1" showErrorMessage="1" xr:uid="{5110636A-20B9-433E-9F1F-2857D6060CC4}">
          <x14:formula1>
            <xm:f>Classes!A2:A4</xm:f>
          </x14:formula1>
          <xm:sqref>E447</xm:sqref>
        </x14:dataValidation>
        <x14:dataValidation type="list" allowBlank="1" showInputMessage="1" showErrorMessage="1" xr:uid="{BFFE166E-8EFA-452F-A75A-0E28B3F9B5C8}">
          <x14:formula1>
            <xm:f>ReferentsDPT!A2:A16</xm:f>
          </x14:formula1>
          <xm:sqref>B448</xm:sqref>
        </x14:dataValidation>
        <x14:dataValidation type="list" allowBlank="1" showInputMessage="1" showErrorMessage="1" xr:uid="{7D4ADDAB-7A3A-4073-9C3F-B57E286A1371}">
          <x14:formula1>
            <xm:f>Classes!A2:A4</xm:f>
          </x14:formula1>
          <xm:sqref>E448</xm:sqref>
        </x14:dataValidation>
        <x14:dataValidation type="list" allowBlank="1" showInputMessage="1" showErrorMessage="1" xr:uid="{8BDB63A8-8FB8-4410-B213-5C1419B93294}">
          <x14:formula1>
            <xm:f>ReferentsDPT!A2:A16</xm:f>
          </x14:formula1>
          <xm:sqref>B450</xm:sqref>
        </x14:dataValidation>
        <x14:dataValidation type="list" allowBlank="1" showInputMessage="1" showErrorMessage="1" xr:uid="{CF243D29-7769-4F8C-BC5C-02F9C90AC16B}">
          <x14:formula1>
            <xm:f>Classes!A2:A4</xm:f>
          </x14:formula1>
          <xm:sqref>E450</xm:sqref>
        </x14:dataValidation>
        <x14:dataValidation type="list" allowBlank="1" showInputMessage="1" showErrorMessage="1" xr:uid="{34C5ACD7-0E90-44F1-B3FD-5610E29D49DD}">
          <x14:formula1>
            <xm:f>ReferentsDPT!A2:A16</xm:f>
          </x14:formula1>
          <xm:sqref>B451</xm:sqref>
        </x14:dataValidation>
        <x14:dataValidation type="list" allowBlank="1" showInputMessage="1" showErrorMessage="1" xr:uid="{8942E159-DE1B-4537-98BC-DC7175C7B814}">
          <x14:formula1>
            <xm:f>Classes!A2:A4</xm:f>
          </x14:formula1>
          <xm:sqref>E451</xm:sqref>
        </x14:dataValidation>
        <x14:dataValidation type="list" allowBlank="1" showInputMessage="1" showErrorMessage="1" xr:uid="{5906F384-38CC-46DC-AADA-0D09A4C40057}">
          <x14:formula1>
            <xm:f>ReferentsDPT!A2:A16</xm:f>
          </x14:formula1>
          <xm:sqref>B452</xm:sqref>
        </x14:dataValidation>
        <x14:dataValidation type="list" allowBlank="1" showInputMessage="1" showErrorMessage="1" xr:uid="{6014F1A1-0E79-42D3-B62E-8DD94B7AAF04}">
          <x14:formula1>
            <xm:f>Classes!A2:A4</xm:f>
          </x14:formula1>
          <xm:sqref>E452</xm:sqref>
        </x14:dataValidation>
        <x14:dataValidation type="list" allowBlank="1" showInputMessage="1" showErrorMessage="1" xr:uid="{4854F4EB-0C4F-4469-A949-7530487F806A}">
          <x14:formula1>
            <xm:f>ReferentsDPT!A2:A16</xm:f>
          </x14:formula1>
          <xm:sqref>B454</xm:sqref>
        </x14:dataValidation>
        <x14:dataValidation type="list" allowBlank="1" showInputMessage="1" showErrorMessage="1" xr:uid="{EE9E1458-A8CC-4E47-ACD3-494D032DAA38}">
          <x14:formula1>
            <xm:f>ReferentsDPT!A2:A16</xm:f>
          </x14:formula1>
          <xm:sqref>B455</xm:sqref>
        </x14:dataValidation>
        <x14:dataValidation type="list" allowBlank="1" showInputMessage="1" showErrorMessage="1" xr:uid="{8F9D61AF-A154-4B17-B81C-05C666304B2B}">
          <x14:formula1>
            <xm:f>Classes!A2:A4</xm:f>
          </x14:formula1>
          <xm:sqref>E455</xm:sqref>
        </x14:dataValidation>
        <x14:dataValidation type="list" allowBlank="1" showInputMessage="1" showErrorMessage="1" xr:uid="{E00557C6-9E04-4C7A-B3A2-6D00072517C9}">
          <x14:formula1>
            <xm:f>Classes!A2:A4</xm:f>
          </x14:formula1>
          <xm:sqref>E454</xm:sqref>
        </x14:dataValidation>
        <x14:dataValidation type="list" allowBlank="1" showInputMessage="1" showErrorMessage="1" xr:uid="{36A1A812-9973-4E6D-91A1-DDFA1EE41F08}">
          <x14:formula1>
            <xm:f>ReferentsDPT!A2:A16</xm:f>
          </x14:formula1>
          <xm:sqref>B456</xm:sqref>
        </x14:dataValidation>
        <x14:dataValidation type="list" allowBlank="1" showInputMessage="1" showErrorMessage="1" xr:uid="{9564B728-08BC-4FF4-B2A0-B9875EE4F15D}">
          <x14:formula1>
            <xm:f>ReferentsDPT!A2:A16</xm:f>
          </x14:formula1>
          <xm:sqref>B457</xm:sqref>
        </x14:dataValidation>
        <x14:dataValidation type="list" allowBlank="1" showInputMessage="1" showErrorMessage="1" xr:uid="{F499B4F9-6700-417B-8D68-A5BCF2A63095}">
          <x14:formula1>
            <xm:f>Classes!A2:A4</xm:f>
          </x14:formula1>
          <xm:sqref>E456</xm:sqref>
        </x14:dataValidation>
        <x14:dataValidation type="list" allowBlank="1" showInputMessage="1" showErrorMessage="1" xr:uid="{A678A816-271F-45F1-B002-4810BFD06C44}">
          <x14:formula1>
            <xm:f>ReferentsDPT!A2:A16</xm:f>
          </x14:formula1>
          <xm:sqref>B458</xm:sqref>
        </x14:dataValidation>
        <x14:dataValidation type="list" allowBlank="1" showInputMessage="1" showErrorMessage="1" xr:uid="{753A87C9-BB8D-4071-82DA-4340A1B4A4E8}">
          <x14:formula1>
            <xm:f>ReferentsDPT!A2:A16</xm:f>
          </x14:formula1>
          <xm:sqref>B459</xm:sqref>
        </x14:dataValidation>
        <x14:dataValidation type="list" allowBlank="1" showInputMessage="1" showErrorMessage="1" xr:uid="{87D6BACC-79C0-4939-94D1-E0848D14A400}">
          <x14:formula1>
            <xm:f>Classes!A2:A4</xm:f>
          </x14:formula1>
          <xm:sqref>E458</xm:sqref>
        </x14:dataValidation>
        <x14:dataValidation type="list" allowBlank="1" showInputMessage="1" showErrorMessage="1" xr:uid="{33D99426-8638-4D1E-A562-C6433064831B}">
          <x14:formula1>
            <xm:f>Classes!A2:A4</xm:f>
          </x14:formula1>
          <xm:sqref>E457</xm:sqref>
        </x14:dataValidation>
        <x14:dataValidation type="list" allowBlank="1" showInputMessage="1" showErrorMessage="1" xr:uid="{4745CBC3-16AD-4C64-8FA3-6F690B17A795}">
          <x14:formula1>
            <xm:f>ReferentsDPT!A2:A16</xm:f>
          </x14:formula1>
          <xm:sqref>B460</xm:sqref>
        </x14:dataValidation>
        <x14:dataValidation type="list" allowBlank="1" showInputMessage="1" showErrorMessage="1" xr:uid="{5E246467-5903-463D-B425-8B47F203C566}">
          <x14:formula1>
            <xm:f>Classes!A2:A4</xm:f>
          </x14:formula1>
          <xm:sqref>E459</xm:sqref>
        </x14:dataValidation>
        <x14:dataValidation type="list" allowBlank="1" showInputMessage="1" showErrorMessage="1" xr:uid="{08D44DB0-4C5D-4263-AEAB-0BC025457AD5}">
          <x14:formula1>
            <xm:f>Classes!A2:A4</xm:f>
          </x14:formula1>
          <xm:sqref>E460</xm:sqref>
        </x14:dataValidation>
        <x14:dataValidation type="list" allowBlank="1" showInputMessage="1" showErrorMessage="1" xr:uid="{35FD08AC-26AE-41D9-890A-681EFDAAD075}">
          <x14:formula1>
            <xm:f>ReferentsDPT!A2:A16</xm:f>
          </x14:formula1>
          <xm:sqref>B461</xm:sqref>
        </x14:dataValidation>
        <x14:dataValidation type="list" allowBlank="1" showInputMessage="1" showErrorMessage="1" xr:uid="{E8DE73DF-60DD-49A8-BCDE-9837E54A8A20}">
          <x14:formula1>
            <xm:f>Classes!A2:A4</xm:f>
          </x14:formula1>
          <xm:sqref>E461</xm:sqref>
        </x14:dataValidation>
        <x14:dataValidation type="list" allowBlank="1" showInputMessage="1" showErrorMessage="1" xr:uid="{56B6DEC2-C5AA-4ED1-BB84-A38EAC7B9EBB}">
          <x14:formula1>
            <xm:f>ReferentsDPT!A2:A16</xm:f>
          </x14:formula1>
          <xm:sqref>B462</xm:sqref>
        </x14:dataValidation>
        <x14:dataValidation type="list" allowBlank="1" showInputMessage="1" showErrorMessage="1" xr:uid="{DAA7AC5D-E2D2-4D66-9542-DF78CF6D2DE3}">
          <x14:formula1>
            <xm:f>Classes!A2:A4</xm:f>
          </x14:formula1>
          <xm:sqref>E462</xm:sqref>
        </x14:dataValidation>
        <x14:dataValidation type="list" allowBlank="1" showInputMessage="1" showErrorMessage="1" xr:uid="{FE52DD41-7168-49D3-A082-0FC4B0DF4141}">
          <x14:formula1>
            <xm:f>ReferentsDPT!A2:A16</xm:f>
          </x14:formula1>
          <xm:sqref>B463</xm:sqref>
        </x14:dataValidation>
        <x14:dataValidation type="list" allowBlank="1" showInputMessage="1" showErrorMessage="1" xr:uid="{3628737D-34FE-46A1-A529-A937D60ABDB6}">
          <x14:formula1>
            <xm:f>Classes!A2:A4</xm:f>
          </x14:formula1>
          <xm:sqref>E463</xm:sqref>
        </x14:dataValidation>
        <x14:dataValidation type="list" allowBlank="1" showInputMessage="1" showErrorMessage="1" xr:uid="{08925B26-0263-4C3D-8789-99AD608C4956}">
          <x14:formula1>
            <xm:f>ReferentsDPT!A2:A16</xm:f>
          </x14:formula1>
          <xm:sqref>B465</xm:sqref>
        </x14:dataValidation>
        <x14:dataValidation type="list" allowBlank="1" showInputMessage="1" showErrorMessage="1" xr:uid="{ADD52E4B-A239-44CA-BAE8-EBF70E8C88EF}">
          <x14:formula1>
            <xm:f>ReferentsDPT!A2:A16</xm:f>
          </x14:formula1>
          <xm:sqref>B466</xm:sqref>
        </x14:dataValidation>
        <x14:dataValidation type="list" allowBlank="1" showInputMessage="1" showErrorMessage="1" xr:uid="{1A71764A-D321-414E-9CAA-E51A58FDE6AC}">
          <x14:formula1>
            <xm:f>Classes!A2:A4</xm:f>
          </x14:formula1>
          <xm:sqref>E465</xm:sqref>
        </x14:dataValidation>
        <x14:dataValidation type="list" allowBlank="1" showInputMessage="1" showErrorMessage="1" xr:uid="{5EC7189C-28C5-494A-9EA9-55CC9015BDE5}">
          <x14:formula1>
            <xm:f>Classes!A2:A4</xm:f>
          </x14:formula1>
          <xm:sqref>E466</xm:sqref>
        </x14:dataValidation>
        <x14:dataValidation type="list" allowBlank="1" showInputMessage="1" showErrorMessage="1" xr:uid="{538387E9-F90A-45B1-8396-028CB766C323}">
          <x14:formula1>
            <xm:f>ReferentsDPT!A2:A16</xm:f>
          </x14:formula1>
          <xm:sqref>B467</xm:sqref>
        </x14:dataValidation>
        <x14:dataValidation type="list" allowBlank="1" showInputMessage="1" showErrorMessage="1" xr:uid="{C3428FE3-BA5E-4370-870E-81365325EDF3}">
          <x14:formula1>
            <xm:f>Classes!A2:A4</xm:f>
          </x14:formula1>
          <xm:sqref>E467</xm:sqref>
        </x14:dataValidation>
        <x14:dataValidation type="list" allowBlank="1" showInputMessage="1" showErrorMessage="1" xr:uid="{57746F1D-083D-4F28-82D8-FD3BAF944554}">
          <x14:formula1>
            <xm:f>ReferentsDPT!A2:A16</xm:f>
          </x14:formula1>
          <xm:sqref>B468</xm:sqref>
        </x14:dataValidation>
        <x14:dataValidation type="list" allowBlank="1" showInputMessage="1" showErrorMessage="1" xr:uid="{9ABABB8C-95A1-4301-845B-BFCB84F55B83}">
          <x14:formula1>
            <xm:f>Classes!A2:A4</xm:f>
          </x14:formula1>
          <xm:sqref>E468</xm:sqref>
        </x14:dataValidation>
        <x14:dataValidation type="list" allowBlank="1" showInputMessage="1" showErrorMessage="1" xr:uid="{C51718CB-0456-4601-9DF3-6385F3149F6E}">
          <x14:formula1>
            <xm:f>ReferentsDPT!A2:A16</xm:f>
          </x14:formula1>
          <xm:sqref>B469</xm:sqref>
        </x14:dataValidation>
        <x14:dataValidation type="list" allowBlank="1" showInputMessage="1" showErrorMessage="1" xr:uid="{3BDF0D24-1BED-4337-B5C9-29047509DC70}">
          <x14:formula1>
            <xm:f>Classes!A2:A4</xm:f>
          </x14:formula1>
          <xm:sqref>E469</xm:sqref>
        </x14:dataValidation>
        <x14:dataValidation type="list" allowBlank="1" showInputMessage="1" showErrorMessage="1" xr:uid="{A92902AB-C3AB-487D-BD28-05E6030CD9E1}">
          <x14:formula1>
            <xm:f>ReferentsDPT!A2:A16</xm:f>
          </x14:formula1>
          <xm:sqref>B470</xm:sqref>
        </x14:dataValidation>
        <x14:dataValidation type="list" allowBlank="1" showInputMessage="1" showErrorMessage="1" xr:uid="{1626643A-AC06-43C8-91C1-D3B96C47E5AB}">
          <x14:formula1>
            <xm:f>Classes!A2:A4</xm:f>
          </x14:formula1>
          <xm:sqref>E470</xm:sqref>
        </x14:dataValidation>
        <x14:dataValidation type="list" allowBlank="1" showInputMessage="1" showErrorMessage="1" xr:uid="{28F1E4AF-9EA3-46ED-9FB0-43F5E7955576}">
          <x14:formula1>
            <xm:f>ReferentsDPT!A2:A16</xm:f>
          </x14:formula1>
          <xm:sqref>B471</xm:sqref>
        </x14:dataValidation>
        <x14:dataValidation type="list" allowBlank="1" showInputMessage="1" showErrorMessage="1" xr:uid="{D0EA9F76-798F-48D4-9CFF-4CBC1FDE8261}">
          <x14:formula1>
            <xm:f>ReferentsDPT!A2:A16</xm:f>
          </x14:formula1>
          <xm:sqref>B472</xm:sqref>
        </x14:dataValidation>
        <x14:dataValidation type="list" allowBlank="1" showInputMessage="1" showErrorMessage="1" xr:uid="{92D43555-C4E9-4E7D-A4DA-791334228486}">
          <x14:formula1>
            <xm:f>ReferentsDPT!A2:A16</xm:f>
          </x14:formula1>
          <xm:sqref>B473</xm:sqref>
        </x14:dataValidation>
        <x14:dataValidation type="list" allowBlank="1" showInputMessage="1" showErrorMessage="1" xr:uid="{900A64B5-73D1-40EF-A6A0-477969B40C18}">
          <x14:formula1>
            <xm:f>ReferentsDPT!A2:A16</xm:f>
          </x14:formula1>
          <xm:sqref>B474</xm:sqref>
        </x14:dataValidation>
        <x14:dataValidation type="list" allowBlank="1" showInputMessage="1" showErrorMessage="1" xr:uid="{B8233F02-A544-40E2-B66B-DF2D9AD5FDB2}">
          <x14:formula1>
            <xm:f>ReferentsDPT!A2:A16</xm:f>
          </x14:formula1>
          <xm:sqref>B475</xm:sqref>
        </x14:dataValidation>
        <x14:dataValidation type="list" allowBlank="1" showInputMessage="1" showErrorMessage="1" xr:uid="{EA169D09-0610-4259-92BC-47C366B92D5F}">
          <x14:formula1>
            <xm:f>Classes!A2:A4</xm:f>
          </x14:formula1>
          <xm:sqref>E472</xm:sqref>
        </x14:dataValidation>
        <x14:dataValidation type="list" allowBlank="1" showInputMessage="1" showErrorMessage="1" xr:uid="{3C400B66-DB75-476B-89F2-AC81C220E91F}">
          <x14:formula1>
            <xm:f>Classes!A2:A4</xm:f>
          </x14:formula1>
          <xm:sqref>E473</xm:sqref>
        </x14:dataValidation>
        <x14:dataValidation type="list" allowBlank="1" showInputMessage="1" showErrorMessage="1" xr:uid="{5FFD76C0-35B7-492C-A6F6-39092447F3B4}">
          <x14:formula1>
            <xm:f>Classes!A2:A4</xm:f>
          </x14:formula1>
          <xm:sqref>E474</xm:sqref>
        </x14:dataValidation>
        <x14:dataValidation type="list" allowBlank="1" showInputMessage="1" showErrorMessage="1" xr:uid="{4A568610-097A-4AC5-A97C-DAC6F979F4BA}">
          <x14:formula1>
            <xm:f>Classes!A2:A4</xm:f>
          </x14:formula1>
          <xm:sqref>E475</xm:sqref>
        </x14:dataValidation>
        <x14:dataValidation type="list" allowBlank="1" showInputMessage="1" showErrorMessage="1" xr:uid="{43261F86-649D-47DA-8A27-55C79F7B1E25}">
          <x14:formula1>
            <xm:f>Classes!A2:A4</xm:f>
          </x14:formula1>
          <xm:sqref>E471</xm:sqref>
        </x14:dataValidation>
        <x14:dataValidation type="list" allowBlank="1" showInputMessage="1" showErrorMessage="1" xr:uid="{446EB240-B3F8-419E-88A0-761D2E177938}">
          <x14:formula1>
            <xm:f>ReferentsDPT!A2:A16</xm:f>
          </x14:formula1>
          <xm:sqref>B476</xm:sqref>
        </x14:dataValidation>
        <x14:dataValidation type="list" allowBlank="1" showInputMessage="1" showErrorMessage="1" xr:uid="{E2A5A337-6DED-46BA-9CCE-A3A94B934A21}">
          <x14:formula1>
            <xm:f>Classes!A2:A4</xm:f>
          </x14:formula1>
          <xm:sqref>E476</xm:sqref>
        </x14:dataValidation>
        <x14:dataValidation type="list" allowBlank="1" showInputMessage="1" showErrorMessage="1" xr:uid="{A1E9FCFD-6302-4316-8202-78AA2E69BE20}">
          <x14:formula1>
            <xm:f>ReferentsDPT!A2:A16</xm:f>
          </x14:formula1>
          <xm:sqref>B477</xm:sqref>
        </x14:dataValidation>
        <x14:dataValidation type="list" allowBlank="1" showInputMessage="1" showErrorMessage="1" xr:uid="{6F0658E4-2DA8-41E2-88B9-300C55B23004}">
          <x14:formula1>
            <xm:f>Classes!A2:A4</xm:f>
          </x14:formula1>
          <xm:sqref>E477</xm:sqref>
        </x14:dataValidation>
        <x14:dataValidation type="list" allowBlank="1" showInputMessage="1" showErrorMessage="1" xr:uid="{E2D7F9ED-A6C2-4A5B-9ED6-A935DED4DBAD}">
          <x14:formula1>
            <xm:f>ReferentsDPT!A2:A16</xm:f>
          </x14:formula1>
          <xm:sqref>B478</xm:sqref>
        </x14:dataValidation>
        <x14:dataValidation type="list" allowBlank="1" showInputMessage="1" showErrorMessage="1" xr:uid="{95A44247-1C7F-46B1-AD1C-0EA61801F118}">
          <x14:formula1>
            <xm:f>Classes!A2:A4</xm:f>
          </x14:formula1>
          <xm:sqref>E478</xm:sqref>
        </x14:dataValidation>
        <x14:dataValidation type="list" allowBlank="1" showInputMessage="1" showErrorMessage="1" xr:uid="{BF44DD68-774B-4C1B-88C3-0E460CEEC405}">
          <x14:formula1>
            <xm:f>ReferentsDPT!A2:A16</xm:f>
          </x14:formula1>
          <xm:sqref>B479:B482</xm:sqref>
        </x14:dataValidation>
        <x14:dataValidation type="list" allowBlank="1" showInputMessage="1" showErrorMessage="1" xr:uid="{E51B1951-31A1-42F3-B953-D86628045C70}">
          <x14:formula1>
            <xm:f>Classes!A2:A4</xm:f>
          </x14:formula1>
          <xm:sqref>E479</xm:sqref>
        </x14:dataValidation>
        <x14:dataValidation type="list" allowBlank="1" showInputMessage="1" showErrorMessage="1" xr:uid="{50A69455-4A59-4124-8B93-A37573FC9374}">
          <x14:formula1>
            <xm:f>Classes!A2:A4</xm:f>
          </x14:formula1>
          <xm:sqref>E480</xm:sqref>
        </x14:dataValidation>
        <x14:dataValidation type="list" allowBlank="1" showInputMessage="1" showErrorMessage="1" xr:uid="{A5F270A9-7283-4D2D-886E-0692E216BAC9}">
          <x14:formula1>
            <xm:f>Classes!A2:A4</xm:f>
          </x14:formula1>
          <xm:sqref>E481</xm:sqref>
        </x14:dataValidation>
        <x14:dataValidation type="list" allowBlank="1" showInputMessage="1" showErrorMessage="1" xr:uid="{88F9BA6C-C590-4E51-B796-28E9E4C73A96}">
          <x14:formula1>
            <xm:f>Classes!A2:A4</xm:f>
          </x14:formula1>
          <xm:sqref>E482</xm:sqref>
        </x14:dataValidation>
        <x14:dataValidation type="list" allowBlank="1" showInputMessage="1" showErrorMessage="1" xr:uid="{4EE7C8D2-5BE1-4C4F-B0DB-C80ACEFF38EB}">
          <x14:formula1>
            <xm:f>ReferentsDPT!A2:A16</xm:f>
          </x14:formula1>
          <xm:sqref>B428</xm:sqref>
        </x14:dataValidation>
        <x14:dataValidation type="list" allowBlank="1" showInputMessage="1" showErrorMessage="1" xr:uid="{19E4D24E-0819-49CD-A0AB-6E3C9548F2FA}">
          <x14:formula1>
            <xm:f>ReferentsDPT!A2:A16</xm:f>
          </x14:formula1>
          <xm:sqref>B483</xm:sqref>
        </x14:dataValidation>
        <x14:dataValidation type="list" allowBlank="1" showInputMessage="1" showErrorMessage="1" xr:uid="{21A44516-4670-46AB-A965-4F38EE6615B9}">
          <x14:formula1>
            <xm:f>Classes!A2:A4</xm:f>
          </x14:formula1>
          <xm:sqref>E483</xm:sqref>
        </x14:dataValidation>
        <x14:dataValidation type="list" allowBlank="1" showInputMessage="1" showErrorMessage="1" xr:uid="{2B343D42-2068-45ED-AF58-DEA27847EBD4}">
          <x14:formula1>
            <xm:f>ReferentsDPT!A2:A16</xm:f>
          </x14:formula1>
          <xm:sqref>B484</xm:sqref>
        </x14:dataValidation>
        <x14:dataValidation type="list" allowBlank="1" showInputMessage="1" showErrorMessage="1" xr:uid="{E500F99E-0E12-47BE-9CCB-043B497BD375}">
          <x14:formula1>
            <xm:f>Classes!A2:A4</xm:f>
          </x14:formula1>
          <xm:sqref>E484</xm:sqref>
        </x14:dataValidation>
        <x14:dataValidation type="list" allowBlank="1" showInputMessage="1" showErrorMessage="1" xr:uid="{D9543597-0A7D-48B6-93E8-CA759D473B60}">
          <x14:formula1>
            <xm:f>ReferentsDPT!A2:A16</xm:f>
          </x14:formula1>
          <xm:sqref>B485</xm:sqref>
        </x14:dataValidation>
        <x14:dataValidation type="list" allowBlank="1" showInputMessage="1" showErrorMessage="1" xr:uid="{50004ABB-571A-46F0-9E5E-FCFD722B63F7}">
          <x14:formula1>
            <xm:f>Classes!A2:A4</xm:f>
          </x14:formula1>
          <xm:sqref>E485</xm:sqref>
        </x14:dataValidation>
        <x14:dataValidation type="list" allowBlank="1" showInputMessage="1" showErrorMessage="1" xr:uid="{B8C93AD2-D17C-4FF2-8532-F2C5F7A732E6}">
          <x14:formula1>
            <xm:f>ReferentsDPT!A2:A16</xm:f>
          </x14:formula1>
          <xm:sqref>B486</xm:sqref>
        </x14:dataValidation>
        <x14:dataValidation type="list" allowBlank="1" showInputMessage="1" showErrorMessage="1" xr:uid="{8F607553-8EBE-44F3-90A5-B87C6137C622}">
          <x14:formula1>
            <xm:f>Classes!A2:A4</xm:f>
          </x14:formula1>
          <xm:sqref>E486</xm:sqref>
        </x14:dataValidation>
        <x14:dataValidation type="list" allowBlank="1" showInputMessage="1" showErrorMessage="1" xr:uid="{76BC0499-1927-46CE-82BE-52B37F510621}">
          <x14:formula1>
            <xm:f>ReferentsDPT!A2:A16</xm:f>
          </x14:formula1>
          <xm:sqref>B487</xm:sqref>
        </x14:dataValidation>
        <x14:dataValidation type="list" allowBlank="1" showInputMessage="1" showErrorMessage="1" xr:uid="{562B127E-4D0A-4E29-B0CB-C23E247E1F9C}">
          <x14:formula1>
            <xm:f>Classes!A2:A4</xm:f>
          </x14:formula1>
          <xm:sqref>E487</xm:sqref>
        </x14:dataValidation>
        <x14:dataValidation type="list" allowBlank="1" showInputMessage="1" showErrorMessage="1" xr:uid="{B63F627C-74BC-4AD5-8C10-60BB2E4C66FE}">
          <x14:formula1>
            <xm:f>ReferentsDPT!A2:A16</xm:f>
          </x14:formula1>
          <xm:sqref>B489</xm:sqref>
        </x14:dataValidation>
        <x14:dataValidation type="list" allowBlank="1" showInputMessage="1" showErrorMessage="1" xr:uid="{2D91BEB0-742E-4B76-B646-414E86744B7B}">
          <x14:formula1>
            <xm:f>ReferentsDPT!A2:A16</xm:f>
          </x14:formula1>
          <xm:sqref>B490</xm:sqref>
        </x14:dataValidation>
        <x14:dataValidation type="list" allowBlank="1" showInputMessage="1" showErrorMessage="1" xr:uid="{A6A720EB-CEFF-432F-AF61-431CC1D50DB3}">
          <x14:formula1>
            <xm:f>Classes!A2:A4</xm:f>
          </x14:formula1>
          <xm:sqref>E490</xm:sqref>
        </x14:dataValidation>
        <x14:dataValidation type="list" allowBlank="1" showInputMessage="1" showErrorMessage="1" xr:uid="{79D6C793-12FA-4937-BD88-D65B03BACE34}">
          <x14:formula1>
            <xm:f>ReferentsDPT!A2:A16</xm:f>
          </x14:formula1>
          <xm:sqref>B491</xm:sqref>
        </x14:dataValidation>
        <x14:dataValidation type="list" allowBlank="1" showInputMessage="1" showErrorMessage="1" xr:uid="{463F9C15-74A9-48D1-BE80-B65CC3F05234}">
          <x14:formula1>
            <xm:f>Classes!A2:A4</xm:f>
          </x14:formula1>
          <xm:sqref>E491</xm:sqref>
        </x14:dataValidation>
        <x14:dataValidation type="list" allowBlank="1" showInputMessage="1" showErrorMessage="1" xr:uid="{793AEB6B-1549-4849-A946-79508775CE2B}">
          <x14:formula1>
            <xm:f>ReferentsDPT!A2:A16</xm:f>
          </x14:formula1>
          <xm:sqref>B492</xm:sqref>
        </x14:dataValidation>
        <x14:dataValidation type="list" allowBlank="1" showInputMessage="1" showErrorMessage="1" xr:uid="{37F5826D-AD35-4EA3-9E48-1303001F3603}">
          <x14:formula1>
            <xm:f>ReferentsDPT!A2:A16</xm:f>
          </x14:formula1>
          <xm:sqref>B493</xm:sqref>
        </x14:dataValidation>
        <x14:dataValidation type="list" allowBlank="1" showInputMessage="1" showErrorMessage="1" xr:uid="{BE47BA11-6523-4912-9698-95A2E98ADDCB}">
          <x14:formula1>
            <xm:f>ReferentsDPT!A2:A16</xm:f>
          </x14:formula1>
          <xm:sqref>B494</xm:sqref>
        </x14:dataValidation>
        <x14:dataValidation type="list" allowBlank="1" showInputMessage="1" showErrorMessage="1" xr:uid="{F4C74ACD-9971-47D1-BF33-F1FC6E3F799B}">
          <x14:formula1>
            <xm:f>ReferentsDPT!A2:A16</xm:f>
          </x14:formula1>
          <xm:sqref>B495</xm:sqref>
        </x14:dataValidation>
        <x14:dataValidation type="list" allowBlank="1" showInputMessage="1" showErrorMessage="1" xr:uid="{2F81B06B-A31C-4807-AE3A-6C4D1EC9FEAB}">
          <x14:formula1>
            <xm:f>Classes!A2:A4</xm:f>
          </x14:formula1>
          <xm:sqref>E492</xm:sqref>
        </x14:dataValidation>
        <x14:dataValidation type="list" allowBlank="1" showInputMessage="1" showErrorMessage="1" xr:uid="{54327B82-87F8-4417-BF36-915ED3D2C6EA}">
          <x14:formula1>
            <xm:f>Classes!A2:A4</xm:f>
          </x14:formula1>
          <xm:sqref>E493</xm:sqref>
        </x14:dataValidation>
        <x14:dataValidation type="list" allowBlank="1" showInputMessage="1" showErrorMessage="1" xr:uid="{25F39C4A-D5BC-4F59-868E-3CF66E6E8EF1}">
          <x14:formula1>
            <xm:f>Classes!A2:A4</xm:f>
          </x14:formula1>
          <xm:sqref>E494</xm:sqref>
        </x14:dataValidation>
        <x14:dataValidation type="list" allowBlank="1" showInputMessage="1" showErrorMessage="1" xr:uid="{6BC12D7A-1CCD-4B43-9166-3F258375B7C3}">
          <x14:formula1>
            <xm:f>Classes!A2:A4</xm:f>
          </x14:formula1>
          <xm:sqref>E495</xm:sqref>
        </x14:dataValidation>
        <x14:dataValidation type="list" allowBlank="1" showInputMessage="1" showErrorMessage="1" xr:uid="{9D8A9356-8282-4C3E-BC31-A923E3C9793E}">
          <x14:formula1>
            <xm:f>ReferentsDPT!A2:A16</xm:f>
          </x14:formula1>
          <xm:sqref>B496</xm:sqref>
        </x14:dataValidation>
        <x14:dataValidation type="list" allowBlank="1" showInputMessage="1" showErrorMessage="1" xr:uid="{88D4DC21-B13D-4BAE-93D9-F101B8EEF5BB}">
          <x14:formula1>
            <xm:f>Classes!A2:A4</xm:f>
          </x14:formula1>
          <xm:sqref>E496</xm:sqref>
        </x14:dataValidation>
        <x14:dataValidation type="list" allowBlank="1" showInputMessage="1" showErrorMessage="1" xr:uid="{4AC7D418-7272-424D-9E94-BBB8D97CD5DF}">
          <x14:formula1>
            <xm:f>ReferentsDPT!A2:A16</xm:f>
          </x14:formula1>
          <xm:sqref>B497</xm:sqref>
        </x14:dataValidation>
        <x14:dataValidation type="list" allowBlank="1" showInputMessage="1" showErrorMessage="1" xr:uid="{7653C1E5-0B47-4CCF-AEA6-4BDC8B65B161}">
          <x14:formula1>
            <xm:f>Classes!A2:A4</xm:f>
          </x14:formula1>
          <xm:sqref>E497</xm:sqref>
        </x14:dataValidation>
        <x14:dataValidation type="list" allowBlank="1" showInputMessage="1" showErrorMessage="1" xr:uid="{63608BDE-E6AF-4B80-A7AC-5B4CB9E22DE4}">
          <x14:formula1>
            <xm:f>ReferentsDPT!A2:A16</xm:f>
          </x14:formula1>
          <xm:sqref>B498</xm:sqref>
        </x14:dataValidation>
        <x14:dataValidation type="list" allowBlank="1" showInputMessage="1" showErrorMessage="1" xr:uid="{64266B3D-8196-44FA-939D-9BDC25646820}">
          <x14:formula1>
            <xm:f>Classes!A2:A4</xm:f>
          </x14:formula1>
          <xm:sqref>E498</xm:sqref>
        </x14:dataValidation>
        <x14:dataValidation type="list" allowBlank="1" showInputMessage="1" showErrorMessage="1" xr:uid="{8BACEC9C-A79A-44F4-BAD6-EAB7C443D5E1}">
          <x14:formula1>
            <xm:f>ReferentsDPT!A2:A16</xm:f>
          </x14:formula1>
          <xm:sqref>B499</xm:sqref>
        </x14:dataValidation>
        <x14:dataValidation type="list" allowBlank="1" showInputMessage="1" showErrorMessage="1" xr:uid="{A82C36BD-0379-48FD-963F-192945145B98}">
          <x14:formula1>
            <xm:f>Classes!A2:A4</xm:f>
          </x14:formula1>
          <xm:sqref>E499</xm:sqref>
        </x14:dataValidation>
        <x14:dataValidation type="list" allowBlank="1" showInputMessage="1" showErrorMessage="1" xr:uid="{28FFB8CC-D641-4930-83AF-92A0B21F2052}">
          <x14:formula1>
            <xm:f>Classes!A2:A4</xm:f>
          </x14:formula1>
          <xm:sqref>E500</xm:sqref>
        </x14:dataValidation>
        <x14:dataValidation type="list" allowBlank="1" showInputMessage="1" showErrorMessage="1" xr:uid="{9D1EC6B9-7F80-4CE5-A032-4907C9750D54}">
          <x14:formula1>
            <xm:f>ReferentsDPT!A2:A16</xm:f>
          </x14:formula1>
          <xm:sqref>B501</xm:sqref>
        </x14:dataValidation>
        <x14:dataValidation type="list" allowBlank="1" showInputMessage="1" showErrorMessage="1" xr:uid="{E2F085FB-E707-49FB-9A17-6B1BC3A5801E}">
          <x14:formula1>
            <xm:f>Classes!A2:A4</xm:f>
          </x14:formula1>
          <xm:sqref>E501</xm:sqref>
        </x14:dataValidation>
        <x14:dataValidation type="list" allowBlank="1" showInputMessage="1" showErrorMessage="1" xr:uid="{8DD13B64-9F6E-4581-82E1-4C048503936E}">
          <x14:formula1>
            <xm:f>ReferentsDPT!A2:A16</xm:f>
          </x14:formula1>
          <xm:sqref>B500</xm:sqref>
        </x14:dataValidation>
        <x14:dataValidation type="list" allowBlank="1" showInputMessage="1" showErrorMessage="1" xr:uid="{D105B507-B9D5-4CD4-B256-FCCF13B7C825}">
          <x14:formula1>
            <xm:f>ReferentsDPT!A2:A16</xm:f>
          </x14:formula1>
          <xm:sqref>B502</xm:sqref>
        </x14:dataValidation>
        <x14:dataValidation type="list" allowBlank="1" showInputMessage="1" showErrorMessage="1" xr:uid="{A6166D1D-2A38-4DD2-BAAA-F8791E07AB4C}">
          <x14:formula1>
            <xm:f>Classes!A2:A4</xm:f>
          </x14:formula1>
          <xm:sqref>E502</xm:sqref>
        </x14:dataValidation>
        <x14:dataValidation type="list" allowBlank="1" showInputMessage="1" showErrorMessage="1" xr:uid="{62E7ABDF-F44B-4867-B6CA-9389752A64A2}">
          <x14:formula1>
            <xm:f>ReferentsDPT!A2:A16</xm:f>
          </x14:formula1>
          <xm:sqref>B507:B508</xm:sqref>
        </x14:dataValidation>
        <x14:dataValidation type="list" allowBlank="1" showInputMessage="1" showErrorMessage="1" xr:uid="{E5597149-6671-43D6-99E4-26BF4CA4E08C}">
          <x14:formula1>
            <xm:f>Classes!A2:A4</xm:f>
          </x14:formula1>
          <xm:sqref>E507</xm:sqref>
        </x14:dataValidation>
        <x14:dataValidation type="list" allowBlank="1" showInputMessage="1" showErrorMessage="1" xr:uid="{5D9B8874-2335-49AB-A24C-4C679C3D80C9}">
          <x14:formula1>
            <xm:f>Classes!A2:A4</xm:f>
          </x14:formula1>
          <xm:sqref>E508</xm:sqref>
        </x14:dataValidation>
        <x14:dataValidation type="list" allowBlank="1" showInputMessage="1" showErrorMessage="1" xr:uid="{38BC494B-400C-4391-8093-EBFF71278A98}">
          <x14:formula1>
            <xm:f>ReferentsDPT!A2:A16</xm:f>
          </x14:formula1>
          <xm:sqref>B509</xm:sqref>
        </x14:dataValidation>
        <x14:dataValidation type="list" allowBlank="1" showInputMessage="1" showErrorMessage="1" xr:uid="{53379841-CF5E-4D85-B81A-77FAF1979AE0}">
          <x14:formula1>
            <xm:f>Classes!A2:A4</xm:f>
          </x14:formula1>
          <xm:sqref>E509</xm:sqref>
        </x14:dataValidation>
        <x14:dataValidation type="list" allowBlank="1" showInputMessage="1" showErrorMessage="1" xr:uid="{7A615AD6-D767-4747-9925-0256FACB7247}">
          <x14:formula1>
            <xm:f>ReferentsDPT!A2:A16</xm:f>
          </x14:formula1>
          <xm:sqref>B510</xm:sqref>
        </x14:dataValidation>
        <x14:dataValidation type="list" allowBlank="1" showInputMessage="1" showErrorMessage="1" xr:uid="{7A8D9FEE-4D44-4893-852E-B8D6CCBCEE58}">
          <x14:formula1>
            <xm:f>Classes!A2:A4</xm:f>
          </x14:formula1>
          <xm:sqref>E510</xm:sqref>
        </x14:dataValidation>
        <x14:dataValidation type="list" allowBlank="1" showInputMessage="1" showErrorMessage="1" xr:uid="{02EAD4F7-E518-4BCE-87F6-1D4636E96358}">
          <x14:formula1>
            <xm:f>ReferentsDPT!A2:A16</xm:f>
          </x14:formula1>
          <xm:sqref>B511</xm:sqref>
        </x14:dataValidation>
        <x14:dataValidation type="list" allowBlank="1" showInputMessage="1" showErrorMessage="1" xr:uid="{87CB214A-077E-4997-8593-4436CBD501DB}">
          <x14:formula1>
            <xm:f>Classes!A2:A4</xm:f>
          </x14:formula1>
          <xm:sqref>E511</xm:sqref>
        </x14:dataValidation>
        <x14:dataValidation type="list" allowBlank="1" showInputMessage="1" showErrorMessage="1" xr:uid="{4CF65345-23DE-418B-B059-69B05C9858D6}">
          <x14:formula1>
            <xm:f>ReferentsDPT!A2:A16</xm:f>
          </x14:formula1>
          <xm:sqref>B512</xm:sqref>
        </x14:dataValidation>
        <x14:dataValidation type="list" allowBlank="1" showInputMessage="1" showErrorMessage="1" xr:uid="{FCE0E35E-3BE8-45B7-B882-719DDAA10D4D}">
          <x14:formula1>
            <xm:f>Classes!A2:A4</xm:f>
          </x14:formula1>
          <xm:sqref>E512</xm:sqref>
        </x14:dataValidation>
        <x14:dataValidation type="list" allowBlank="1" showInputMessage="1" showErrorMessage="1" xr:uid="{FDEB699D-519F-466D-AF38-5C92B674A27F}">
          <x14:formula1>
            <xm:f>ReferentsDPT!A2:A16</xm:f>
          </x14:formula1>
          <xm:sqref>B513</xm:sqref>
        </x14:dataValidation>
        <x14:dataValidation type="list" allowBlank="1" showInputMessage="1" showErrorMessage="1" xr:uid="{DEA70CCE-CEBE-40C9-947C-5006DCFF6860}">
          <x14:formula1>
            <xm:f>Classes!A2:A4</xm:f>
          </x14:formula1>
          <xm:sqref>E513</xm:sqref>
        </x14:dataValidation>
        <x14:dataValidation type="list" allowBlank="1" showInputMessage="1" showErrorMessage="1" xr:uid="{B1946882-1D60-4F78-85B1-D058A3041172}">
          <x14:formula1>
            <xm:f>ReferentsDPT!A2:A16</xm:f>
          </x14:formula1>
          <xm:sqref>B514</xm:sqref>
        </x14:dataValidation>
        <x14:dataValidation type="list" allowBlank="1" showInputMessage="1" showErrorMessage="1" xr:uid="{053E275B-AFB3-43A3-8F44-1907574C083D}">
          <x14:formula1>
            <xm:f>Classes!A2:A4</xm:f>
          </x14:formula1>
          <xm:sqref>E514</xm:sqref>
        </x14:dataValidation>
        <x14:dataValidation type="list" allowBlank="1" showInputMessage="1" showErrorMessage="1" xr:uid="{002D2C5F-5AB4-4EC7-8B88-1E84F8FE13A0}">
          <x14:formula1>
            <xm:f>ReferentsDPT!A2:A16</xm:f>
          </x14:formula1>
          <xm:sqref>B515</xm:sqref>
        </x14:dataValidation>
        <x14:dataValidation type="list" allowBlank="1" showInputMessage="1" showErrorMessage="1" xr:uid="{17138EFF-A2B8-47D7-9825-EF490E4A51CE}">
          <x14:formula1>
            <xm:f>Classes!A2:A4</xm:f>
          </x14:formula1>
          <xm:sqref>E515</xm:sqref>
        </x14:dataValidation>
        <x14:dataValidation type="list" allowBlank="1" showInputMessage="1" showErrorMessage="1" xr:uid="{BE3B0CDB-FCA7-4253-B850-97AEBDA28A22}">
          <x14:formula1>
            <xm:f>ReferentsDPT!A2:A16</xm:f>
          </x14:formula1>
          <xm:sqref>B516</xm:sqref>
        </x14:dataValidation>
        <x14:dataValidation type="list" allowBlank="1" showInputMessage="1" showErrorMessage="1" xr:uid="{AEC4AB36-B873-4141-8E7C-ECB69A49910F}">
          <x14:formula1>
            <xm:f>Classes!A2:A4</xm:f>
          </x14:formula1>
          <xm:sqref>E516</xm:sqref>
        </x14:dataValidation>
        <x14:dataValidation type="list" allowBlank="1" showInputMessage="1" showErrorMessage="1" xr:uid="{DDDFE1DB-F0AC-4FB8-9B20-223B185EEDFF}">
          <x14:formula1>
            <xm:f>ReferentsDPT!A2:A16</xm:f>
          </x14:formula1>
          <xm:sqref>B517</xm:sqref>
        </x14:dataValidation>
        <x14:dataValidation type="list" allowBlank="1" showInputMessage="1" showErrorMessage="1" xr:uid="{C66AE406-5F9E-4064-861A-ED9D8F52E531}">
          <x14:formula1>
            <xm:f>Classes!A2:A4</xm:f>
          </x14:formula1>
          <xm:sqref>E517</xm:sqref>
        </x14:dataValidation>
        <x14:dataValidation type="list" allowBlank="1" showInputMessage="1" showErrorMessage="1" xr:uid="{5E6CBA83-C4E5-418F-ABB3-67E306574ACF}">
          <x14:formula1>
            <xm:f>Classes!A2:A4</xm:f>
          </x14:formula1>
          <xm:sqref>E489</xm:sqref>
        </x14:dataValidation>
        <x14:dataValidation type="list" allowBlank="1" showInputMessage="1" showErrorMessage="1" xr:uid="{B3617E8E-EEF9-4755-AFCD-A016D6CAD416}">
          <x14:formula1>
            <xm:f>ReferentsDPT!A2:A16</xm:f>
          </x14:formula1>
          <xm:sqref>B518</xm:sqref>
        </x14:dataValidation>
        <x14:dataValidation type="list" allowBlank="1" showInputMessage="1" showErrorMessage="1" xr:uid="{4F3D9737-3DF2-4134-9FD6-9070ECCFCCCC}">
          <x14:formula1>
            <xm:f>ReferentsDPT!A2:A16</xm:f>
          </x14:formula1>
          <xm:sqref>B519</xm:sqref>
        </x14:dataValidation>
        <x14:dataValidation type="list" allowBlank="1" showInputMessage="1" showErrorMessage="1" xr:uid="{9E6EF16F-CF87-4035-9290-472D8DFFAD8C}">
          <x14:formula1>
            <xm:f>ReferentsDPT!A2:A16</xm:f>
          </x14:formula1>
          <xm:sqref>B520</xm:sqref>
        </x14:dataValidation>
        <x14:dataValidation type="list" allowBlank="1" showInputMessage="1" showErrorMessage="1" xr:uid="{F9DB86E6-3A41-44CF-AD0E-C5ED104EBA8A}">
          <x14:formula1>
            <xm:f>ReferentsDPT!A2:A16</xm:f>
          </x14:formula1>
          <xm:sqref>B521</xm:sqref>
        </x14:dataValidation>
        <x14:dataValidation type="list" allowBlank="1" showInputMessage="1" showErrorMessage="1" xr:uid="{7D3DEFF3-FAEB-43CC-816E-6DDDD2D2F667}">
          <x14:formula1>
            <xm:f>Classes!A2:A4</xm:f>
          </x14:formula1>
          <xm:sqref>E518</xm:sqref>
        </x14:dataValidation>
        <x14:dataValidation type="list" allowBlank="1" showInputMessage="1" showErrorMessage="1" xr:uid="{43173268-76E1-458E-9AA4-1D896670E567}">
          <x14:formula1>
            <xm:f>Classes!A2:A4</xm:f>
          </x14:formula1>
          <xm:sqref>E519</xm:sqref>
        </x14:dataValidation>
        <x14:dataValidation type="list" allowBlank="1" showInputMessage="1" showErrorMessage="1" xr:uid="{8CCFCCA8-C032-4F9D-9A4A-AC972DB7AA19}">
          <x14:formula1>
            <xm:f>Classes!A2:A4</xm:f>
          </x14:formula1>
          <xm:sqref>E520</xm:sqref>
        </x14:dataValidation>
        <x14:dataValidation type="list" allowBlank="1" showInputMessage="1" showErrorMessage="1" xr:uid="{6B207404-1665-452A-8375-FF2CFD4D0D35}">
          <x14:formula1>
            <xm:f>Classes!A2:A4</xm:f>
          </x14:formula1>
          <xm:sqref>E521</xm:sqref>
        </x14:dataValidation>
        <x14:dataValidation type="list" allowBlank="1" showInputMessage="1" showErrorMessage="1" xr:uid="{4212D276-566A-4FA9-9775-1BAF437174C7}">
          <x14:formula1>
            <xm:f>ReferentsDPT!A2:A16</xm:f>
          </x14:formula1>
          <xm:sqref>B524</xm:sqref>
        </x14:dataValidation>
        <x14:dataValidation type="list" allowBlank="1" showInputMessage="1" showErrorMessage="1" xr:uid="{A9AB6341-CF43-464B-8E20-2EED429E8B45}">
          <x14:formula1>
            <xm:f>ReferentsDPT!A2:A16</xm:f>
          </x14:formula1>
          <xm:sqref>B525</xm:sqref>
        </x14:dataValidation>
        <x14:dataValidation type="list" allowBlank="1" showInputMessage="1" showErrorMessage="1" xr:uid="{8C8763ED-4581-4E23-A726-0506DF10AD58}">
          <x14:formula1>
            <xm:f>ReferentsDPT!A2:A16</xm:f>
          </x14:formula1>
          <xm:sqref>B526</xm:sqref>
        </x14:dataValidation>
        <x14:dataValidation type="list" allowBlank="1" showInputMessage="1" showErrorMessage="1" xr:uid="{ECF7D234-9CF0-400D-B62A-83CA586EE315}">
          <x14:formula1>
            <xm:f>Classes!A2:A4</xm:f>
          </x14:formula1>
          <xm:sqref>E524</xm:sqref>
        </x14:dataValidation>
        <x14:dataValidation type="list" allowBlank="1" showInputMessage="1" showErrorMessage="1" xr:uid="{285FBC69-A191-40E6-89C1-A69B729A130D}">
          <x14:formula1>
            <xm:f>ReferentsDPT!A2:A16</xm:f>
          </x14:formula1>
          <xm:sqref>B527</xm:sqref>
        </x14:dataValidation>
        <x14:dataValidation type="list" allowBlank="1" showInputMessage="1" showErrorMessage="1" xr:uid="{F505B07E-193A-490B-8216-A3FF81771921}">
          <x14:formula1>
            <xm:f>ReferentsDPT!A2:A16</xm:f>
          </x14:formula1>
          <xm:sqref>B528</xm:sqref>
        </x14:dataValidation>
        <x14:dataValidation type="list" allowBlank="1" showInputMessage="1" showErrorMessage="1" xr:uid="{CC4DA750-443E-4F7C-B1F2-14B0F77A5E63}">
          <x14:formula1>
            <xm:f>ReferentsDPT!A2:A16</xm:f>
          </x14:formula1>
          <xm:sqref>B530</xm:sqref>
        </x14:dataValidation>
        <x14:dataValidation type="list" allowBlank="1" showInputMessage="1" showErrorMessage="1" xr:uid="{317F0961-F205-4EDD-9CB7-E647E1F10F3F}">
          <x14:formula1>
            <xm:f>ReferentsDPT!A2:A16</xm:f>
          </x14:formula1>
          <xm:sqref>B531</xm:sqref>
        </x14:dataValidation>
        <x14:dataValidation type="list" allowBlank="1" showInputMessage="1" showErrorMessage="1" xr:uid="{2C4858F8-D39B-4E35-B616-B944FF77C59C}">
          <x14:formula1>
            <xm:f>ReferentsDPT!A2:A16</xm:f>
          </x14:formula1>
          <xm:sqref>B532</xm:sqref>
        </x14:dataValidation>
        <x14:dataValidation type="list" allowBlank="1" showInputMessage="1" showErrorMessage="1" xr:uid="{60B35A91-EB66-4471-B395-C2AA5C286E0F}">
          <x14:formula1>
            <xm:f>ReferentsDPT!A2:A16</xm:f>
          </x14:formula1>
          <xm:sqref>B533</xm:sqref>
        </x14:dataValidation>
        <x14:dataValidation type="list" allowBlank="1" showInputMessage="1" showErrorMessage="1" xr:uid="{82FA1A65-CC99-460D-8BD1-1D6FF0D86D5A}">
          <x14:formula1>
            <xm:f>ReferentsDPT!A2:A16</xm:f>
          </x14:formula1>
          <xm:sqref>B534</xm:sqref>
        </x14:dataValidation>
        <x14:dataValidation type="list" allowBlank="1" showInputMessage="1" showErrorMessage="1" xr:uid="{2654705C-E9B3-4DA6-861C-DC39282EDD3C}">
          <x14:formula1>
            <xm:f>Classes!A2:A4</xm:f>
          </x14:formula1>
          <xm:sqref>E530</xm:sqref>
        </x14:dataValidation>
        <x14:dataValidation type="list" allowBlank="1" showInputMessage="1" showErrorMessage="1" xr:uid="{ED4F70E8-4ACB-44FF-ABB8-C380B310115F}">
          <x14:formula1>
            <xm:f>Classes!A2:A4</xm:f>
          </x14:formula1>
          <xm:sqref>E531</xm:sqref>
        </x14:dataValidation>
        <x14:dataValidation type="list" allowBlank="1" showInputMessage="1" showErrorMessage="1" xr:uid="{606AA7F5-CF6A-491E-AA4E-66732E6C2919}">
          <x14:formula1>
            <xm:f>Classes!A2:A4</xm:f>
          </x14:formula1>
          <xm:sqref>E532</xm:sqref>
        </x14:dataValidation>
        <x14:dataValidation type="list" allowBlank="1" showInputMessage="1" showErrorMessage="1" xr:uid="{C637E4C4-4F2A-4A5C-9C95-F91D8ACAFFAD}">
          <x14:formula1>
            <xm:f>Classes!A2:A4</xm:f>
          </x14:formula1>
          <xm:sqref>E533</xm:sqref>
        </x14:dataValidation>
        <x14:dataValidation type="list" allowBlank="1" showInputMessage="1" showErrorMessage="1" xr:uid="{24BCBA4E-9F24-43F6-8DF8-27D115A587F5}">
          <x14:formula1>
            <xm:f>Classes!A2:A4</xm:f>
          </x14:formula1>
          <xm:sqref>E525</xm:sqref>
        </x14:dataValidation>
        <x14:dataValidation type="list" allowBlank="1" showInputMessage="1" showErrorMessage="1" xr:uid="{5C8471DF-A1F6-469C-83F3-29A158DAFAD4}">
          <x14:formula1>
            <xm:f>Classes!A2:A4</xm:f>
          </x14:formula1>
          <xm:sqref>E526</xm:sqref>
        </x14:dataValidation>
        <x14:dataValidation type="list" allowBlank="1" showInputMessage="1" showErrorMessage="1" xr:uid="{D4BF3EE7-8344-4D59-949E-1EC60FAA98E3}">
          <x14:formula1>
            <xm:f>Classes!A2:A4</xm:f>
          </x14:formula1>
          <xm:sqref>E527</xm:sqref>
        </x14:dataValidation>
        <x14:dataValidation type="list" allowBlank="1" showInputMessage="1" showErrorMessage="1" xr:uid="{F746769D-3AAA-45E2-923C-04370CA9D9D2}">
          <x14:formula1>
            <xm:f>Classes!A2:A4</xm:f>
          </x14:formula1>
          <xm:sqref>E534</xm:sqref>
        </x14:dataValidation>
        <x14:dataValidation type="list" allowBlank="1" showInputMessage="1" showErrorMessage="1" xr:uid="{74785640-206B-4250-B99A-A9F343BC42E0}">
          <x14:formula1>
            <xm:f>Classes!A2:A4</xm:f>
          </x14:formula1>
          <xm:sqref>E528</xm:sqref>
        </x14:dataValidation>
        <x14:dataValidation type="list" allowBlank="1" showInputMessage="1" showErrorMessage="1" xr:uid="{0437A682-6D43-433A-9F05-F1DDEEA2AEA3}">
          <x14:formula1>
            <xm:f>Classes!A2:A4</xm:f>
          </x14:formula1>
          <xm:sqref>E535</xm:sqref>
        </x14:dataValidation>
        <x14:dataValidation type="list" allowBlank="1" showInputMessage="1" showErrorMessage="1" xr:uid="{8C340BF7-0A4A-4F41-B405-6040534CFC3A}">
          <x14:formula1>
            <xm:f>ReferentsDPT!A2:A16</xm:f>
          </x14:formula1>
          <xm:sqref>B535</xm:sqref>
        </x14:dataValidation>
        <x14:dataValidation type="list" allowBlank="1" showInputMessage="1" showErrorMessage="1" xr:uid="{633CDE73-BC5D-468A-B41A-FA6E7A3FA8EE}">
          <x14:formula1>
            <xm:f>ReferentsDPT!A2:A16</xm:f>
          </x14:formula1>
          <xm:sqref>B538</xm:sqref>
        </x14:dataValidation>
        <x14:dataValidation type="list" allowBlank="1" showInputMessage="1" showErrorMessage="1" xr:uid="{65666871-2717-407D-9AD8-DE901974D46F}">
          <x14:formula1>
            <xm:f>Classes!A2:A4</xm:f>
          </x14:formula1>
          <xm:sqref>E538</xm:sqref>
        </x14:dataValidation>
        <x14:dataValidation type="list" allowBlank="1" showInputMessage="1" showErrorMessage="1" xr:uid="{E3783FA3-6671-4E6E-B1B9-6CB09C802CF2}">
          <x14:formula1>
            <xm:f>ReferentsDPT!A2:A16</xm:f>
          </x14:formula1>
          <xm:sqref>B539</xm:sqref>
        </x14:dataValidation>
        <x14:dataValidation type="list" allowBlank="1" showInputMessage="1" showErrorMessage="1" xr:uid="{22AE15BB-8B36-4EB6-966B-25B50C90EB06}">
          <x14:formula1>
            <xm:f>Classes!A2:A4</xm:f>
          </x14:formula1>
          <xm:sqref>E539</xm:sqref>
        </x14:dataValidation>
        <x14:dataValidation type="list" allowBlank="1" showInputMessage="1" showErrorMessage="1" xr:uid="{8D1FD33B-BF89-499E-8363-D632111A13F4}">
          <x14:formula1>
            <xm:f>ReferentsDPT!A2:A16</xm:f>
          </x14:formula1>
          <xm:sqref>B540</xm:sqref>
        </x14:dataValidation>
        <x14:dataValidation type="list" allowBlank="1" showInputMessage="1" showErrorMessage="1" xr:uid="{D07985C4-8B97-44F4-A0E3-9434BB114AEE}">
          <x14:formula1>
            <xm:f>Classes!A2:A4</xm:f>
          </x14:formula1>
          <xm:sqref>E540:E543</xm:sqref>
        </x14:dataValidation>
        <x14:dataValidation type="list" allowBlank="1" showInputMessage="1" showErrorMessage="1" xr:uid="{A5A3C849-B00A-4C13-A82E-382BA2C1C3A0}">
          <x14:formula1>
            <xm:f>ReferentsDPT!A2:A16</xm:f>
          </x14:formula1>
          <xm:sqref>B541</xm:sqref>
        </x14:dataValidation>
        <x14:dataValidation type="list" allowBlank="1" showInputMessage="1" showErrorMessage="1" xr:uid="{B06E5AAD-E5EA-481C-98EA-FDE7AE90F0E5}">
          <x14:formula1>
            <xm:f>ReferentsDPT!A2:A16</xm:f>
          </x14:formula1>
          <xm:sqref>B542</xm:sqref>
        </x14:dataValidation>
        <x14:dataValidation type="list" allowBlank="1" showInputMessage="1" showErrorMessage="1" xr:uid="{5BD936AE-35AA-48D7-A720-2AC0282C7F5A}">
          <x14:formula1>
            <xm:f>ReferentsDPT!A2:A16</xm:f>
          </x14:formula1>
          <xm:sqref>B543</xm:sqref>
        </x14:dataValidation>
        <x14:dataValidation type="list" allowBlank="1" showInputMessage="1" showErrorMessage="1" xr:uid="{AC2B09DE-8E0C-43AD-8063-5305A2154CE0}">
          <x14:formula1>
            <xm:f>ReferentsDPT!A2:A16</xm:f>
          </x14:formula1>
          <xm:sqref>B544</xm:sqref>
        </x14:dataValidation>
        <x14:dataValidation type="list" allowBlank="1" showInputMessage="1" showErrorMessage="1" xr:uid="{38292882-2C78-4CC4-B0F8-609F39BADF76}">
          <x14:formula1>
            <xm:f>Classes!A2:A4</xm:f>
          </x14:formula1>
          <xm:sqref>E544</xm:sqref>
        </x14:dataValidation>
        <x14:dataValidation type="list" allowBlank="1" showInputMessage="1" showErrorMessage="1" xr:uid="{81BB36E0-A1CA-4051-8FB0-8A5410A45AC3}">
          <x14:formula1>
            <xm:f>ReferentsDPT!A2:A16</xm:f>
          </x14:formula1>
          <xm:sqref>B545</xm:sqref>
        </x14:dataValidation>
        <x14:dataValidation type="list" allowBlank="1" showInputMessage="1" showErrorMessage="1" xr:uid="{9F86EE96-57D2-4878-ADD9-C7260FED1B37}">
          <x14:formula1>
            <xm:f>Classes!A2:A4</xm:f>
          </x14:formula1>
          <xm:sqref>E545</xm:sqref>
        </x14:dataValidation>
        <x14:dataValidation type="list" allowBlank="1" showInputMessage="1" showErrorMessage="1" xr:uid="{8F911250-CDB3-4200-806D-1EF71A9DEFD2}">
          <x14:formula1>
            <xm:f>ReferentsDPT!A2:A16</xm:f>
          </x14:formula1>
          <xm:sqref>B546</xm:sqref>
        </x14:dataValidation>
        <x14:dataValidation type="list" allowBlank="1" showInputMessage="1" showErrorMessage="1" xr:uid="{388FE322-2A12-4AF1-994B-79816D4AC78A}">
          <x14:formula1>
            <xm:f>Classes!A2:A4</xm:f>
          </x14:formula1>
          <xm:sqref>E546</xm:sqref>
        </x14:dataValidation>
        <x14:dataValidation type="list" allowBlank="1" showInputMessage="1" showErrorMessage="1" xr:uid="{3D47204E-6EFA-4781-A00B-A86D31BA0276}">
          <x14:formula1>
            <xm:f>ReferentsDPT!A2:A16</xm:f>
          </x14:formula1>
          <xm:sqref>B549</xm:sqref>
        </x14:dataValidation>
        <x14:dataValidation type="list" allowBlank="1" showInputMessage="1" showErrorMessage="1" xr:uid="{8B402AC1-47A0-4934-A889-B63A6021DFEE}">
          <x14:formula1>
            <xm:f>Classes!A2:A4</xm:f>
          </x14:formula1>
          <xm:sqref>E549</xm:sqref>
        </x14:dataValidation>
        <x14:dataValidation type="list" allowBlank="1" showInputMessage="1" showErrorMessage="1" xr:uid="{DFD8EDF9-4F4B-4617-A846-EDD84DE2CB0D}">
          <x14:formula1>
            <xm:f>ReferentsDPT!A2:A16</xm:f>
          </x14:formula1>
          <xm:sqref>B550</xm:sqref>
        </x14:dataValidation>
        <x14:dataValidation type="list" allowBlank="1" showInputMessage="1" showErrorMessage="1" xr:uid="{827C14EB-C7F9-4912-A566-BFE3202F6DCB}">
          <x14:formula1>
            <xm:f>Classes!A2:A4</xm:f>
          </x14:formula1>
          <xm:sqref>E550</xm:sqref>
        </x14:dataValidation>
        <x14:dataValidation type="list" allowBlank="1" showInputMessage="1" showErrorMessage="1" xr:uid="{BF8F5E6B-6113-48D9-9FEA-58ADAEBDA4C5}">
          <x14:formula1>
            <xm:f>ReferentsDPT!A2:A16</xm:f>
          </x14:formula1>
          <xm:sqref>B551</xm:sqref>
        </x14:dataValidation>
        <x14:dataValidation type="list" allowBlank="1" showInputMessage="1" showErrorMessage="1" xr:uid="{85ACE1D4-7369-41EF-8F10-13607CAF6C8D}">
          <x14:formula1>
            <xm:f>Classes!A2:A4</xm:f>
          </x14:formula1>
          <xm:sqref>E551</xm:sqref>
        </x14:dataValidation>
        <x14:dataValidation type="list" allowBlank="1" showInputMessage="1" showErrorMessage="1" xr:uid="{37692846-590C-4018-AABA-A742C3FDA78F}">
          <x14:formula1>
            <xm:f>ReferentsDPT!A2:A16</xm:f>
          </x14:formula1>
          <xm:sqref>B552</xm:sqref>
        </x14:dataValidation>
        <x14:dataValidation type="list" allowBlank="1" showInputMessage="1" showErrorMessage="1" xr:uid="{56E01B97-2859-4990-A583-22641F86767B}">
          <x14:formula1>
            <xm:f>ReferentsDPT!A2:A16</xm:f>
          </x14:formula1>
          <xm:sqref>B553</xm:sqref>
        </x14:dataValidation>
        <x14:dataValidation type="list" allowBlank="1" showInputMessage="1" showErrorMessage="1" xr:uid="{CD44139D-3BB9-4812-8D3C-2CC5B9A7B6AE}">
          <x14:formula1>
            <xm:f>Classes!A2:A4</xm:f>
          </x14:formula1>
          <xm:sqref>E552</xm:sqref>
        </x14:dataValidation>
        <x14:dataValidation type="list" allowBlank="1" showInputMessage="1" showErrorMessage="1" xr:uid="{13F1BC9C-8EC4-4DE1-BF4A-82E8AD15782E}">
          <x14:formula1>
            <xm:f>Classes!A2:A4</xm:f>
          </x14:formula1>
          <xm:sqref>E553</xm:sqref>
        </x14:dataValidation>
        <x14:dataValidation type="list" allowBlank="1" showInputMessage="1" showErrorMessage="1" xr:uid="{8FE8203D-4597-431C-8444-4BD67D75E4BA}">
          <x14:formula1>
            <xm:f>ReferentsDPT!A2:A16</xm:f>
          </x14:formula1>
          <xm:sqref>B554</xm:sqref>
        </x14:dataValidation>
        <x14:dataValidation type="list" allowBlank="1" showInputMessage="1" showErrorMessage="1" xr:uid="{24EF8E60-096B-4A70-81C3-533F8D6F35B3}">
          <x14:formula1>
            <xm:f>Classes!A2:A4</xm:f>
          </x14:formula1>
          <xm:sqref>E554</xm:sqref>
        </x14:dataValidation>
        <x14:dataValidation type="list" allowBlank="1" showInputMessage="1" showErrorMessage="1" xr:uid="{D8602EA0-8567-47E3-9C52-4081F946B015}">
          <x14:formula1>
            <xm:f>ReferentsDPT!A2:A16</xm:f>
          </x14:formula1>
          <xm:sqref>B555</xm:sqref>
        </x14:dataValidation>
        <x14:dataValidation type="list" allowBlank="1" showInputMessage="1" showErrorMessage="1" xr:uid="{B1A5EA98-86FB-4B6C-BD30-D183CF1C9207}">
          <x14:formula1>
            <xm:f>Classes!A2:A4</xm:f>
          </x14:formula1>
          <xm:sqref>E555</xm:sqref>
        </x14:dataValidation>
        <x14:dataValidation type="list" allowBlank="1" showInputMessage="1" showErrorMessage="1" xr:uid="{AAE5D721-84A4-4EB3-9311-DB297034CBAA}">
          <x14:formula1>
            <xm:f>ReferentsDPT!A2:A16</xm:f>
          </x14:formula1>
          <xm:sqref>B556</xm:sqref>
        </x14:dataValidation>
        <x14:dataValidation type="list" allowBlank="1" showInputMessage="1" showErrorMessage="1" xr:uid="{479484B4-125C-408F-AB6E-8ADBE34C4C20}">
          <x14:formula1>
            <xm:f>Classes!A2:A4</xm:f>
          </x14:formula1>
          <xm:sqref>E556</xm:sqref>
        </x14:dataValidation>
        <x14:dataValidation type="list" allowBlank="1" showInputMessage="1" showErrorMessage="1" xr:uid="{4C8628B7-40F5-4523-A3A4-1E020177C435}">
          <x14:formula1>
            <xm:f>ReferentsDPT!A2:A16</xm:f>
          </x14:formula1>
          <xm:sqref>B557:B561</xm:sqref>
        </x14:dataValidation>
        <x14:dataValidation type="list" allowBlank="1" showInputMessage="1" showErrorMessage="1" xr:uid="{B90D3C40-99EA-407B-ACAD-962A3C77C45B}">
          <x14:formula1>
            <xm:f>Classes!A2:A4</xm:f>
          </x14:formula1>
          <xm:sqref>E557</xm:sqref>
        </x14:dataValidation>
        <x14:dataValidation type="list" allowBlank="1" showInputMessage="1" showErrorMessage="1" xr:uid="{AE46BCA0-DCFD-4ADF-95D5-0F1EAD3E0839}">
          <x14:formula1>
            <xm:f>Classes!A2:A4</xm:f>
          </x14:formula1>
          <xm:sqref>E558</xm:sqref>
        </x14:dataValidation>
        <x14:dataValidation type="list" allowBlank="1" showInputMessage="1" showErrorMessage="1" xr:uid="{F781E441-854E-40B8-9579-246EBC98FFC7}">
          <x14:formula1>
            <xm:f>Classes!A2:A4</xm:f>
          </x14:formula1>
          <xm:sqref>E559</xm:sqref>
        </x14:dataValidation>
        <x14:dataValidation type="list" allowBlank="1" showInputMessage="1" showErrorMessage="1" xr:uid="{F26FA7BB-C775-43DB-AB6B-27164B3AD77E}">
          <x14:formula1>
            <xm:f>Classes!A2:A4</xm:f>
          </x14:formula1>
          <xm:sqref>E560</xm:sqref>
        </x14:dataValidation>
        <x14:dataValidation type="list" allowBlank="1" showInputMessage="1" showErrorMessage="1" xr:uid="{748162EC-6D9F-4CCD-8F4D-9296331D03B9}">
          <x14:formula1>
            <xm:f>Classes!A2:A4</xm:f>
          </x14:formula1>
          <xm:sqref>E561</xm:sqref>
        </x14:dataValidation>
        <x14:dataValidation type="list" allowBlank="1" showInputMessage="1" showErrorMessage="1" xr:uid="{9CCD86CD-13D1-4422-81A7-92E535D96232}">
          <x14:formula1>
            <xm:f>ReferentsDPT!A2:A16</xm:f>
          </x14:formula1>
          <xm:sqref>B562</xm:sqref>
        </x14:dataValidation>
        <x14:dataValidation type="list" allowBlank="1" showInputMessage="1" showErrorMessage="1" xr:uid="{4310AB75-0251-4A79-B0E5-45B37F04D688}">
          <x14:formula1>
            <xm:f>Classes!A2:A4</xm:f>
          </x14:formula1>
          <xm:sqref>E562</xm:sqref>
        </x14:dataValidation>
        <x14:dataValidation type="list" allowBlank="1" showInputMessage="1" showErrorMessage="1" xr:uid="{F81197D3-6830-4C4F-B0F0-7642F63449A4}">
          <x14:formula1>
            <xm:f>ReferentsDPT!A2:A16</xm:f>
          </x14:formula1>
          <xm:sqref>B563</xm:sqref>
        </x14:dataValidation>
        <x14:dataValidation type="list" allowBlank="1" showInputMessage="1" showErrorMessage="1" xr:uid="{34CA9CE5-BB1D-45F0-B739-00E863546CDF}">
          <x14:formula1>
            <xm:f>Classes!A2:A4</xm:f>
          </x14:formula1>
          <xm:sqref>E563</xm:sqref>
        </x14:dataValidation>
        <x14:dataValidation type="list" allowBlank="1" showInputMessage="1" showErrorMessage="1" xr:uid="{282314C1-AFD8-42B6-BC7F-7F5E0E523C83}">
          <x14:formula1>
            <xm:f>ReferentsDPT!A2:A16</xm:f>
          </x14:formula1>
          <xm:sqref>B564</xm:sqref>
        </x14:dataValidation>
        <x14:dataValidation type="list" allowBlank="1" showInputMessage="1" showErrorMessage="1" xr:uid="{D590F03D-27B2-410B-87E3-F1A01E6E0235}">
          <x14:formula1>
            <xm:f>Classes!A2:A4</xm:f>
          </x14:formula1>
          <xm:sqref>E564</xm:sqref>
        </x14:dataValidation>
        <x14:dataValidation type="list" allowBlank="1" showInputMessage="1" showErrorMessage="1" xr:uid="{62F6B3AE-54B2-44F1-B40D-46B1216FC603}">
          <x14:formula1>
            <xm:f>ReferentsDPT!A2:A16</xm:f>
          </x14:formula1>
          <xm:sqref>B565</xm:sqref>
        </x14:dataValidation>
        <x14:dataValidation type="list" allowBlank="1" showInputMessage="1" showErrorMessage="1" xr:uid="{BEFE642C-1637-41C4-87DA-0DE9B037CD45}">
          <x14:formula1>
            <xm:f>Classes!A2:A4</xm:f>
          </x14:formula1>
          <xm:sqref>E565</xm:sqref>
        </x14:dataValidation>
        <x14:dataValidation type="list" allowBlank="1" showInputMessage="1" showErrorMessage="1" xr:uid="{9A9AEFCE-EC11-414E-8302-49DC1AEB5805}">
          <x14:formula1>
            <xm:f>ReferentsDPT!A2:A16</xm:f>
          </x14:formula1>
          <xm:sqref>B566</xm:sqref>
        </x14:dataValidation>
        <x14:dataValidation type="list" allowBlank="1" showInputMessage="1" showErrorMessage="1" xr:uid="{AC827434-9356-4CA6-A5C8-BA4ADD2B2341}">
          <x14:formula1>
            <xm:f>ReferentsDPT!A2:A16</xm:f>
          </x14:formula1>
          <xm:sqref>B567</xm:sqref>
        </x14:dataValidation>
        <x14:dataValidation type="list" allowBlank="1" showInputMessage="1" showErrorMessage="1" xr:uid="{C566CC3C-554E-40F2-AD9D-57F1D7BC0A72}">
          <x14:formula1>
            <xm:f>Classes!A2:A4</xm:f>
          </x14:formula1>
          <xm:sqref>E566</xm:sqref>
        </x14:dataValidation>
        <x14:dataValidation type="list" allowBlank="1" showInputMessage="1" showErrorMessage="1" xr:uid="{E825E214-32CF-49BE-AFFA-E054D7756C57}">
          <x14:formula1>
            <xm:f>Classes!A2:A4</xm:f>
          </x14:formula1>
          <xm:sqref>E567</xm:sqref>
        </x14:dataValidation>
        <x14:dataValidation type="list" allowBlank="1" showInputMessage="1" showErrorMessage="1" xr:uid="{09EAA4CB-5800-49D5-B02C-1162194C7BD2}">
          <x14:formula1>
            <xm:f>ReferentsDPT!A2:A16</xm:f>
          </x14:formula1>
          <xm:sqref>B568</xm:sqref>
        </x14:dataValidation>
        <x14:dataValidation type="list" allowBlank="1" showInputMessage="1" showErrorMessage="1" xr:uid="{BE0C4C11-0486-44FA-9693-82F857A9D11C}">
          <x14:formula1>
            <xm:f>Classes!A2:A4</xm:f>
          </x14:formula1>
          <xm:sqref>E568</xm:sqref>
        </x14:dataValidation>
        <x14:dataValidation type="list" allowBlank="1" showInputMessage="1" showErrorMessage="1" xr:uid="{7A7D49A2-B2D6-4692-B8E8-80C74F5C57C1}">
          <x14:formula1>
            <xm:f>ReferentsDPT!A2:A16</xm:f>
          </x14:formula1>
          <xm:sqref>B569</xm:sqref>
        </x14:dataValidation>
        <x14:dataValidation type="list" allowBlank="1" showInputMessage="1" showErrorMessage="1" xr:uid="{36315A2A-AF75-44BF-976C-F91C85BB6F1D}">
          <x14:formula1>
            <xm:f>Classes!A2:A4</xm:f>
          </x14:formula1>
          <xm:sqref>E569</xm:sqref>
        </x14:dataValidation>
        <x14:dataValidation type="list" allowBlank="1" showInputMessage="1" showErrorMessage="1" xr:uid="{5A9C99C4-5345-46DC-8397-B200F270632F}">
          <x14:formula1>
            <xm:f>ReferentsDPT!A2:A16</xm:f>
          </x14:formula1>
          <xm:sqref>B570</xm:sqref>
        </x14:dataValidation>
        <x14:dataValidation type="list" allowBlank="1" showInputMessage="1" showErrorMessage="1" xr:uid="{63E0E9F8-10ED-4E54-9512-42819769EB2A}">
          <x14:formula1>
            <xm:f>ReferentsDPT!A2:A16</xm:f>
          </x14:formula1>
          <xm:sqref>B571</xm:sqref>
        </x14:dataValidation>
        <x14:dataValidation type="list" allowBlank="1" showInputMessage="1" showErrorMessage="1" xr:uid="{80001A02-D68E-4A65-90ED-CDDAF5D00DE0}">
          <x14:formula1>
            <xm:f>Classes!A2:A4</xm:f>
          </x14:formula1>
          <xm:sqref>E570</xm:sqref>
        </x14:dataValidation>
        <x14:dataValidation type="list" allowBlank="1" showInputMessage="1" showErrorMessage="1" xr:uid="{B0E1F612-73A5-4766-9C23-3D1F0D99AD47}">
          <x14:formula1>
            <xm:f>Classes!A2:A4</xm:f>
          </x14:formula1>
          <xm:sqref>E571</xm:sqref>
        </x14:dataValidation>
        <x14:dataValidation type="list" allowBlank="1" showInputMessage="1" showErrorMessage="1" xr:uid="{5CD22159-0B33-4AC6-9EA0-F20C87429A98}">
          <x14:formula1>
            <xm:f>ReferentsDPT!A2:A16</xm:f>
          </x14:formula1>
          <xm:sqref>B572</xm:sqref>
        </x14:dataValidation>
        <x14:dataValidation type="list" allowBlank="1" showInputMessage="1" showErrorMessage="1" xr:uid="{1C753F73-5ADB-492F-B9B7-4F930E320DD2}">
          <x14:formula1>
            <xm:f>ReferentsDPT!A2:A16</xm:f>
          </x14:formula1>
          <xm:sqref>B573</xm:sqref>
        </x14:dataValidation>
        <x14:dataValidation type="list" allowBlank="1" showInputMessage="1" showErrorMessage="1" xr:uid="{F1EC091D-4945-45C5-9315-1CAFA0434A71}">
          <x14:formula1>
            <xm:f>Classes!A2:A4</xm:f>
          </x14:formula1>
          <xm:sqref>E572</xm:sqref>
        </x14:dataValidation>
        <x14:dataValidation type="list" allowBlank="1" showInputMessage="1" showErrorMessage="1" xr:uid="{2D3FC2C5-658A-49A8-83FB-608A4AB21E15}">
          <x14:formula1>
            <xm:f>Classes!A2:A4</xm:f>
          </x14:formula1>
          <xm:sqref>E573</xm:sqref>
        </x14:dataValidation>
        <x14:dataValidation type="list" allowBlank="1" showInputMessage="1" showErrorMessage="1" xr:uid="{9D742F28-1E84-421D-85E8-185899A85C74}">
          <x14:formula1>
            <xm:f>ReferentsDPT!A2:A16</xm:f>
          </x14:formula1>
          <xm:sqref>B574</xm:sqref>
        </x14:dataValidation>
        <x14:dataValidation type="list" allowBlank="1" showInputMessage="1" showErrorMessage="1" xr:uid="{C952CE8F-2A24-4350-9C1F-E3E614036A7F}">
          <x14:formula1>
            <xm:f>Classes!A2:A4</xm:f>
          </x14:formula1>
          <xm:sqref>E574</xm:sqref>
        </x14:dataValidation>
        <x14:dataValidation type="list" allowBlank="1" showInputMessage="1" showErrorMessage="1" xr:uid="{8B21A61E-FBFF-452B-A573-3E49EE197699}">
          <x14:formula1>
            <xm:f>ReferentsDPT!A2:A16</xm:f>
          </x14:formula1>
          <xm:sqref>B576</xm:sqref>
        </x14:dataValidation>
        <x14:dataValidation type="list" allowBlank="1" showInputMessage="1" showErrorMessage="1" xr:uid="{EAED035C-2242-4CEE-9E7B-4769B32839C3}">
          <x14:formula1>
            <xm:f>Classes!A2:A4</xm:f>
          </x14:formula1>
          <xm:sqref>E576</xm:sqref>
        </x14:dataValidation>
        <x14:dataValidation type="list" allowBlank="1" showInputMessage="1" showErrorMessage="1" xr:uid="{CFA53F57-5901-4764-A113-6E3A4156DABB}">
          <x14:formula1>
            <xm:f>ReferentsDPT!A2:A16</xm:f>
          </x14:formula1>
          <xm:sqref>B578</xm:sqref>
        </x14:dataValidation>
        <x14:dataValidation type="list" allowBlank="1" showInputMessage="1" showErrorMessage="1" xr:uid="{0D51FD55-90B6-4CDB-A831-BFB22CB3DC7F}">
          <x14:formula1>
            <xm:f>ReferentsDPT!A2:A16</xm:f>
          </x14:formula1>
          <xm:sqref>B580</xm:sqref>
        </x14:dataValidation>
        <x14:dataValidation type="list" allowBlank="1" showInputMessage="1" showErrorMessage="1" xr:uid="{7DE2544E-0309-4FCF-899E-5DAD692E8763}">
          <x14:formula1>
            <xm:f>Classes!A2:A4</xm:f>
          </x14:formula1>
          <xm:sqref>E580</xm:sqref>
        </x14:dataValidation>
        <x14:dataValidation type="list" allowBlank="1" showInputMessage="1" showErrorMessage="1" xr:uid="{A722E380-91F2-4E4E-913D-CC202BD34EAE}">
          <x14:formula1>
            <xm:f>ReferentsDPT!A2:A16</xm:f>
          </x14:formula1>
          <xm:sqref>B581</xm:sqref>
        </x14:dataValidation>
        <x14:dataValidation type="list" allowBlank="1" showInputMessage="1" showErrorMessage="1" xr:uid="{586C70E5-C6CD-4B6C-B703-1F5EB7636442}">
          <x14:formula1>
            <xm:f>Classes!A2:A4</xm:f>
          </x14:formula1>
          <xm:sqref>E581</xm:sqref>
        </x14:dataValidation>
        <x14:dataValidation type="list" allowBlank="1" showInputMessage="1" showErrorMessage="1" xr:uid="{55BD5599-7BF4-4022-A798-3F6F9F1E7DF6}">
          <x14:formula1>
            <xm:f>ReferentsDPT!A2:A16</xm:f>
          </x14:formula1>
          <xm:sqref>B582</xm:sqref>
        </x14:dataValidation>
        <x14:dataValidation type="list" allowBlank="1" showInputMessage="1" showErrorMessage="1" xr:uid="{C1071314-412F-4A4D-A50C-74A46359D697}">
          <x14:formula1>
            <xm:f>Classes!A2:A4</xm:f>
          </x14:formula1>
          <xm:sqref>E582</xm:sqref>
        </x14:dataValidation>
        <x14:dataValidation type="list" allowBlank="1" showInputMessage="1" showErrorMessage="1" xr:uid="{65199802-161F-48CF-8545-F3AA5D2F1533}">
          <x14:formula1>
            <xm:f>ReferentsDPT!A2:A16</xm:f>
          </x14:formula1>
          <xm:sqref>B583</xm:sqref>
        </x14:dataValidation>
        <x14:dataValidation type="list" allowBlank="1" showInputMessage="1" showErrorMessage="1" xr:uid="{10B20E7A-1170-4762-B911-3C82E6DCF9D5}">
          <x14:formula1>
            <xm:f>Classes!A2:A4</xm:f>
          </x14:formula1>
          <xm:sqref>E583</xm:sqref>
        </x14:dataValidation>
        <x14:dataValidation type="list" allowBlank="1" showInputMessage="1" showErrorMessage="1" xr:uid="{DC815059-E777-4C68-8208-B404C45B6E3D}">
          <x14:formula1>
            <xm:f>ReferentsDPT!A2:A16</xm:f>
          </x14:formula1>
          <xm:sqref>B584</xm:sqref>
        </x14:dataValidation>
        <x14:dataValidation type="list" allowBlank="1" showInputMessage="1" showErrorMessage="1" xr:uid="{2A44322D-850A-4F12-9A68-571965371780}">
          <x14:formula1>
            <xm:f>ReferentsDPT!A2:A16</xm:f>
          </x14:formula1>
          <xm:sqref>B585</xm:sqref>
        </x14:dataValidation>
        <x14:dataValidation type="list" allowBlank="1" showInputMessage="1" showErrorMessage="1" xr:uid="{E9379498-E440-4AEA-89E3-76B4ED13E171}">
          <x14:formula1>
            <xm:f>Classes!A2:A4</xm:f>
          </x14:formula1>
          <xm:sqref>E584</xm:sqref>
        </x14:dataValidation>
        <x14:dataValidation type="list" allowBlank="1" showInputMessage="1" showErrorMessage="1" xr:uid="{4BC748EB-12DC-4F93-9AC3-F65AED26368F}">
          <x14:formula1>
            <xm:f>Classes!A2:A4</xm:f>
          </x14:formula1>
          <xm:sqref>E585</xm:sqref>
        </x14:dataValidation>
        <x14:dataValidation type="list" allowBlank="1" showInputMessage="1" showErrorMessage="1" xr:uid="{804ED559-BAD2-4F53-8417-285101677E30}">
          <x14:formula1>
            <xm:f>ReferentsDPT!A2:A16</xm:f>
          </x14:formula1>
          <xm:sqref>B586</xm:sqref>
        </x14:dataValidation>
        <x14:dataValidation type="list" allowBlank="1" showInputMessage="1" showErrorMessage="1" xr:uid="{D799E860-7136-4F63-A585-27D2CA612B8D}">
          <x14:formula1>
            <xm:f>Classes!A2:A4</xm:f>
          </x14:formula1>
          <xm:sqref>E586</xm:sqref>
        </x14:dataValidation>
        <x14:dataValidation type="list" allowBlank="1" showInputMessage="1" showErrorMessage="1" xr:uid="{919BBF85-EAAF-41D6-A78D-3A0B75F6C77D}">
          <x14:formula1>
            <xm:f>ReferentsDPT!A2:A16</xm:f>
          </x14:formula1>
          <xm:sqref>B587</xm:sqref>
        </x14:dataValidation>
        <x14:dataValidation type="list" allowBlank="1" showInputMessage="1" showErrorMessage="1" xr:uid="{89413348-29D7-4C16-8F55-8F41AB48D272}">
          <x14:formula1>
            <xm:f>ReferentsDPT!A2:A16</xm:f>
          </x14:formula1>
          <xm:sqref>B588</xm:sqref>
        </x14:dataValidation>
        <x14:dataValidation type="list" allowBlank="1" showInputMessage="1" showErrorMessage="1" xr:uid="{EE4AA7F1-37E9-483B-817F-2262F213086C}">
          <x14:formula1>
            <xm:f>Classes!A2:A4</xm:f>
          </x14:formula1>
          <xm:sqref>E587</xm:sqref>
        </x14:dataValidation>
        <x14:dataValidation type="list" allowBlank="1" showInputMessage="1" showErrorMessage="1" xr:uid="{1BCD7814-CB6A-4C6A-8EE1-9DD5512F15FD}">
          <x14:formula1>
            <xm:f>Classes!A2:A4</xm:f>
          </x14:formula1>
          <xm:sqref>E588</xm:sqref>
        </x14:dataValidation>
        <x14:dataValidation type="list" allowBlank="1" showInputMessage="1" showErrorMessage="1" xr:uid="{1E66E3FB-DD3E-44B3-9AA7-8CCE9BAF9FFE}">
          <x14:formula1>
            <xm:f>ReferentsDPT!A2:A16</xm:f>
          </x14:formula1>
          <xm:sqref>B589</xm:sqref>
        </x14:dataValidation>
        <x14:dataValidation type="list" allowBlank="1" showInputMessage="1" showErrorMessage="1" xr:uid="{CA3548F1-09E5-49F3-B355-092FB0C73080}">
          <x14:formula1>
            <xm:f>Classes!A2:A4</xm:f>
          </x14:formula1>
          <xm:sqref>E589</xm:sqref>
        </x14:dataValidation>
        <x14:dataValidation type="list" allowBlank="1" showInputMessage="1" showErrorMessage="1" xr:uid="{69274EC4-AE9B-4212-A30C-A8CF381E8E9F}">
          <x14:formula1>
            <xm:f>ReferentsDPT!A2:A16</xm:f>
          </x14:formula1>
          <xm:sqref>B591</xm:sqref>
        </x14:dataValidation>
        <x14:dataValidation type="list" allowBlank="1" showInputMessage="1" showErrorMessage="1" xr:uid="{93DE9193-CF81-446A-8A6D-B495796827E7}">
          <x14:formula1>
            <xm:f>Classes!A2:A4</xm:f>
          </x14:formula1>
          <xm:sqref>E591</xm:sqref>
        </x14:dataValidation>
        <x14:dataValidation type="list" allowBlank="1" showInputMessage="1" showErrorMessage="1" xr:uid="{1FC165CB-F346-41C3-87BA-B5248CC3131E}">
          <x14:formula1>
            <xm:f>ReferentsDPT!A2:A16</xm:f>
          </x14:formula1>
          <xm:sqref>B592</xm:sqref>
        </x14:dataValidation>
        <x14:dataValidation type="list" allowBlank="1" showInputMessage="1" showErrorMessage="1" xr:uid="{D1057DE6-7F46-4746-AA2D-D73B0ADBBE25}">
          <x14:formula1>
            <xm:f>Classes!A2:A4</xm:f>
          </x14:formula1>
          <xm:sqref>E592</xm:sqref>
        </x14:dataValidation>
        <x14:dataValidation type="list" allowBlank="1" showInputMessage="1" showErrorMessage="1" xr:uid="{DC4C0149-DCE3-4B92-887C-CE22FAE13A92}">
          <x14:formula1>
            <xm:f>ReferentsDPT!A2:A16</xm:f>
          </x14:formula1>
          <xm:sqref>B593</xm:sqref>
        </x14:dataValidation>
        <x14:dataValidation type="list" allowBlank="1" showInputMessage="1" showErrorMessage="1" xr:uid="{2705EBDF-7451-4581-BD22-B42CCA27C92D}">
          <x14:formula1>
            <xm:f>Classes!A2:A4</xm:f>
          </x14:formula1>
          <xm:sqref>E593</xm:sqref>
        </x14:dataValidation>
        <x14:dataValidation type="list" allowBlank="1" showInputMessage="1" showErrorMessage="1" xr:uid="{D6DFB0F5-EB7F-4051-BCB8-0607A0796308}">
          <x14:formula1>
            <xm:f>ReferentsDPT!A2:A16</xm:f>
          </x14:formula1>
          <xm:sqref>B594</xm:sqref>
        </x14:dataValidation>
        <x14:dataValidation type="list" allowBlank="1" showInputMessage="1" showErrorMessage="1" xr:uid="{7BB02A0E-5B69-4D0A-B4EA-FD39495456C4}">
          <x14:formula1>
            <xm:f>Classes!A2:A4</xm:f>
          </x14:formula1>
          <xm:sqref>E594</xm:sqref>
        </x14:dataValidation>
        <x14:dataValidation type="list" allowBlank="1" showInputMessage="1" showErrorMessage="1" xr:uid="{CFF0199C-9C01-4B12-8ADA-919B75583732}">
          <x14:formula1>
            <xm:f>ReferentsDPT!A2:A16</xm:f>
          </x14:formula1>
          <xm:sqref>B595</xm:sqref>
        </x14:dataValidation>
        <x14:dataValidation type="list" allowBlank="1" showInputMessage="1" showErrorMessage="1" xr:uid="{766EF482-8BA6-4F81-B775-60EA51F21A63}">
          <x14:formula1>
            <xm:f>Classes!A2:A4</xm:f>
          </x14:formula1>
          <xm:sqref>E595</xm:sqref>
        </x14:dataValidation>
        <x14:dataValidation type="list" allowBlank="1" showInputMessage="1" showErrorMessage="1" xr:uid="{2B9B59EA-D834-480A-A0B8-ABF712AD64B1}">
          <x14:formula1>
            <xm:f>ReferentsDPT!A2:A16</xm:f>
          </x14:formula1>
          <xm:sqref>B596:B597</xm:sqref>
        </x14:dataValidation>
        <x14:dataValidation type="list" allowBlank="1" showInputMessage="1" showErrorMessage="1" xr:uid="{344677BE-790A-422B-BC3C-55E40082B01C}">
          <x14:formula1>
            <xm:f>Classes!A2:A4</xm:f>
          </x14:formula1>
          <xm:sqref>E596</xm:sqref>
        </x14:dataValidation>
        <x14:dataValidation type="list" allowBlank="1" showInputMessage="1" showErrorMessage="1" xr:uid="{58418BE7-8AE0-4F1C-AD4B-698260178ED9}">
          <x14:formula1>
            <xm:f>Classes!A2:A4</xm:f>
          </x14:formula1>
          <xm:sqref>E597</xm:sqref>
        </x14:dataValidation>
        <x14:dataValidation type="list" allowBlank="1" showInputMessage="1" showErrorMessage="1" xr:uid="{7BC22769-DB86-49D5-8574-292E4483D7DB}">
          <x14:formula1>
            <xm:f>ReferentsDPT!A2:A16</xm:f>
          </x14:formula1>
          <xm:sqref>B598</xm:sqref>
        </x14:dataValidation>
        <x14:dataValidation type="list" allowBlank="1" showInputMessage="1" showErrorMessage="1" xr:uid="{F5891B8C-196A-4226-B29D-53B66D5C74B6}">
          <x14:formula1>
            <xm:f>ReferentsDPT!A2:A16</xm:f>
          </x14:formula1>
          <xm:sqref>B599</xm:sqref>
        </x14:dataValidation>
        <x14:dataValidation type="list" allowBlank="1" showInputMessage="1" showErrorMessage="1" xr:uid="{EDA7DE17-59C3-4C73-8898-5EC2DB0491E4}">
          <x14:formula1>
            <xm:f>ReferentsDPT!A2:A16</xm:f>
          </x14:formula1>
          <xm:sqref>B600</xm:sqref>
        </x14:dataValidation>
        <x14:dataValidation type="list" allowBlank="1" showInputMessage="1" showErrorMessage="1" xr:uid="{190CB30D-1AFE-466E-8204-B4D48EFB1E86}">
          <x14:formula1>
            <xm:f>ReferentsDPT!A2:A16</xm:f>
          </x14:formula1>
          <xm:sqref>B601</xm:sqref>
        </x14:dataValidation>
        <x14:dataValidation type="list" allowBlank="1" showInputMessage="1" showErrorMessage="1" xr:uid="{8034EB81-EE4B-4F88-BE68-440166ABBB10}">
          <x14:formula1>
            <xm:f>Classes!A2:A4</xm:f>
          </x14:formula1>
          <xm:sqref>E598</xm:sqref>
        </x14:dataValidation>
        <x14:dataValidation type="list" allowBlank="1" showInputMessage="1" showErrorMessage="1" xr:uid="{586EE81D-7885-4120-8599-48A90414EFAB}">
          <x14:formula1>
            <xm:f>Classes!A2:A4</xm:f>
          </x14:formula1>
          <xm:sqref>E599</xm:sqref>
        </x14:dataValidation>
        <x14:dataValidation type="list" allowBlank="1" showInputMessage="1" showErrorMessage="1" xr:uid="{1D88ADD6-029B-44FB-857D-C5AE174047C2}">
          <x14:formula1>
            <xm:f>Classes!A2:A4</xm:f>
          </x14:formula1>
          <xm:sqref>E600</xm:sqref>
        </x14:dataValidation>
        <x14:dataValidation type="list" allowBlank="1" showInputMessage="1" showErrorMessage="1" xr:uid="{77E0A834-C2AF-4591-90C5-F754B1A4A15D}">
          <x14:formula1>
            <xm:f>ReferentsDPT!A2:A16</xm:f>
          </x14:formula1>
          <xm:sqref>B602</xm:sqref>
        </x14:dataValidation>
        <x14:dataValidation type="list" allowBlank="1" showInputMessage="1" showErrorMessage="1" xr:uid="{0000556B-63EF-446A-A228-2DD5B38F7FA9}">
          <x14:formula1>
            <xm:f>Classes!A2:A4</xm:f>
          </x14:formula1>
          <xm:sqref>E601</xm:sqref>
        </x14:dataValidation>
        <x14:dataValidation type="list" allowBlank="1" showInputMessage="1" showErrorMessage="1" xr:uid="{BFC06AE0-DE86-4EA7-9E61-32FA652627BA}">
          <x14:formula1>
            <xm:f>Classes!A2:A4</xm:f>
          </x14:formula1>
          <xm:sqref>E602</xm:sqref>
        </x14:dataValidation>
        <x14:dataValidation type="list" allowBlank="1" showInputMessage="1" showErrorMessage="1" xr:uid="{B7FD540C-99AC-47C6-A972-14137F7795AB}">
          <x14:formula1>
            <xm:f>ReferentsDPT!A2:A16</xm:f>
          </x14:formula1>
          <xm:sqref>B603</xm:sqref>
        </x14:dataValidation>
        <x14:dataValidation type="list" allowBlank="1" showInputMessage="1" showErrorMessage="1" xr:uid="{9B581B72-5CF0-4910-95CB-5B9DC3483EEC}">
          <x14:formula1>
            <xm:f>ReferentsDPT!A2:A16</xm:f>
          </x14:formula1>
          <xm:sqref>B604</xm:sqref>
        </x14:dataValidation>
        <x14:dataValidation type="list" allowBlank="1" showInputMessage="1" showErrorMessage="1" xr:uid="{9C460543-777D-4B1F-9778-9B07682CA001}">
          <x14:formula1>
            <xm:f>ReferentsDPT!A2:A16</xm:f>
          </x14:formula1>
          <xm:sqref>B605</xm:sqref>
        </x14:dataValidation>
        <x14:dataValidation type="list" allowBlank="1" showInputMessage="1" showErrorMessage="1" xr:uid="{20692570-B547-4236-8C2C-03E05076DE30}">
          <x14:formula1>
            <xm:f>Classes!A2:A4</xm:f>
          </x14:formula1>
          <xm:sqref>E603</xm:sqref>
        </x14:dataValidation>
        <x14:dataValidation type="list" allowBlank="1" showInputMessage="1" showErrorMessage="1" xr:uid="{08CB587C-4C0C-4923-9E8B-1E48D7C8EC9C}">
          <x14:formula1>
            <xm:f>Classes!A2:A4</xm:f>
          </x14:formula1>
          <xm:sqref>E604</xm:sqref>
        </x14:dataValidation>
        <x14:dataValidation type="list" allowBlank="1" showInputMessage="1" showErrorMessage="1" xr:uid="{A6324517-3B7A-43CD-84B0-47C95AC5CF29}">
          <x14:formula1>
            <xm:f>ReferentsDPT!A2:A16</xm:f>
          </x14:formula1>
          <xm:sqref>B606</xm:sqref>
        </x14:dataValidation>
        <x14:dataValidation type="list" allowBlank="1" showInputMessage="1" showErrorMessage="1" xr:uid="{AF9456C3-C11D-4C47-A980-E7724291B6C7}">
          <x14:formula1>
            <xm:f>Classes!A2:A4</xm:f>
          </x14:formula1>
          <xm:sqref>E606</xm:sqref>
        </x14:dataValidation>
        <x14:dataValidation type="list" allowBlank="1" showInputMessage="1" showErrorMessage="1" xr:uid="{796F47C2-3BE8-4AE0-91E3-2E7A8544FF8B}">
          <x14:formula1>
            <xm:f>ReferentsDPT!A2:A16</xm:f>
          </x14:formula1>
          <xm:sqref>B607</xm:sqref>
        </x14:dataValidation>
        <x14:dataValidation type="list" allowBlank="1" showInputMessage="1" showErrorMessage="1" xr:uid="{D535EAF6-F83A-49BE-B9DB-C8D139A4D68E}">
          <x14:formula1>
            <xm:f>Classes!A2:A4</xm:f>
          </x14:formula1>
          <xm:sqref>E607</xm:sqref>
        </x14:dataValidation>
        <x14:dataValidation type="list" allowBlank="1" showInputMessage="1" showErrorMessage="1" xr:uid="{79AB8CEF-2FB6-4C4F-93E1-21C776D3AA23}">
          <x14:formula1>
            <xm:f>ReferentsDPT!A2:A16</xm:f>
          </x14:formula1>
          <xm:sqref>B608</xm:sqref>
        </x14:dataValidation>
        <x14:dataValidation type="list" allowBlank="1" showInputMessage="1" showErrorMessage="1" xr:uid="{DEAF2F88-2EF7-4571-81B5-61BA8934E8FA}">
          <x14:formula1>
            <xm:f>Classes!A2:A4</xm:f>
          </x14:formula1>
          <xm:sqref>E608</xm:sqref>
        </x14:dataValidation>
        <x14:dataValidation type="list" allowBlank="1" showInputMessage="1" showErrorMessage="1" xr:uid="{F95BC7C9-6658-44FD-B64F-F40F5C5F8F4B}">
          <x14:formula1>
            <xm:f>ReferentsDPT!A2:A16</xm:f>
          </x14:formula1>
          <xm:sqref>B609</xm:sqref>
        </x14:dataValidation>
        <x14:dataValidation type="list" allowBlank="1" showInputMessage="1" showErrorMessage="1" xr:uid="{C052E07A-32DC-43E3-A4E9-CF848EF14C79}">
          <x14:formula1>
            <xm:f>Classes!A2:A4</xm:f>
          </x14:formula1>
          <xm:sqref>E609</xm:sqref>
        </x14:dataValidation>
        <x14:dataValidation type="list" allowBlank="1" showInputMessage="1" showErrorMessage="1" xr:uid="{CBB9B9B5-17F9-45FC-93C5-4E536EDB5A52}">
          <x14:formula1>
            <xm:f>ReferentsDPT!A2:A16</xm:f>
          </x14:formula1>
          <xm:sqref>B612</xm:sqref>
        </x14:dataValidation>
        <x14:dataValidation type="list" allowBlank="1" showInputMessage="1" showErrorMessage="1" xr:uid="{F1AF6A64-DB9A-4D29-85BC-347B8AE657D1}">
          <x14:formula1>
            <xm:f>ReferentsDPT!A2:A16</xm:f>
          </x14:formula1>
          <xm:sqref>B613</xm:sqref>
        </x14:dataValidation>
        <x14:dataValidation type="list" allowBlank="1" showInputMessage="1" showErrorMessage="1" xr:uid="{B6DA1998-1779-437A-970E-1D97027D20CB}">
          <x14:formula1>
            <xm:f>ReferentsDPT!A2:A16</xm:f>
          </x14:formula1>
          <xm:sqref>B614</xm:sqref>
        </x14:dataValidation>
        <x14:dataValidation type="list" allowBlank="1" showInputMessage="1" showErrorMessage="1" xr:uid="{E28241E0-A79B-4579-8AFB-32FFEDCFF6CE}">
          <x14:formula1>
            <xm:f>Classes!A2:A4</xm:f>
          </x14:formula1>
          <xm:sqref>E612</xm:sqref>
        </x14:dataValidation>
        <x14:dataValidation type="list" allowBlank="1" showInputMessage="1" showErrorMessage="1" xr:uid="{60052CDD-3ABA-4371-9F8D-BCCD56977DD3}">
          <x14:formula1>
            <xm:f>Classes!A2:A4</xm:f>
          </x14:formula1>
          <xm:sqref>E613</xm:sqref>
        </x14:dataValidation>
        <x14:dataValidation type="list" allowBlank="1" showInputMessage="1" showErrorMessage="1" xr:uid="{1D68D038-8036-4E1E-9B71-967C5C7490F9}">
          <x14:formula1>
            <xm:f>ReferentsDPT!A2:A16</xm:f>
          </x14:formula1>
          <xm:sqref>B615</xm:sqref>
        </x14:dataValidation>
        <x14:dataValidation type="list" allowBlank="1" showInputMessage="1" showErrorMessage="1" xr:uid="{A5C6254C-9CDC-407F-9BB0-7C49E82B80C4}">
          <x14:formula1>
            <xm:f>Classes!A2:A4</xm:f>
          </x14:formula1>
          <xm:sqref>E614</xm:sqref>
        </x14:dataValidation>
        <x14:dataValidation type="list" allowBlank="1" showInputMessage="1" showErrorMessage="1" xr:uid="{1099977E-41AB-451A-8AFA-E8C171E83B1C}">
          <x14:formula1>
            <xm:f>Classes!A2:A4</xm:f>
          </x14:formula1>
          <xm:sqref>E615</xm:sqref>
        </x14:dataValidation>
        <x14:dataValidation type="list" allowBlank="1" showInputMessage="1" showErrorMessage="1" xr:uid="{1A50273A-6A38-444F-9A8B-0FC633E026B5}">
          <x14:formula1>
            <xm:f>ReferentsDPT!A2:A16</xm:f>
          </x14:formula1>
          <xm:sqref>B616</xm:sqref>
        </x14:dataValidation>
        <x14:dataValidation type="list" allowBlank="1" showInputMessage="1" showErrorMessage="1" xr:uid="{C50005B5-79DA-4429-80F3-84B69701FAB5}">
          <x14:formula1>
            <xm:f>Classes!A2:A4</xm:f>
          </x14:formula1>
          <xm:sqref>E616</xm:sqref>
        </x14:dataValidation>
        <x14:dataValidation type="list" allowBlank="1" showInputMessage="1" showErrorMessage="1" xr:uid="{C65C7D79-4843-4C3C-A448-9CBB681A2093}">
          <x14:formula1>
            <xm:f>ReferentsDPT!A2:A16</xm:f>
          </x14:formula1>
          <xm:sqref>B617</xm:sqref>
        </x14:dataValidation>
        <x14:dataValidation type="list" allowBlank="1" showInputMessage="1" showErrorMessage="1" xr:uid="{D7CB3F48-CAB2-423A-93C6-ECAE956F7BAE}">
          <x14:formula1>
            <xm:f>Classes!A2:A4</xm:f>
          </x14:formula1>
          <xm:sqref>E617</xm:sqref>
        </x14:dataValidation>
        <x14:dataValidation type="list" allowBlank="1" showInputMessage="1" showErrorMessage="1" xr:uid="{FFFAE62C-D036-4714-9255-71590F9336DE}">
          <x14:formula1>
            <xm:f>ReferentsDPT!A2:A16</xm:f>
          </x14:formula1>
          <xm:sqref>B618</xm:sqref>
        </x14:dataValidation>
        <x14:dataValidation type="list" allowBlank="1" showInputMessage="1" showErrorMessage="1" xr:uid="{127D09E7-4DA7-47C6-A303-25FE35F15274}">
          <x14:formula1>
            <xm:f>Classes!A2:A4</xm:f>
          </x14:formula1>
          <xm:sqref>E618</xm:sqref>
        </x14:dataValidation>
        <x14:dataValidation type="list" allowBlank="1" showInputMessage="1" showErrorMessage="1" xr:uid="{E0888187-C6EC-494F-BFFB-92582C32A2E2}">
          <x14:formula1>
            <xm:f>ReferentsDPT!A2:A16</xm:f>
          </x14:formula1>
          <xm:sqref>B619</xm:sqref>
        </x14:dataValidation>
        <x14:dataValidation type="list" allowBlank="1" showInputMessage="1" showErrorMessage="1" xr:uid="{E1293C05-014B-4523-8E22-DA9FDA42F98E}">
          <x14:formula1>
            <xm:f>Classes!A2:A4</xm:f>
          </x14:formula1>
          <xm:sqref>E619</xm:sqref>
        </x14:dataValidation>
        <x14:dataValidation type="list" allowBlank="1" showInputMessage="1" showErrorMessage="1" xr:uid="{B97DBA99-8F7E-4570-8F97-496D7F36F28C}">
          <x14:formula1>
            <xm:f>ReferentsDPT!A2:A16</xm:f>
          </x14:formula1>
          <xm:sqref>B621</xm:sqref>
        </x14:dataValidation>
        <x14:dataValidation type="list" allowBlank="1" showInputMessage="1" showErrorMessage="1" xr:uid="{2A322C0A-D957-4ACB-B0E9-CB5AF0CBA954}">
          <x14:formula1>
            <xm:f>Classes!A2:A4</xm:f>
          </x14:formula1>
          <xm:sqref>E621</xm:sqref>
        </x14:dataValidation>
        <x14:dataValidation type="list" allowBlank="1" showInputMessage="1" showErrorMessage="1" xr:uid="{BB9C93CF-1313-447D-93A2-8CBD84C7C3D4}">
          <x14:formula1>
            <xm:f>ReferentsDPT!A2:A16</xm:f>
          </x14:formula1>
          <xm:sqref>B622</xm:sqref>
        </x14:dataValidation>
        <x14:dataValidation type="list" allowBlank="1" showInputMessage="1" showErrorMessage="1" xr:uid="{F899AA99-BE8F-4FE6-904F-94D968A281CF}">
          <x14:formula1>
            <xm:f>Classes!A2:A4</xm:f>
          </x14:formula1>
          <xm:sqref>E622</xm:sqref>
        </x14:dataValidation>
        <x14:dataValidation type="list" allowBlank="1" showInputMessage="1" showErrorMessage="1" xr:uid="{7254E9C2-1015-4A03-80CA-1EED0723067F}">
          <x14:formula1>
            <xm:f>ReferentsDPT!A2:A16</xm:f>
          </x14:formula1>
          <xm:sqref>B623</xm:sqref>
        </x14:dataValidation>
        <x14:dataValidation type="list" allowBlank="1" showInputMessage="1" showErrorMessage="1" xr:uid="{EEFA1A77-F0FB-416A-B9F3-645D6F058C5E}">
          <x14:formula1>
            <xm:f>Classes!A2:A4</xm:f>
          </x14:formula1>
          <xm:sqref>E623</xm:sqref>
        </x14:dataValidation>
        <x14:dataValidation type="list" allowBlank="1" showInputMessage="1" showErrorMessage="1" xr:uid="{4FB2093B-97FB-4212-8310-35C1A45EF241}">
          <x14:formula1>
            <xm:f>ReferentsDPT!A2:A16</xm:f>
          </x14:formula1>
          <xm:sqref>B625</xm:sqref>
        </x14:dataValidation>
        <x14:dataValidation type="list" allowBlank="1" showInputMessage="1" showErrorMessage="1" xr:uid="{51DE5947-ADC7-4685-80B7-6DC50C339D6B}">
          <x14:formula1>
            <xm:f>Classes!A2:A4</xm:f>
          </x14:formula1>
          <xm:sqref>E625</xm:sqref>
        </x14:dataValidation>
        <x14:dataValidation type="list" allowBlank="1" showInputMessage="1" showErrorMessage="1" xr:uid="{1CCB99F0-082F-4ED2-B291-A4C28D3A1B71}">
          <x14:formula1>
            <xm:f>ReferentsDPT!A2:A16</xm:f>
          </x14:formula1>
          <xm:sqref>B626</xm:sqref>
        </x14:dataValidation>
        <x14:dataValidation type="list" allowBlank="1" showInputMessage="1" showErrorMessage="1" xr:uid="{3611D186-7289-464C-8CD8-93FC02F0CB48}">
          <x14:formula1>
            <xm:f>Classes!A2:A4</xm:f>
          </x14:formula1>
          <xm:sqref>E626</xm:sqref>
        </x14:dataValidation>
        <x14:dataValidation type="list" allowBlank="1" showInputMessage="1" showErrorMessage="1" xr:uid="{934D8A49-EAAB-4F2D-8950-0450E61CC0EA}">
          <x14:formula1>
            <xm:f>ReferentsDPT!A2:A16</xm:f>
          </x14:formula1>
          <xm:sqref>B629</xm:sqref>
        </x14:dataValidation>
        <x14:dataValidation type="list" allowBlank="1" showInputMessage="1" showErrorMessage="1" xr:uid="{1F93B5D6-2C53-46A9-8FC4-423714FB390A}">
          <x14:formula1>
            <xm:f>Classes!A2:A4</xm:f>
          </x14:formula1>
          <xm:sqref>E629</xm:sqref>
        </x14:dataValidation>
        <x14:dataValidation type="list" allowBlank="1" showInputMessage="1" showErrorMessage="1" xr:uid="{6FC93473-0B37-45C2-83EF-728477A8B57B}">
          <x14:formula1>
            <xm:f>ReferentsDPT!A2:A16</xm:f>
          </x14:formula1>
          <xm:sqref>B630</xm:sqref>
        </x14:dataValidation>
        <x14:dataValidation type="list" allowBlank="1" showInputMessage="1" showErrorMessage="1" xr:uid="{2AC441D8-C5A7-4C0A-814C-309A99BA8791}">
          <x14:formula1>
            <xm:f>Classes!A2:A4</xm:f>
          </x14:formula1>
          <xm:sqref>E630</xm:sqref>
        </x14:dataValidation>
        <x14:dataValidation type="list" allowBlank="1" showInputMessage="1" showErrorMessage="1" xr:uid="{E9587EBC-5266-4CF1-AC9A-F64A2D54C5DE}">
          <x14:formula1>
            <xm:f>ReferentsDPT!A2:A16</xm:f>
          </x14:formula1>
          <xm:sqref>B631</xm:sqref>
        </x14:dataValidation>
        <x14:dataValidation type="list" allowBlank="1" showInputMessage="1" showErrorMessage="1" xr:uid="{4653199D-18C4-4970-9807-D2EBB279F1CA}">
          <x14:formula1>
            <xm:f>Classes!A2:A4</xm:f>
          </x14:formula1>
          <xm:sqref>E631</xm:sqref>
        </x14:dataValidation>
        <x14:dataValidation type="list" allowBlank="1" showInputMessage="1" showErrorMessage="1" xr:uid="{CD7D40CA-57A1-4D30-BAC5-38BDA2391F09}">
          <x14:formula1>
            <xm:f>ReferentsDPT!A2:A16</xm:f>
          </x14:formula1>
          <xm:sqref>B632</xm:sqref>
        </x14:dataValidation>
        <x14:dataValidation type="list" allowBlank="1" showInputMessage="1" showErrorMessage="1" xr:uid="{1E7EC991-D0C4-493E-8394-3606CDEEDDA4}">
          <x14:formula1>
            <xm:f>ReferentsDPT!A2:A16</xm:f>
          </x14:formula1>
          <xm:sqref>B633</xm:sqref>
        </x14:dataValidation>
        <x14:dataValidation type="list" allowBlank="1" showInputMessage="1" showErrorMessage="1" xr:uid="{25F1735D-4C30-4BDB-8CEF-5FEE07E66923}">
          <x14:formula1>
            <xm:f>Classes!A2:A4</xm:f>
          </x14:formula1>
          <xm:sqref>E632</xm:sqref>
        </x14:dataValidation>
        <x14:dataValidation type="list" allowBlank="1" showInputMessage="1" showErrorMessage="1" xr:uid="{E7216805-4264-4187-A3B5-2BC07339B466}">
          <x14:formula1>
            <xm:f>Classes!A2:A4</xm:f>
          </x14:formula1>
          <xm:sqref>E633</xm:sqref>
        </x14:dataValidation>
        <x14:dataValidation type="list" allowBlank="1" showInputMessage="1" showErrorMessage="1" xr:uid="{C4EBDBE1-D7DA-4992-91EC-AB93D82B37FA}">
          <x14:formula1>
            <xm:f>ReferentsDPT!A2:A16</xm:f>
          </x14:formula1>
          <xm:sqref>B634</xm:sqref>
        </x14:dataValidation>
        <x14:dataValidation type="list" allowBlank="1" showInputMessage="1" showErrorMessage="1" xr:uid="{6DCF9F6B-7608-4F25-9DCD-E1225A007F47}">
          <x14:formula1>
            <xm:f>Classes!A2:A4</xm:f>
          </x14:formula1>
          <xm:sqref>E634</xm:sqref>
        </x14:dataValidation>
        <x14:dataValidation type="list" allowBlank="1" showInputMessage="1" showErrorMessage="1" xr:uid="{FDBC4F8C-A92D-4237-9F8C-9A9DE50CD273}">
          <x14:formula1>
            <xm:f>ReferentsDPT!A2:A16</xm:f>
          </x14:formula1>
          <xm:sqref>B635</xm:sqref>
        </x14:dataValidation>
        <x14:dataValidation type="list" allowBlank="1" showInputMessage="1" showErrorMessage="1" xr:uid="{B0AFFA52-78CA-42C3-AC9D-E18DA6EBCDB3}">
          <x14:formula1>
            <xm:f>Classes!A2:A4</xm:f>
          </x14:formula1>
          <xm:sqref>E635</xm:sqref>
        </x14:dataValidation>
        <x14:dataValidation type="list" allowBlank="1" showInputMessage="1" showErrorMessage="1" xr:uid="{2ED18538-FEAF-4352-8576-36D3E4C91343}">
          <x14:formula1>
            <xm:f>ReferentsDPT!A2:A16</xm:f>
          </x14:formula1>
          <xm:sqref>B636</xm:sqref>
        </x14:dataValidation>
        <x14:dataValidation type="list" allowBlank="1" showInputMessage="1" showErrorMessage="1" xr:uid="{ED713486-5B62-43D1-BFBD-920556F1ADBB}">
          <x14:formula1>
            <xm:f>Classes!A2:A4</xm:f>
          </x14:formula1>
          <xm:sqref>E636</xm:sqref>
        </x14:dataValidation>
        <x14:dataValidation type="list" allowBlank="1" showInputMessage="1" showErrorMessage="1" xr:uid="{0F35D6AB-83EF-494B-AAEF-D54DBD4356F1}">
          <x14:formula1>
            <xm:f>ReferentsDPT!A2:A16</xm:f>
          </x14:formula1>
          <xm:sqref>B637</xm:sqref>
        </x14:dataValidation>
        <x14:dataValidation type="list" allowBlank="1" showInputMessage="1" showErrorMessage="1" xr:uid="{4395E0F0-33F7-4B1B-B048-5EFE893BC569}">
          <x14:formula1>
            <xm:f>Classes!A2:A4</xm:f>
          </x14:formula1>
          <xm:sqref>E637</xm:sqref>
        </x14:dataValidation>
        <x14:dataValidation type="list" allowBlank="1" showInputMessage="1" showErrorMessage="1" xr:uid="{F0206935-5D1C-4E05-AE2D-114B9C3CB6D5}">
          <x14:formula1>
            <xm:f>ReferentsDPT!A2:A16</xm:f>
          </x14:formula1>
          <xm:sqref>B638</xm:sqref>
        </x14:dataValidation>
        <x14:dataValidation type="list" allowBlank="1" showInputMessage="1" showErrorMessage="1" xr:uid="{CB943AE6-2F26-45E1-A42E-8720473D49B2}">
          <x14:formula1>
            <xm:f>ReferentsDPT!A2:A16</xm:f>
          </x14:formula1>
          <xm:sqref>B639</xm:sqref>
        </x14:dataValidation>
        <x14:dataValidation type="list" allowBlank="1" showInputMessage="1" showErrorMessage="1" xr:uid="{4826B25C-CBB2-4580-83EF-96B087414995}">
          <x14:formula1>
            <xm:f>ReferentsDPT!A2:A16</xm:f>
          </x14:formula1>
          <xm:sqref>B640</xm:sqref>
        </x14:dataValidation>
        <x14:dataValidation type="list" allowBlank="1" showInputMessage="1" showErrorMessage="1" xr:uid="{AFADFC26-F885-4B8E-9FD2-6C234A753340}">
          <x14:formula1>
            <xm:f>ReferentsDPT!A2:A16</xm:f>
          </x14:formula1>
          <xm:sqref>B641</xm:sqref>
        </x14:dataValidation>
        <x14:dataValidation type="list" allowBlank="1" showInputMessage="1" showErrorMessage="1" xr:uid="{D4959258-FB33-493A-9024-71E5A2459915}">
          <x14:formula1>
            <xm:f>ReferentsDPT!A2:A16</xm:f>
          </x14:formula1>
          <xm:sqref>B642</xm:sqref>
        </x14:dataValidation>
        <x14:dataValidation type="list" allowBlank="1" showInputMessage="1" showErrorMessage="1" xr:uid="{ADF8F8AC-A0D1-46FB-9C04-B34EDA1E68ED}">
          <x14:formula1>
            <xm:f>ReferentsDPT!A2:A16</xm:f>
          </x14:formula1>
          <xm:sqref>B643</xm:sqref>
        </x14:dataValidation>
        <x14:dataValidation type="list" allowBlank="1" showInputMessage="1" showErrorMessage="1" xr:uid="{4DE75530-C568-4EB0-B36E-AEB4E1EEE8D0}">
          <x14:formula1>
            <xm:f>Classes!A2:A4</xm:f>
          </x14:formula1>
          <xm:sqref>E638</xm:sqref>
        </x14:dataValidation>
        <x14:dataValidation type="list" allowBlank="1" showInputMessage="1" showErrorMessage="1" xr:uid="{F605A2AF-6FF1-4285-9A61-B7CA029993DF}">
          <x14:formula1>
            <xm:f>Classes!A2:A4</xm:f>
          </x14:formula1>
          <xm:sqref>E639</xm:sqref>
        </x14:dataValidation>
        <x14:dataValidation type="list" allowBlank="1" showInputMessage="1" showErrorMessage="1" xr:uid="{FBC68560-3316-4FFB-9285-82DD4E48851E}">
          <x14:formula1>
            <xm:f>Classes!A2:A4</xm:f>
          </x14:formula1>
          <xm:sqref>E640</xm:sqref>
        </x14:dataValidation>
        <x14:dataValidation type="list" allowBlank="1" showInputMessage="1" showErrorMessage="1" xr:uid="{BFE3DC1A-A5FE-48B5-94B9-669C26E70613}">
          <x14:formula1>
            <xm:f>Classes!A2:A4</xm:f>
          </x14:formula1>
          <xm:sqref>E641</xm:sqref>
        </x14:dataValidation>
        <x14:dataValidation type="list" allowBlank="1" showInputMessage="1" showErrorMessage="1" xr:uid="{BD3A5478-AAC5-4BCE-BF31-0F72F3A932DB}">
          <x14:formula1>
            <xm:f>Classes!A2:A4</xm:f>
          </x14:formula1>
          <xm:sqref>E642</xm:sqref>
        </x14:dataValidation>
        <x14:dataValidation type="list" allowBlank="1" showInputMessage="1" showErrorMessage="1" xr:uid="{8EAC1A43-8972-455E-88CB-B3A3DF7AD637}">
          <x14:formula1>
            <xm:f>Classes!A2:A4</xm:f>
          </x14:formula1>
          <xm:sqref>E643</xm:sqref>
        </x14:dataValidation>
        <x14:dataValidation type="list" allowBlank="1" showInputMessage="1" showErrorMessage="1" xr:uid="{FF11266F-0535-40E5-9098-07A5F18CC6BB}">
          <x14:formula1>
            <xm:f>ReferentsDPT!A2:A16</xm:f>
          </x14:formula1>
          <xm:sqref>B644</xm:sqref>
        </x14:dataValidation>
        <x14:dataValidation type="list" allowBlank="1" showInputMessage="1" showErrorMessage="1" xr:uid="{79E324DA-9DAF-4779-B111-0673274D0DE4}">
          <x14:formula1>
            <xm:f>Classes!A2:A4</xm:f>
          </x14:formula1>
          <xm:sqref>E644</xm:sqref>
        </x14:dataValidation>
        <x14:dataValidation type="list" allowBlank="1" showInputMessage="1" showErrorMessage="1" xr:uid="{E6236531-8D78-4819-B0FD-94FDCDC08EA0}">
          <x14:formula1>
            <xm:f>ReferentsDPT!A2:A16</xm:f>
          </x14:formula1>
          <xm:sqref>B645</xm:sqref>
        </x14:dataValidation>
        <x14:dataValidation type="list" allowBlank="1" showInputMessage="1" showErrorMessage="1" xr:uid="{5B79DABF-8509-4E41-8460-4459D5EEEF13}">
          <x14:formula1>
            <xm:f>Classes!A2:A4</xm:f>
          </x14:formula1>
          <xm:sqref>E645</xm:sqref>
        </x14:dataValidation>
        <x14:dataValidation type="list" allowBlank="1" showInputMessage="1" showErrorMessage="1" xr:uid="{5B1DFE04-A217-4B9A-944A-80A651DC4B77}">
          <x14:formula1>
            <xm:f>ReferentsDPT!A2:A16</xm:f>
          </x14:formula1>
          <xm:sqref>B646</xm:sqref>
        </x14:dataValidation>
        <x14:dataValidation type="list" allowBlank="1" showInputMessage="1" showErrorMessage="1" xr:uid="{51DC529E-78D5-4F10-92A2-82736BE6A54A}">
          <x14:formula1>
            <xm:f>Classes!A2:A4</xm:f>
          </x14:formula1>
          <xm:sqref>E646</xm:sqref>
        </x14:dataValidation>
        <x14:dataValidation type="list" allowBlank="1" showInputMessage="1" showErrorMessage="1" xr:uid="{7D82115F-601F-467B-BA10-6090270D75B7}">
          <x14:formula1>
            <xm:f>ReferentsDPT!A2:A16</xm:f>
          </x14:formula1>
          <xm:sqref>B647</xm:sqref>
        </x14:dataValidation>
        <x14:dataValidation type="list" allowBlank="1" showInputMessage="1" showErrorMessage="1" xr:uid="{6AC32E45-11B7-42EC-A8F6-CD87720111DC}">
          <x14:formula1>
            <xm:f>Classes!A2:A4</xm:f>
          </x14:formula1>
          <xm:sqref>E647</xm:sqref>
        </x14:dataValidation>
        <x14:dataValidation type="list" allowBlank="1" showInputMessage="1" showErrorMessage="1" xr:uid="{AA2A24DF-BCD1-4A21-BD4F-31DC48FB6DA8}">
          <x14:formula1>
            <xm:f>ReferentsDPT!A2:A16</xm:f>
          </x14:formula1>
          <xm:sqref>B648</xm:sqref>
        </x14:dataValidation>
        <x14:dataValidation type="list" allowBlank="1" showInputMessage="1" showErrorMessage="1" xr:uid="{D516C217-160B-422F-9E23-910E7A59EC1E}">
          <x14:formula1>
            <xm:f>Classes!A2:A4</xm:f>
          </x14:formula1>
          <xm:sqref>E648</xm:sqref>
        </x14:dataValidation>
        <x14:dataValidation type="list" allowBlank="1" showInputMessage="1" showErrorMessage="1" xr:uid="{EE47A242-DA3B-49E9-83AD-D1F479723C4F}">
          <x14:formula1>
            <xm:f>ReferentsDPT!A2:A16</xm:f>
          </x14:formula1>
          <xm:sqref>B649</xm:sqref>
        </x14:dataValidation>
        <x14:dataValidation type="list" allowBlank="1" showInputMessage="1" showErrorMessage="1" xr:uid="{69D12282-C7A7-49AF-9B1B-4C6C644BD803}">
          <x14:formula1>
            <xm:f>Classes!A2:A4</xm:f>
          </x14:formula1>
          <xm:sqref>E649</xm:sqref>
        </x14:dataValidation>
        <x14:dataValidation type="list" allowBlank="1" showInputMessage="1" showErrorMessage="1" xr:uid="{E8DB9315-82C4-4DC0-92E7-61D96085E8D6}">
          <x14:formula1>
            <xm:f>ReferentsDPT!A2:A16</xm:f>
          </x14:formula1>
          <xm:sqref>B650</xm:sqref>
        </x14:dataValidation>
        <x14:dataValidation type="list" allowBlank="1" showInputMessage="1" showErrorMessage="1" xr:uid="{3B6EC20A-AEC4-4747-A0B3-786FC878AB75}">
          <x14:formula1>
            <xm:f>Classes!A2:A4</xm:f>
          </x14:formula1>
          <xm:sqref>E650</xm:sqref>
        </x14:dataValidation>
        <x14:dataValidation type="list" allowBlank="1" showInputMessage="1" showErrorMessage="1" xr:uid="{506E3B35-D5F5-4808-97C1-B93216F737A7}">
          <x14:formula1>
            <xm:f>ReferentsDPT!A2:A16</xm:f>
          </x14:formula1>
          <xm:sqref>B651</xm:sqref>
        </x14:dataValidation>
        <x14:dataValidation type="list" allowBlank="1" showInputMessage="1" showErrorMessage="1" xr:uid="{EC4BD1E8-B666-44B1-9E58-BC9DF428F359}">
          <x14:formula1>
            <xm:f>Classes!A2:A4</xm:f>
          </x14:formula1>
          <xm:sqref>E651</xm:sqref>
        </x14:dataValidation>
        <x14:dataValidation type="list" allowBlank="1" showInputMessage="1" showErrorMessage="1" xr:uid="{A1FE3183-700F-4BB2-A530-105B0EC3D192}">
          <x14:formula1>
            <xm:f>ReferentsDPT!A2:A16</xm:f>
          </x14:formula1>
          <xm:sqref>B652</xm:sqref>
        </x14:dataValidation>
        <x14:dataValidation type="list" allowBlank="1" showInputMessage="1" showErrorMessage="1" xr:uid="{D165EA74-6CB1-4CD5-9FDC-5E7AED7B9B34}">
          <x14:formula1>
            <xm:f>Classes!A2:A4</xm:f>
          </x14:formula1>
          <xm:sqref>E652</xm:sqref>
        </x14:dataValidation>
        <x14:dataValidation type="list" allowBlank="1" showInputMessage="1" showErrorMessage="1" xr:uid="{2CFFDB8F-F91A-4752-921D-73839536941C}">
          <x14:formula1>
            <xm:f>ReferentsDPT!A2:A16</xm:f>
          </x14:formula1>
          <xm:sqref>B653</xm:sqref>
        </x14:dataValidation>
        <x14:dataValidation type="list" allowBlank="1" showInputMessage="1" showErrorMessage="1" xr:uid="{5BD258E9-8CAA-4BCC-B83B-A23E9A978614}">
          <x14:formula1>
            <xm:f>Classes!A2:A4</xm:f>
          </x14:formula1>
          <xm:sqref>E653</xm:sqref>
        </x14:dataValidation>
        <x14:dataValidation type="list" allowBlank="1" showInputMessage="1" showErrorMessage="1" xr:uid="{D6EA862E-42AF-4BB6-B537-2220FF02F46D}">
          <x14:formula1>
            <xm:f>ReferentsDPT!A2:A16</xm:f>
          </x14:formula1>
          <xm:sqref>B654</xm:sqref>
        </x14:dataValidation>
        <x14:dataValidation type="list" allowBlank="1" showInputMessage="1" showErrorMessage="1" xr:uid="{4A6CA20B-DDB6-49BD-A358-604161619811}">
          <x14:formula1>
            <xm:f>Classes!A2:A4</xm:f>
          </x14:formula1>
          <xm:sqref>E654</xm:sqref>
        </x14:dataValidation>
        <x14:dataValidation type="list" allowBlank="1" showInputMessage="1" showErrorMessage="1" xr:uid="{81833CF9-F64E-43C1-813E-EC076BE3975E}">
          <x14:formula1>
            <xm:f>ReferentsDPT!A2:A16</xm:f>
          </x14:formula1>
          <xm:sqref>B655</xm:sqref>
        </x14:dataValidation>
        <x14:dataValidation type="list" allowBlank="1" showInputMessage="1" showErrorMessage="1" xr:uid="{3F458FC4-D3C7-40E9-BA3B-1EDC58DCABF0}">
          <x14:formula1>
            <xm:f>Classes!A2:A4</xm:f>
          </x14:formula1>
          <xm:sqref>E655</xm:sqref>
        </x14:dataValidation>
        <x14:dataValidation type="list" allowBlank="1" showInputMessage="1" showErrorMessage="1" xr:uid="{0048D431-B1F1-4E09-8C4B-4EFF53EDC5C2}">
          <x14:formula1>
            <xm:f>ReferentsDPT!A2:A16</xm:f>
          </x14:formula1>
          <xm:sqref>B656</xm:sqref>
        </x14:dataValidation>
        <x14:dataValidation type="list" allowBlank="1" showInputMessage="1" showErrorMessage="1" xr:uid="{9B237CA0-2C24-4839-A888-6502E72C3A9C}">
          <x14:formula1>
            <xm:f>Classes!A2:A4</xm:f>
          </x14:formula1>
          <xm:sqref>E656</xm:sqref>
        </x14:dataValidation>
        <x14:dataValidation type="list" allowBlank="1" showInputMessage="1" showErrorMessage="1" xr:uid="{E224C7A1-9389-4522-B1BC-993800215E80}">
          <x14:formula1>
            <xm:f>ReferentsDPT!A2:A16</xm:f>
          </x14:formula1>
          <xm:sqref>B657</xm:sqref>
        </x14:dataValidation>
        <x14:dataValidation type="list" allowBlank="1" showInputMessage="1" showErrorMessage="1" xr:uid="{1F31629C-7670-4786-AD1E-C80273B7173B}">
          <x14:formula1>
            <xm:f>Classes!A2:A4</xm:f>
          </x14:formula1>
          <xm:sqref>E657</xm:sqref>
        </x14:dataValidation>
        <x14:dataValidation type="list" allowBlank="1" showInputMessage="1" showErrorMessage="1" xr:uid="{D5F877EA-4300-4644-A98D-48131590D55D}">
          <x14:formula1>
            <xm:f>ReferentsDPT!A2:A16</xm:f>
          </x14:formula1>
          <xm:sqref>B658</xm:sqref>
        </x14:dataValidation>
        <x14:dataValidation type="list" allowBlank="1" showInputMessage="1" showErrorMessage="1" xr:uid="{772F0530-3007-4B00-85D7-A344D7D6EA89}">
          <x14:formula1>
            <xm:f>Classes!A2:A4</xm:f>
          </x14:formula1>
          <xm:sqref>E658</xm:sqref>
        </x14:dataValidation>
        <x14:dataValidation type="list" allowBlank="1" showInputMessage="1" showErrorMessage="1" xr:uid="{5951A21E-09A5-4DAB-9D85-C338D6BD3912}">
          <x14:formula1>
            <xm:f>ReferentsDPT!A2:A16</xm:f>
          </x14:formula1>
          <xm:sqref>B659</xm:sqref>
        </x14:dataValidation>
        <x14:dataValidation type="list" allowBlank="1" showInputMessage="1" showErrorMessage="1" xr:uid="{AA7FCEF0-312A-45EF-8172-AB7E12365597}">
          <x14:formula1>
            <xm:f>Classes!A2:A4</xm:f>
          </x14:formula1>
          <xm:sqref>E659</xm:sqref>
        </x14:dataValidation>
        <x14:dataValidation type="list" allowBlank="1" showInputMessage="1" showErrorMessage="1" xr:uid="{7E47C7BF-C403-4892-8A8B-F35E29BC2999}">
          <x14:formula1>
            <xm:f>ReferentsDPT!A2:A16</xm:f>
          </x14:formula1>
          <xm:sqref>B660</xm:sqref>
        </x14:dataValidation>
        <x14:dataValidation type="list" allowBlank="1" showInputMessage="1" showErrorMessage="1" xr:uid="{A6C7F17F-98F9-4BA6-886F-CED4EDCE16E8}">
          <x14:formula1>
            <xm:f>Classes!A2:A4</xm:f>
          </x14:formula1>
          <xm:sqref>E660</xm:sqref>
        </x14:dataValidation>
        <x14:dataValidation type="list" allowBlank="1" showInputMessage="1" showErrorMessage="1" xr:uid="{A947E995-0F2D-4716-89AB-ACC4C152ECF9}">
          <x14:formula1>
            <xm:f>ReferentsDPT!A2:A16</xm:f>
          </x14:formula1>
          <xm:sqref>B661</xm:sqref>
        </x14:dataValidation>
        <x14:dataValidation type="list" allowBlank="1" showInputMessage="1" showErrorMessage="1" xr:uid="{AA03AC1D-1E70-4389-93FD-069F9383F22B}">
          <x14:formula1>
            <xm:f>Classes!A2:A4</xm:f>
          </x14:formula1>
          <xm:sqref>E661</xm:sqref>
        </x14:dataValidation>
        <x14:dataValidation type="list" allowBlank="1" showInputMessage="1" showErrorMessage="1" xr:uid="{E575C19D-618B-4EC3-99A3-6B2B36891A13}">
          <x14:formula1>
            <xm:f>ReferentsDPT!A2:A16</xm:f>
          </x14:formula1>
          <xm:sqref>B662</xm:sqref>
        </x14:dataValidation>
        <x14:dataValidation type="list" allowBlank="1" showInputMessage="1" showErrorMessage="1" xr:uid="{5DBE6B0A-C38F-4368-8BDD-1098059DE22F}">
          <x14:formula1>
            <xm:f>ReferentsDPT!A2:A16</xm:f>
          </x14:formula1>
          <xm:sqref>B663</xm:sqref>
        </x14:dataValidation>
        <x14:dataValidation type="list" allowBlank="1" showInputMessage="1" showErrorMessage="1" xr:uid="{268A106E-9991-4B45-A3CC-AED07660BAEC}">
          <x14:formula1>
            <xm:f>ReferentsDPT!A2:A16</xm:f>
          </x14:formula1>
          <xm:sqref>B664</xm:sqref>
        </x14:dataValidation>
        <x14:dataValidation type="list" allowBlank="1" showInputMessage="1" showErrorMessage="1" xr:uid="{7CEB898D-7525-4D5B-93F3-07A9E30236A6}">
          <x14:formula1>
            <xm:f>ReferentsDPT!A2:A16</xm:f>
          </x14:formula1>
          <xm:sqref>B665</xm:sqref>
        </x14:dataValidation>
        <x14:dataValidation type="list" allowBlank="1" showInputMessage="1" showErrorMessage="1" xr:uid="{4EEF2105-B1CF-40B5-94E7-2BFDBB99F674}">
          <x14:formula1>
            <xm:f>ReferentsDPT!A2:A16</xm:f>
          </x14:formula1>
          <xm:sqref>B666</xm:sqref>
        </x14:dataValidation>
        <x14:dataValidation type="list" allowBlank="1" showInputMessage="1" showErrorMessage="1" xr:uid="{8D0EC547-FF54-4DD5-B8CD-49DC20A6128D}">
          <x14:formula1>
            <xm:f>ReferentsDPT!A2:A16</xm:f>
          </x14:formula1>
          <xm:sqref>B667</xm:sqref>
        </x14:dataValidation>
        <x14:dataValidation type="list" allowBlank="1" showInputMessage="1" showErrorMessage="1" xr:uid="{FE745AAE-280C-4BE3-BF0F-EE9181ECCDFD}">
          <x14:formula1>
            <xm:f>ReferentsDPT!A2:A16</xm:f>
          </x14:formula1>
          <xm:sqref>B668</xm:sqref>
        </x14:dataValidation>
        <x14:dataValidation type="list" allowBlank="1" showInputMessage="1" showErrorMessage="1" xr:uid="{7D828C59-3FEE-419E-8A45-A400DB996F8A}">
          <x14:formula1>
            <xm:f>ReferentsDPT!A2:A16</xm:f>
          </x14:formula1>
          <xm:sqref>B669</xm:sqref>
        </x14:dataValidation>
        <x14:dataValidation type="list" allowBlank="1" showInputMessage="1" showErrorMessage="1" xr:uid="{974B6544-EEBC-4F92-A897-383F19A3C80E}">
          <x14:formula1>
            <xm:f>ReferentsDPT!A2:A16</xm:f>
          </x14:formula1>
          <xm:sqref>B670</xm:sqref>
        </x14:dataValidation>
        <x14:dataValidation type="list" allowBlank="1" showInputMessage="1" showErrorMessage="1" xr:uid="{068AEBF0-0502-4ADB-8763-367238F622FF}">
          <x14:formula1>
            <xm:f>ReferentsDPT!A2:A16</xm:f>
          </x14:formula1>
          <xm:sqref>B671</xm:sqref>
        </x14:dataValidation>
        <x14:dataValidation type="list" allowBlank="1" showInputMessage="1" showErrorMessage="1" xr:uid="{5497E67E-0F70-4D95-AB02-45F32AAF3DD8}">
          <x14:formula1>
            <xm:f>Classes!A2:A4</xm:f>
          </x14:formula1>
          <xm:sqref>E662</xm:sqref>
        </x14:dataValidation>
        <x14:dataValidation type="list" allowBlank="1" showInputMessage="1" showErrorMessage="1" xr:uid="{3F0D0E9A-4ED8-4533-9940-E42933A506B4}">
          <x14:formula1>
            <xm:f>Classes!A2:A4</xm:f>
          </x14:formula1>
          <xm:sqref>E663</xm:sqref>
        </x14:dataValidation>
        <x14:dataValidation type="list" allowBlank="1" showInputMessage="1" showErrorMessage="1" xr:uid="{9979C063-34C9-4A70-B9EE-B5535FCF7A67}">
          <x14:formula1>
            <xm:f>Classes!A2:A4</xm:f>
          </x14:formula1>
          <xm:sqref>E664</xm:sqref>
        </x14:dataValidation>
        <x14:dataValidation type="list" allowBlank="1" showInputMessage="1" showErrorMessage="1" xr:uid="{27733B87-495C-459D-9072-DAE2ABA03899}">
          <x14:formula1>
            <xm:f>Classes!A2:A4</xm:f>
          </x14:formula1>
          <xm:sqref>E665</xm:sqref>
        </x14:dataValidation>
        <x14:dataValidation type="list" allowBlank="1" showInputMessage="1" showErrorMessage="1" xr:uid="{B4EE93F8-FFAB-479B-B4CA-523A6C31776C}">
          <x14:formula1>
            <xm:f>Classes!A2:A4</xm:f>
          </x14:formula1>
          <xm:sqref>E666</xm:sqref>
        </x14:dataValidation>
        <x14:dataValidation type="list" allowBlank="1" showInputMessage="1" showErrorMessage="1" xr:uid="{16F9878A-C026-444D-8B26-E7075E4ED9F5}">
          <x14:formula1>
            <xm:f>Classes!A2:A4</xm:f>
          </x14:formula1>
          <xm:sqref>E667</xm:sqref>
        </x14:dataValidation>
        <x14:dataValidation type="list" allowBlank="1" showInputMessage="1" showErrorMessage="1" xr:uid="{59197AD7-2DB9-41BC-BE47-4FCC4775BC19}">
          <x14:formula1>
            <xm:f>Classes!A2:A4</xm:f>
          </x14:formula1>
          <xm:sqref>E668</xm:sqref>
        </x14:dataValidation>
        <x14:dataValidation type="list" allowBlank="1" showInputMessage="1" showErrorMessage="1" xr:uid="{1C22EA6A-9A53-4702-A3A9-4E3340F6117E}">
          <x14:formula1>
            <xm:f>Classes!A2:A4</xm:f>
          </x14:formula1>
          <xm:sqref>E669</xm:sqref>
        </x14:dataValidation>
        <x14:dataValidation type="list" allowBlank="1" showInputMessage="1" showErrorMessage="1" xr:uid="{F4957ED8-2317-4F24-AF67-E1EEF8958E81}">
          <x14:formula1>
            <xm:f>Classes!A2:A4</xm:f>
          </x14:formula1>
          <xm:sqref>E670</xm:sqref>
        </x14:dataValidation>
        <x14:dataValidation type="list" allowBlank="1" showInputMessage="1" showErrorMessage="1" xr:uid="{1DAA77A1-114C-4A31-8E64-4537D2E271EE}">
          <x14:formula1>
            <xm:f>Classes!A2:A4</xm:f>
          </x14:formula1>
          <xm:sqref>E671</xm:sqref>
        </x14:dataValidation>
        <x14:dataValidation type="list" allowBlank="1" showInputMessage="1" showErrorMessage="1" xr:uid="{7623B53E-C5CD-4B0E-9397-11073C93DEFC}">
          <x14:formula1>
            <xm:f>ReferentsDPT!A2:A16</xm:f>
          </x14:formula1>
          <xm:sqref>B672</xm:sqref>
        </x14:dataValidation>
        <x14:dataValidation type="list" allowBlank="1" showInputMessage="1" showErrorMessage="1" xr:uid="{30E6441C-0FFA-4EDF-8493-519B72DD88FC}">
          <x14:formula1>
            <xm:f>Classes!A2:A4</xm:f>
          </x14:formula1>
          <xm:sqref>E672</xm:sqref>
        </x14:dataValidation>
        <x14:dataValidation type="list" allowBlank="1" showInputMessage="1" showErrorMessage="1" xr:uid="{F43B653D-4EB7-4091-99B4-4E1888DBD0ED}">
          <x14:formula1>
            <xm:f>ReferentsDPT!A2:A16</xm:f>
          </x14:formula1>
          <xm:sqref>B673</xm:sqref>
        </x14:dataValidation>
        <x14:dataValidation type="list" allowBlank="1" showInputMessage="1" showErrorMessage="1" xr:uid="{144A79CA-FBAC-41F5-B4F9-E7210703CE6D}">
          <x14:formula1>
            <xm:f>Classes!A2:A4</xm:f>
          </x14:formula1>
          <xm:sqref>E673</xm:sqref>
        </x14:dataValidation>
        <x14:dataValidation type="list" allowBlank="1" showInputMessage="1" showErrorMessage="1" xr:uid="{9CD24F14-72FF-4AB8-A5E6-8D4F0BD41DFD}">
          <x14:formula1>
            <xm:f>ReferentsDPT!A2:A16</xm:f>
          </x14:formula1>
          <xm:sqref>B678</xm:sqref>
        </x14:dataValidation>
        <x14:dataValidation type="list" allowBlank="1" showInputMessage="1" showErrorMessage="1" xr:uid="{6E258ACF-439E-41ED-AD5D-E0E96D86629C}">
          <x14:formula1>
            <xm:f>Classes!A2:A4</xm:f>
          </x14:formula1>
          <xm:sqref>E678</xm:sqref>
        </x14:dataValidation>
        <x14:dataValidation type="list" allowBlank="1" showInputMessage="1" showErrorMessage="1" xr:uid="{67D7405C-CAC1-4B39-ACE9-6394E14F4E45}">
          <x14:formula1>
            <xm:f>ReferentsDPT!A2:A16</xm:f>
          </x14:formula1>
          <xm:sqref>B679</xm:sqref>
        </x14:dataValidation>
        <x14:dataValidation type="list" allowBlank="1" showInputMessage="1" showErrorMessage="1" xr:uid="{0B24B5E7-7601-439C-9F6E-2FE98CA39AA6}">
          <x14:formula1>
            <xm:f>Classes!A2:A4</xm:f>
          </x14:formula1>
          <xm:sqref>E679</xm:sqref>
        </x14:dataValidation>
        <x14:dataValidation type="list" allowBlank="1" showInputMessage="1" showErrorMessage="1" xr:uid="{1F234ED0-23B2-48D7-9116-A63401343D69}">
          <x14:formula1>
            <xm:f>ReferentsDPT!A2:A16</xm:f>
          </x14:formula1>
          <xm:sqref>B680</xm:sqref>
        </x14:dataValidation>
        <x14:dataValidation type="list" allowBlank="1" showInputMessage="1" showErrorMessage="1" xr:uid="{F0DE6674-BB99-4B47-B70B-A222FAAEC777}">
          <x14:formula1>
            <xm:f>Classes!A2:A4</xm:f>
          </x14:formula1>
          <xm:sqref>E680</xm:sqref>
        </x14:dataValidation>
        <x14:dataValidation type="list" allowBlank="1" showInputMessage="1" showErrorMessage="1" xr:uid="{F6BE82DF-1A4B-4C8F-B37E-73A79A09C9F0}">
          <x14:formula1>
            <xm:f>ReferentsDPT!A2:A16</xm:f>
          </x14:formula1>
          <xm:sqref>B681</xm:sqref>
        </x14:dataValidation>
        <x14:dataValidation type="list" allowBlank="1" showInputMessage="1" showErrorMessage="1" xr:uid="{C339252D-FAA5-49F6-B928-18854FD2C849}">
          <x14:formula1>
            <xm:f>Classes!A2:A4</xm:f>
          </x14:formula1>
          <xm:sqref>E681</xm:sqref>
        </x14:dataValidation>
        <x14:dataValidation type="list" allowBlank="1" showInputMessage="1" showErrorMessage="1" xr:uid="{E3405F5A-0913-45C9-B3F4-B48EF3A81752}">
          <x14:formula1>
            <xm:f>ReferentsDPT!A2:A16</xm:f>
          </x14:formula1>
          <xm:sqref>B682</xm:sqref>
        </x14:dataValidation>
        <x14:dataValidation type="list" allowBlank="1" showInputMessage="1" showErrorMessage="1" xr:uid="{A45D30CC-C3B1-4DA5-8828-D739904A8BDD}">
          <x14:formula1>
            <xm:f>Classes!A2:A4</xm:f>
          </x14:formula1>
          <xm:sqref>E682</xm:sqref>
        </x14:dataValidation>
        <x14:dataValidation type="list" allowBlank="1" showInputMessage="1" showErrorMessage="1" xr:uid="{D33294E5-97D1-48D1-80EA-A8A7F263B443}">
          <x14:formula1>
            <xm:f>ReferentsDPT!A2:A16</xm:f>
          </x14:formula1>
          <xm:sqref>B683</xm:sqref>
        </x14:dataValidation>
        <x14:dataValidation type="list" allowBlank="1" showInputMessage="1" showErrorMessage="1" xr:uid="{62A887CD-3E8E-411B-8638-7451F0699237}">
          <x14:formula1>
            <xm:f>Classes!A2:A4</xm:f>
          </x14:formula1>
          <xm:sqref>E683</xm:sqref>
        </x14:dataValidation>
        <x14:dataValidation type="list" allowBlank="1" showInputMessage="1" showErrorMessage="1" xr:uid="{FF3544C1-0FA1-40F2-868E-C0E4D7C08D53}">
          <x14:formula1>
            <xm:f>ReferentsDPT!A2:A16</xm:f>
          </x14:formula1>
          <xm:sqref>B684</xm:sqref>
        </x14:dataValidation>
        <x14:dataValidation type="list" allowBlank="1" showInputMessage="1" showErrorMessage="1" xr:uid="{719F2724-D7A9-4C7D-8D21-32D30EDCBE14}">
          <x14:formula1>
            <xm:f>Classes!A2:A4</xm:f>
          </x14:formula1>
          <xm:sqref>E684</xm:sqref>
        </x14:dataValidation>
        <x14:dataValidation type="list" allowBlank="1" showInputMessage="1" showErrorMessage="1" xr:uid="{4F7CC49D-C082-49B7-9F29-D7B05A93EAAC}">
          <x14:formula1>
            <xm:f>ReferentsDPT!A2:A16</xm:f>
          </x14:formula1>
          <xm:sqref>B685</xm:sqref>
        </x14:dataValidation>
        <x14:dataValidation type="list" allowBlank="1" showInputMessage="1" showErrorMessage="1" xr:uid="{3D730119-975A-4357-9B39-2D6CD20BC2C5}">
          <x14:formula1>
            <xm:f>ReferentsDPT!A2:A16</xm:f>
          </x14:formula1>
          <xm:sqref>B686</xm:sqref>
        </x14:dataValidation>
        <x14:dataValidation type="list" allowBlank="1" showInputMessage="1" showErrorMessage="1" xr:uid="{EEC13C96-EE03-4196-A21E-69986BEA409C}">
          <x14:formula1>
            <xm:f>ReferentsDPT!A2:A16</xm:f>
          </x14:formula1>
          <xm:sqref>B687</xm:sqref>
        </x14:dataValidation>
        <x14:dataValidation type="list" allowBlank="1" showInputMessage="1" showErrorMessage="1" xr:uid="{531797EC-8CB5-4C8C-B586-137997895BDA}">
          <x14:formula1>
            <xm:f>ReferentsDPT!A2:A16</xm:f>
          </x14:formula1>
          <xm:sqref>B688</xm:sqref>
        </x14:dataValidation>
        <x14:dataValidation type="list" allowBlank="1" showInputMessage="1" showErrorMessage="1" xr:uid="{464CC49A-C6C3-4E62-84A0-7C3E23283998}">
          <x14:formula1>
            <xm:f>ReferentsDPT!A2:A16</xm:f>
          </x14:formula1>
          <xm:sqref>B689</xm:sqref>
        </x14:dataValidation>
        <x14:dataValidation type="list" allowBlank="1" showInputMessage="1" showErrorMessage="1" xr:uid="{FAB89899-2F32-450E-B811-4F3A4970CB36}">
          <x14:formula1>
            <xm:f>Classes!A2:A4</xm:f>
          </x14:formula1>
          <xm:sqref>E685</xm:sqref>
        </x14:dataValidation>
        <x14:dataValidation type="list" allowBlank="1" showInputMessage="1" showErrorMessage="1" xr:uid="{D2335180-06D1-44A1-9E68-21A8C57EB638}">
          <x14:formula1>
            <xm:f>ReferentsDPT!A2:A16</xm:f>
          </x14:formula1>
          <xm:sqref>B690</xm:sqref>
        </x14:dataValidation>
        <x14:dataValidation type="list" allowBlank="1" showInputMessage="1" showErrorMessage="1" xr:uid="{D510806C-C66B-4547-9FA5-B3E56438023D}">
          <x14:formula1>
            <xm:f>Classes!A2:A4</xm:f>
          </x14:formula1>
          <xm:sqref>E690</xm:sqref>
        </x14:dataValidation>
        <x14:dataValidation type="list" allowBlank="1" showInputMessage="1" showErrorMessage="1" xr:uid="{9BD66AA3-BB24-4134-A821-24D36DFE4B9D}">
          <x14:formula1>
            <xm:f>Classes!A2:A4</xm:f>
          </x14:formula1>
          <xm:sqref>E686</xm:sqref>
        </x14:dataValidation>
        <x14:dataValidation type="list" allowBlank="1" showInputMessage="1" showErrorMessage="1" xr:uid="{D1026BB2-F3A4-4256-BE4D-2D16774A56BF}">
          <x14:formula1>
            <xm:f>Classes!A2:A4</xm:f>
          </x14:formula1>
          <xm:sqref>E687</xm:sqref>
        </x14:dataValidation>
        <x14:dataValidation type="list" allowBlank="1" showInputMessage="1" showErrorMessage="1" xr:uid="{7DD4D440-1307-47E6-8BFC-201DF12E3CFD}">
          <x14:formula1>
            <xm:f>Classes!A2:A4</xm:f>
          </x14:formula1>
          <xm:sqref>E688</xm:sqref>
        </x14:dataValidation>
        <x14:dataValidation type="list" allowBlank="1" showInputMessage="1" showErrorMessage="1" xr:uid="{D5BFED1A-237B-4692-8340-5B843823D9EB}">
          <x14:formula1>
            <xm:f>Classes!A2:A4</xm:f>
          </x14:formula1>
          <xm:sqref>E689</xm:sqref>
        </x14:dataValidation>
        <x14:dataValidation type="list" allowBlank="1" showInputMessage="1" showErrorMessage="1" xr:uid="{BDF1AE16-B879-4E3C-ACB0-8A1053573611}">
          <x14:formula1>
            <xm:f>ReferentsDPT!A2:A16</xm:f>
          </x14:formula1>
          <xm:sqref>B691</xm:sqref>
        </x14:dataValidation>
        <x14:dataValidation type="list" allowBlank="1" showInputMessage="1" showErrorMessage="1" xr:uid="{37BA0F2F-BAF5-4A45-B38B-DF7F5073B31C}">
          <x14:formula1>
            <xm:f>ReferentsDPT!A2:A16</xm:f>
          </x14:formula1>
          <xm:sqref>B692</xm:sqref>
        </x14:dataValidation>
        <x14:dataValidation type="list" allowBlank="1" showInputMessage="1" showErrorMessage="1" xr:uid="{7C815E18-14C3-4605-A1E6-5BA1C485FE52}">
          <x14:formula1>
            <xm:f>Classes!A2:A4</xm:f>
          </x14:formula1>
          <xm:sqref>E691</xm:sqref>
        </x14:dataValidation>
        <x14:dataValidation type="list" allowBlank="1" showInputMessage="1" showErrorMessage="1" xr:uid="{1F0EDCD9-497C-489C-90B0-C0A9A75B52DE}">
          <x14:formula1>
            <xm:f>Classes!A2:A4</xm:f>
          </x14:formula1>
          <xm:sqref>E692</xm:sqref>
        </x14:dataValidation>
        <x14:dataValidation type="list" allowBlank="1" showInputMessage="1" showErrorMessage="1" xr:uid="{D2064234-14C1-4B00-A6AD-2062BDB67C47}">
          <x14:formula1>
            <xm:f>ReferentsDPT!A2:A16</xm:f>
          </x14:formula1>
          <xm:sqref>B693</xm:sqref>
        </x14:dataValidation>
        <x14:dataValidation type="list" allowBlank="1" showInputMessage="1" showErrorMessage="1" xr:uid="{E53B8046-3D77-4B59-BA6E-80E1D8A5237B}">
          <x14:formula1>
            <xm:f>Classes!A2:A4</xm:f>
          </x14:formula1>
          <xm:sqref>E693</xm:sqref>
        </x14:dataValidation>
        <x14:dataValidation type="list" allowBlank="1" showInputMessage="1" showErrorMessage="1" xr:uid="{12278944-49F7-4208-834F-0878F2B7CB85}">
          <x14:formula1>
            <xm:f>ReferentsDPT!A2:A16</xm:f>
          </x14:formula1>
          <xm:sqref>B694</xm:sqref>
        </x14:dataValidation>
        <x14:dataValidation type="list" allowBlank="1" showInputMessage="1" showErrorMessage="1" xr:uid="{4EC79208-858F-4B61-81C6-5C91AD8038FA}">
          <x14:formula1>
            <xm:f>Classes!A2:A4</xm:f>
          </x14:formula1>
          <xm:sqref>E694</xm:sqref>
        </x14:dataValidation>
        <x14:dataValidation type="list" allowBlank="1" showInputMessage="1" showErrorMessage="1" xr:uid="{D44D0429-38B2-4649-B1AB-67E80B57AF66}">
          <x14:formula1>
            <xm:f>ReferentsDPT!A2:A16</xm:f>
          </x14:formula1>
          <xm:sqref>B695</xm:sqref>
        </x14:dataValidation>
        <x14:dataValidation type="list" allowBlank="1" showInputMessage="1" showErrorMessage="1" xr:uid="{B8FF4C90-4EE2-4DEF-9876-19921D8750F3}">
          <x14:formula1>
            <xm:f>Classes!A2:A4</xm:f>
          </x14:formula1>
          <xm:sqref>E695</xm:sqref>
        </x14:dataValidation>
        <x14:dataValidation type="list" allowBlank="1" showInputMessage="1" showErrorMessage="1" xr:uid="{4F784370-7130-4417-A976-6F3F99A7CF9E}">
          <x14:formula1>
            <xm:f>ReferentsDPT!A2:A16</xm:f>
          </x14:formula1>
          <xm:sqref>B696</xm:sqref>
        </x14:dataValidation>
        <x14:dataValidation type="list" allowBlank="1" showInputMessage="1" showErrorMessage="1" xr:uid="{4794F6F9-96FC-4245-99EF-D459B36F8FF1}">
          <x14:formula1>
            <xm:f>Classes!A2:A4</xm:f>
          </x14:formula1>
          <xm:sqref>E696</xm:sqref>
        </x14:dataValidation>
        <x14:dataValidation type="list" allowBlank="1" showInputMessage="1" showErrorMessage="1" xr:uid="{D2E63462-B299-4062-8354-7AD2F0FF8A37}">
          <x14:formula1>
            <xm:f>ReferentsDPT!A2:A16</xm:f>
          </x14:formula1>
          <xm:sqref>B697</xm:sqref>
        </x14:dataValidation>
        <x14:dataValidation type="list" allowBlank="1" showInputMessage="1" showErrorMessage="1" xr:uid="{64B2E41C-1933-4703-9357-D06B6DD7769A}">
          <x14:formula1>
            <xm:f>Classes!A2:A4</xm:f>
          </x14:formula1>
          <xm:sqref>E697</xm:sqref>
        </x14:dataValidation>
        <x14:dataValidation type="list" allowBlank="1" showInputMessage="1" showErrorMessage="1" xr:uid="{0612D45D-4822-455A-9EF9-A6714943CB96}">
          <x14:formula1>
            <xm:f>ReferentsDPT!A2:A16</xm:f>
          </x14:formula1>
          <xm:sqref>B698</xm:sqref>
        </x14:dataValidation>
        <x14:dataValidation type="list" allowBlank="1" showInputMessage="1" showErrorMessage="1" xr:uid="{ACDF64EF-EBC9-4DE7-A3E9-00D90100C516}">
          <x14:formula1>
            <xm:f>Classes!A2:A4</xm:f>
          </x14:formula1>
          <xm:sqref>E698</xm:sqref>
        </x14:dataValidation>
        <x14:dataValidation type="list" allowBlank="1" showInputMessage="1" showErrorMessage="1" xr:uid="{370B157F-0224-483A-BDDB-C7399CAC1007}">
          <x14:formula1>
            <xm:f>ReferentsDPT!A2:A16</xm:f>
          </x14:formula1>
          <xm:sqref>B699</xm:sqref>
        </x14:dataValidation>
        <x14:dataValidation type="list" allowBlank="1" showInputMessage="1" showErrorMessage="1" xr:uid="{B837F35E-4797-4DC0-8B17-5AC855DFEA41}">
          <x14:formula1>
            <xm:f>ReferentsDPT!A2:A16</xm:f>
          </x14:formula1>
          <xm:sqref>B700</xm:sqref>
        </x14:dataValidation>
        <x14:dataValidation type="list" allowBlank="1" showInputMessage="1" showErrorMessage="1" xr:uid="{339D1843-DB2D-4E9A-9EAD-F534DE04488C}">
          <x14:formula1>
            <xm:f>Classes!A2:A4</xm:f>
          </x14:formula1>
          <xm:sqref>E699</xm:sqref>
        </x14:dataValidation>
        <x14:dataValidation type="list" allowBlank="1" showInputMessage="1" showErrorMessage="1" xr:uid="{48A30B5C-7D67-4954-9570-3C44F17D979E}">
          <x14:formula1>
            <xm:f>Classes!A2:A4</xm:f>
          </x14:formula1>
          <xm:sqref>E700</xm:sqref>
        </x14:dataValidation>
        <x14:dataValidation type="list" allowBlank="1" showInputMessage="1" showErrorMessage="1" xr:uid="{6DE904E2-7FA7-41C0-B933-5DAF098FDC98}">
          <x14:formula1>
            <xm:f>ReferentsDPT!A2:A16</xm:f>
          </x14:formula1>
          <xm:sqref>B701</xm:sqref>
        </x14:dataValidation>
        <x14:dataValidation type="list" allowBlank="1" showInputMessage="1" showErrorMessage="1" xr:uid="{35562A70-86A2-4CB9-A3FB-686268F89616}">
          <x14:formula1>
            <xm:f>Classes!A2:A4</xm:f>
          </x14:formula1>
          <xm:sqref>E701</xm:sqref>
        </x14:dataValidation>
        <x14:dataValidation type="list" allowBlank="1" showInputMessage="1" showErrorMessage="1" xr:uid="{E122BC3E-005D-44C4-B7F2-C6520F5E35DC}">
          <x14:formula1>
            <xm:f>ReferentsDPT!A2:A16</xm:f>
          </x14:formula1>
          <xm:sqref>B702</xm:sqref>
        </x14:dataValidation>
        <x14:dataValidation type="list" allowBlank="1" showInputMessage="1" showErrorMessage="1" xr:uid="{899BF992-0F7F-4EDC-9DED-EC9CBBCD0B72}">
          <x14:formula1>
            <xm:f>ReferentsDPT!A2:A16</xm:f>
          </x14:formula1>
          <xm:sqref>B711</xm:sqref>
        </x14:dataValidation>
        <x14:dataValidation type="list" allowBlank="1" showInputMessage="1" showErrorMessage="1" xr:uid="{DB264280-4E63-495B-A645-6D93A947EB61}">
          <x14:formula1>
            <xm:f>Classes!A2:A4</xm:f>
          </x14:formula1>
          <xm:sqref>E702</xm:sqref>
        </x14:dataValidation>
        <x14:dataValidation type="list" allowBlank="1" showInputMessage="1" showErrorMessage="1" xr:uid="{A3F8C393-AFF1-4EB8-90DE-8EB7DE0BD99F}">
          <x14:formula1>
            <xm:f>Classes!A2:A4</xm:f>
          </x14:formula1>
          <xm:sqref>E703</xm:sqref>
        </x14:dataValidation>
        <x14:dataValidation type="list" allowBlank="1" showInputMessage="1" showErrorMessage="1" xr:uid="{826C65F2-26C3-4E68-B14F-5DD5EC7A0199}">
          <x14:formula1>
            <xm:f>Classes!A2:A4</xm:f>
          </x14:formula1>
          <xm:sqref>E704</xm:sqref>
        </x14:dataValidation>
        <x14:dataValidation type="list" allowBlank="1" showInputMessage="1" showErrorMessage="1" xr:uid="{CD4FC446-DF11-4AAD-AA2C-C1C0ECBB70D1}">
          <x14:formula1>
            <xm:f>Classes!A2:A4</xm:f>
          </x14:formula1>
          <xm:sqref>E705</xm:sqref>
        </x14:dataValidation>
        <x14:dataValidation type="list" allowBlank="1" showInputMessage="1" showErrorMessage="1" xr:uid="{DFDD987E-1B38-4A3B-800F-98B5C8C9B609}">
          <x14:formula1>
            <xm:f>Classes!A2:A4</xm:f>
          </x14:formula1>
          <xm:sqref>E706</xm:sqref>
        </x14:dataValidation>
        <x14:dataValidation type="list" allowBlank="1" showInputMessage="1" showErrorMessage="1" xr:uid="{B0D75844-25BE-4F0D-BDFA-0A7F6F553273}">
          <x14:formula1>
            <xm:f>Classes!A2:A4</xm:f>
          </x14:formula1>
          <xm:sqref>E707</xm:sqref>
        </x14:dataValidation>
        <x14:dataValidation type="list" allowBlank="1" showInputMessage="1" showErrorMessage="1" xr:uid="{19477CB7-D482-4DE5-9313-1A0863653376}">
          <x14:formula1>
            <xm:f>Classes!A2:A4</xm:f>
          </x14:formula1>
          <xm:sqref>E708</xm:sqref>
        </x14:dataValidation>
        <x14:dataValidation type="list" allowBlank="1" showInputMessage="1" showErrorMessage="1" xr:uid="{27443ED0-3AB3-42F6-91B6-80B2CC6E3C7C}">
          <x14:formula1>
            <xm:f>Classes!A2:A4</xm:f>
          </x14:formula1>
          <xm:sqref>E709</xm:sqref>
        </x14:dataValidation>
        <x14:dataValidation type="list" allowBlank="1" showInputMessage="1" showErrorMessage="1" xr:uid="{6EEFCE8A-B844-4439-9210-8BD738BC5861}">
          <x14:formula1>
            <xm:f>Classes!A2:A4</xm:f>
          </x14:formula1>
          <xm:sqref>E710</xm:sqref>
        </x14:dataValidation>
        <x14:dataValidation type="list" allowBlank="1" showInputMessage="1" showErrorMessage="1" xr:uid="{606BF189-388B-492E-8E19-0E6B1F46A55B}">
          <x14:formula1>
            <xm:f>Classes!A2:A4</xm:f>
          </x14:formula1>
          <xm:sqref>E711</xm:sqref>
        </x14:dataValidation>
        <x14:dataValidation type="list" allowBlank="1" showInputMessage="1" showErrorMessage="1" xr:uid="{AF767CF2-00F1-4B1A-B48B-32778FCE096B}">
          <x14:formula1>
            <xm:f>ReferentsDPT!A2:A16</xm:f>
          </x14:formula1>
          <xm:sqref>B712</xm:sqref>
        </x14:dataValidation>
        <x14:dataValidation type="list" allowBlank="1" showInputMessage="1" showErrorMessage="1" xr:uid="{AE2D07EE-0A1A-42B7-A244-9C5D293B9E10}">
          <x14:formula1>
            <xm:f>ReferentsDPT!A2:A16</xm:f>
          </x14:formula1>
          <xm:sqref>B713</xm:sqref>
        </x14:dataValidation>
        <x14:dataValidation type="list" allowBlank="1" showInputMessage="1" showErrorMessage="1" xr:uid="{5C80DBB3-274A-4ECE-933A-92751403B7B9}">
          <x14:formula1>
            <xm:f>Classes!A2:A4</xm:f>
          </x14:formula1>
          <xm:sqref>E712</xm:sqref>
        </x14:dataValidation>
        <x14:dataValidation type="list" allowBlank="1" showInputMessage="1" showErrorMessage="1" xr:uid="{30DC72C0-4BC4-48FC-ABA7-D8F19767DCFA}">
          <x14:formula1>
            <xm:f>Classes!A2:A4</xm:f>
          </x14:formula1>
          <xm:sqref>E713</xm:sqref>
        </x14:dataValidation>
        <x14:dataValidation type="list" allowBlank="1" showInputMessage="1" showErrorMessage="1" xr:uid="{C9ACE4EF-75E6-475D-9752-0028A34E3244}">
          <x14:formula1>
            <xm:f>ReferentsDPT!A2:A16</xm:f>
          </x14:formula1>
          <xm:sqref>B714</xm:sqref>
        </x14:dataValidation>
        <x14:dataValidation type="list" allowBlank="1" showInputMessage="1" showErrorMessage="1" xr:uid="{619A39B9-AE2C-4D15-B255-70D56C87A1C1}">
          <x14:formula1>
            <xm:f>Classes!A2:A4</xm:f>
          </x14:formula1>
          <xm:sqref>E714</xm:sqref>
        </x14:dataValidation>
        <x14:dataValidation type="list" allowBlank="1" showInputMessage="1" showErrorMessage="1" xr:uid="{81DBF00B-1838-41AD-AF6E-BFBAD3ACD35F}">
          <x14:formula1>
            <xm:f>ReferentsDPT!A2:A16</xm:f>
          </x14:formula1>
          <xm:sqref>B715</xm:sqref>
        </x14:dataValidation>
        <x14:dataValidation type="list" allowBlank="1" showInputMessage="1" showErrorMessage="1" xr:uid="{43CD72F5-3CE1-4B26-84EF-C7ABEAFFA473}">
          <x14:formula1>
            <xm:f>Classes!A2:A4</xm:f>
          </x14:formula1>
          <xm:sqref>E715</xm:sqref>
        </x14:dataValidation>
        <x14:dataValidation type="list" allowBlank="1" showInputMessage="1" showErrorMessage="1" xr:uid="{292BEBF2-7FCE-47BD-B082-7E76ABA4916B}">
          <x14:formula1>
            <xm:f>ReferentsDPT!A2:A16</xm:f>
          </x14:formula1>
          <xm:sqref>B716</xm:sqref>
        </x14:dataValidation>
        <x14:dataValidation type="list" allowBlank="1" showInputMessage="1" showErrorMessage="1" xr:uid="{05D382BA-83A4-4000-82D7-D32E8BA13C1F}">
          <x14:formula1>
            <xm:f>Classes!A2:A4</xm:f>
          </x14:formula1>
          <xm:sqref>E716</xm:sqref>
        </x14:dataValidation>
        <x14:dataValidation type="list" allowBlank="1" showInputMessage="1" showErrorMessage="1" xr:uid="{E4D2A6A4-0680-4A33-A37A-1B43B293543B}">
          <x14:formula1>
            <xm:f>ReferentsDPT!A2:A16</xm:f>
          </x14:formula1>
          <xm:sqref>B717</xm:sqref>
        </x14:dataValidation>
        <x14:dataValidation type="list" allowBlank="1" showInputMessage="1" showErrorMessage="1" xr:uid="{642F805A-7918-4B84-9878-6779A94D897B}">
          <x14:formula1>
            <xm:f>Classes!A2:A4</xm:f>
          </x14:formula1>
          <xm:sqref>E717</xm:sqref>
        </x14:dataValidation>
        <x14:dataValidation type="list" allowBlank="1" showInputMessage="1" showErrorMessage="1" xr:uid="{CDB6B4DA-DF5E-4B0E-B65B-B9D1A800065C}">
          <x14:formula1>
            <xm:f>ReferentsDPT!A2:A16</xm:f>
          </x14:formula1>
          <xm:sqref>B718</xm:sqref>
        </x14:dataValidation>
        <x14:dataValidation type="list" allowBlank="1" showInputMessage="1" showErrorMessage="1" xr:uid="{17C77FE6-F213-4356-A777-96A547BA1956}">
          <x14:formula1>
            <xm:f>Classes!A2:A4</xm:f>
          </x14:formula1>
          <xm:sqref>E718</xm:sqref>
        </x14:dataValidation>
        <x14:dataValidation type="list" allowBlank="1" showInputMessage="1" showErrorMessage="1" xr:uid="{A2FE8ABB-961C-4DC7-8B5C-7756A4D99A54}">
          <x14:formula1>
            <xm:f>ReferentsDPT!A2:A16</xm:f>
          </x14:formula1>
          <xm:sqref>B719</xm:sqref>
        </x14:dataValidation>
        <x14:dataValidation type="list" allowBlank="1" showInputMessage="1" showErrorMessage="1" xr:uid="{5B728A5E-501A-47D6-AB6C-9083D12DF2F0}">
          <x14:formula1>
            <xm:f>Classes!A2:A4</xm:f>
          </x14:formula1>
          <xm:sqref>E719</xm:sqref>
        </x14:dataValidation>
        <x14:dataValidation type="list" allowBlank="1" showInputMessage="1" showErrorMessage="1" xr:uid="{A643DD1B-70BB-41B5-9477-42B038F9F719}">
          <x14:formula1>
            <xm:f>ReferentsDPT!A2:A16</xm:f>
          </x14:formula1>
          <xm:sqref>B720</xm:sqref>
        </x14:dataValidation>
        <x14:dataValidation type="list" allowBlank="1" showInputMessage="1" showErrorMessage="1" xr:uid="{DC950073-62B4-4D59-A0A4-2261D3BF407F}">
          <x14:formula1>
            <xm:f>Classes!A2:A4</xm:f>
          </x14:formula1>
          <xm:sqref>E720</xm:sqref>
        </x14:dataValidation>
        <x14:dataValidation type="list" allowBlank="1" showInputMessage="1" showErrorMessage="1" xr:uid="{3CFDC0BD-EE85-4F9D-A1B8-6DF2C15769FA}">
          <x14:formula1>
            <xm:f>ReferentsDPT!A2:A16</xm:f>
          </x14:formula1>
          <xm:sqref>B721</xm:sqref>
        </x14:dataValidation>
        <x14:dataValidation type="list" allowBlank="1" showInputMessage="1" showErrorMessage="1" xr:uid="{F8AE60F0-7019-45DF-A321-27BDFEB0EE07}">
          <x14:formula1>
            <xm:f>Classes!A2:A4</xm:f>
          </x14:formula1>
          <xm:sqref>E721</xm:sqref>
        </x14:dataValidation>
        <x14:dataValidation type="list" allowBlank="1" showInputMessage="1" showErrorMessage="1" xr:uid="{13173236-B3E7-4F62-BFCC-1DC4F37FA8BE}">
          <x14:formula1>
            <xm:f>ReferentsDPT!A2:A16</xm:f>
          </x14:formula1>
          <xm:sqref>B722</xm:sqref>
        </x14:dataValidation>
        <x14:dataValidation type="list" allowBlank="1" showInputMessage="1" showErrorMessage="1" xr:uid="{36FC4866-1A4D-4D13-8EF8-08578106AB52}">
          <x14:formula1>
            <xm:f>Classes!A2:A4</xm:f>
          </x14:formula1>
          <xm:sqref>E722</xm:sqref>
        </x14:dataValidation>
        <x14:dataValidation type="list" allowBlank="1" showInputMessage="1" showErrorMessage="1" xr:uid="{196A1E2F-9F02-4DDD-929D-710BC87D289B}">
          <x14:formula1>
            <xm:f>ReferentsDPT!A2:A16</xm:f>
          </x14:formula1>
          <xm:sqref>B723</xm:sqref>
        </x14:dataValidation>
        <x14:dataValidation type="list" allowBlank="1" showInputMessage="1" showErrorMessage="1" xr:uid="{CF4713D5-32BD-4C63-8A13-D2464E388E71}">
          <x14:formula1>
            <xm:f>Classes!A2:A4</xm:f>
          </x14:formula1>
          <xm:sqref>E723</xm:sqref>
        </x14:dataValidation>
        <x14:dataValidation type="list" allowBlank="1" showInputMessage="1" showErrorMessage="1" xr:uid="{61310410-F9E1-4801-A747-54A0DDF952BA}">
          <x14:formula1>
            <xm:f>ReferentsDPT!A2:A16</xm:f>
          </x14:formula1>
          <xm:sqref>B724</xm:sqref>
        </x14:dataValidation>
        <x14:dataValidation type="list" allowBlank="1" showInputMessage="1" showErrorMessage="1" xr:uid="{11F5CEE3-FA2A-47C1-BA64-901D74EE12A6}">
          <x14:formula1>
            <xm:f>Classes!A2:A4</xm:f>
          </x14:formula1>
          <xm:sqref>E724</xm:sqref>
        </x14:dataValidation>
        <x14:dataValidation type="list" allowBlank="1" showInputMessage="1" showErrorMessage="1" xr:uid="{F0BED471-E4FF-4BB4-BB7E-3BA4F70A0745}">
          <x14:formula1>
            <xm:f>ReferentsDPT!A2:A16</xm:f>
          </x14:formula1>
          <xm:sqref>B725</xm:sqref>
        </x14:dataValidation>
        <x14:dataValidation type="list" allowBlank="1" showInputMessage="1" showErrorMessage="1" xr:uid="{BEAA98ED-6BF1-4DE9-BF75-6984F0A32718}">
          <x14:formula1>
            <xm:f>Classes!A2:A4</xm:f>
          </x14:formula1>
          <xm:sqref>E725</xm:sqref>
        </x14:dataValidation>
        <x14:dataValidation type="list" allowBlank="1" showInputMessage="1" showErrorMessage="1" xr:uid="{0DC9AECC-5133-4DF0-BFA9-CFF0EE9279BE}">
          <x14:formula1>
            <xm:f>ReferentsDPT!A2:A16</xm:f>
          </x14:formula1>
          <xm:sqref>B726</xm:sqref>
        </x14:dataValidation>
        <x14:dataValidation type="list" allowBlank="1" showInputMessage="1" showErrorMessage="1" xr:uid="{B6B98135-D582-4D7B-8C55-4DF880807C45}">
          <x14:formula1>
            <xm:f>ReferentsDPT!A2:A16</xm:f>
          </x14:formula1>
          <xm:sqref>B727</xm:sqref>
        </x14:dataValidation>
        <x14:dataValidation type="list" allowBlank="1" showInputMessage="1" showErrorMessage="1" xr:uid="{DB20DD5A-EA6B-41C8-B217-E90F1291FA46}">
          <x14:formula1>
            <xm:f>Classes!A2:A4</xm:f>
          </x14:formula1>
          <xm:sqref>E726</xm:sqref>
        </x14:dataValidation>
        <x14:dataValidation type="list" allowBlank="1" showInputMessage="1" showErrorMessage="1" xr:uid="{D1E47F2E-9322-41AC-908E-C4CFBB150B85}">
          <x14:formula1>
            <xm:f>Classes!A2:A4</xm:f>
          </x14:formula1>
          <xm:sqref>E727</xm:sqref>
        </x14:dataValidation>
        <x14:dataValidation type="list" allowBlank="1" showInputMessage="1" showErrorMessage="1" xr:uid="{4358DACD-BD3C-4F8B-9C83-6AF14612AEC6}">
          <x14:formula1>
            <xm:f>ReferentsDPT!A2:A16</xm:f>
          </x14:formula1>
          <xm:sqref>B728</xm:sqref>
        </x14:dataValidation>
        <x14:dataValidation type="list" allowBlank="1" showInputMessage="1" showErrorMessage="1" xr:uid="{4869FE46-FE08-4579-8A90-6FF3324B7111}">
          <x14:formula1>
            <xm:f>Classes!A2:A4</xm:f>
          </x14:formula1>
          <xm:sqref>E728</xm:sqref>
        </x14:dataValidation>
        <x14:dataValidation type="list" allowBlank="1" showInputMessage="1" showErrorMessage="1" xr:uid="{5E84D544-2375-49B7-AB7E-0C31842AB705}">
          <x14:formula1>
            <xm:f>ReferentsDPT!A2:A16</xm:f>
          </x14:formula1>
          <xm:sqref>B730</xm:sqref>
        </x14:dataValidation>
        <x14:dataValidation type="list" allowBlank="1" showInputMessage="1" showErrorMessage="1" xr:uid="{409272FD-B6C5-4D33-98CF-427AD2626117}">
          <x14:formula1>
            <xm:f>ReferentsDPT!A2:A16</xm:f>
          </x14:formula1>
          <xm:sqref>B731</xm:sqref>
        </x14:dataValidation>
        <x14:dataValidation type="list" allowBlank="1" showInputMessage="1" showErrorMessage="1" xr:uid="{724703AD-CD70-43D6-93B4-98E0E1321BD0}">
          <x14:formula1>
            <xm:f>ReferentsDPT!A2:A16</xm:f>
          </x14:formula1>
          <xm:sqref>B732</xm:sqref>
        </x14:dataValidation>
        <x14:dataValidation type="list" allowBlank="1" showInputMessage="1" showErrorMessage="1" xr:uid="{42E206D5-2C39-4833-B1A9-25CC9E65E2F0}">
          <x14:formula1>
            <xm:f>Classes!A2:A4</xm:f>
          </x14:formula1>
          <xm:sqref>E730</xm:sqref>
        </x14:dataValidation>
        <x14:dataValidation type="list" allowBlank="1" showInputMessage="1" showErrorMessage="1" xr:uid="{D5103FC8-60A8-48DD-A6A1-F179E8E22004}">
          <x14:formula1>
            <xm:f>Classes!A2:A4</xm:f>
          </x14:formula1>
          <xm:sqref>E731</xm:sqref>
        </x14:dataValidation>
        <x14:dataValidation type="list" allowBlank="1" showInputMessage="1" showErrorMessage="1" xr:uid="{65956C87-D151-4A3C-ABBC-987350A0DD36}">
          <x14:formula1>
            <xm:f>Classes!A2:A4</xm:f>
          </x14:formula1>
          <xm:sqref>E732</xm:sqref>
        </x14:dataValidation>
        <x14:dataValidation type="list" allowBlank="1" showInputMessage="1" showErrorMessage="1" xr:uid="{42CBC4BB-4F3F-4D0C-80AC-AB03E609C5B1}">
          <x14:formula1>
            <xm:f>ReferentsDPT!A2:A16</xm:f>
          </x14:formula1>
          <xm:sqref>B733</xm:sqref>
        </x14:dataValidation>
        <x14:dataValidation type="list" allowBlank="1" showInputMessage="1" showErrorMessage="1" xr:uid="{191D1D46-1D4E-46AC-A6E7-8BA5851E1DE9}">
          <x14:formula1>
            <xm:f>Classes!A2:A4</xm:f>
          </x14:formula1>
          <xm:sqref>E733</xm:sqref>
        </x14:dataValidation>
        <x14:dataValidation type="list" allowBlank="1" showInputMessage="1" showErrorMessage="1" xr:uid="{615F4DF7-8AC7-4264-9A8A-CFDF339DD453}">
          <x14:formula1>
            <xm:f>ReferentsDPT!A2:A16</xm:f>
          </x14:formula1>
          <xm:sqref>B734</xm:sqref>
        </x14:dataValidation>
        <x14:dataValidation type="list" allowBlank="1" showInputMessage="1" showErrorMessage="1" xr:uid="{C445C7DE-CF25-4A12-9540-C6A733D0D6E1}">
          <x14:formula1>
            <xm:f>Classes!A2:A4</xm:f>
          </x14:formula1>
          <xm:sqref>E734</xm:sqref>
        </x14:dataValidation>
        <x14:dataValidation type="list" allowBlank="1" showInputMessage="1" showErrorMessage="1" xr:uid="{7B5702D0-B41C-4E8F-8CDD-998B33334E76}">
          <x14:formula1>
            <xm:f>ReferentsDPT!A2:A16</xm:f>
          </x14:formula1>
          <xm:sqref>B735</xm:sqref>
        </x14:dataValidation>
        <x14:dataValidation type="list" allowBlank="1" showInputMessage="1" showErrorMessage="1" xr:uid="{650EEB9A-865C-4B10-9121-107B82A54995}">
          <x14:formula1>
            <xm:f>ReferentsDPT!A2:A16</xm:f>
          </x14:formula1>
          <xm:sqref>B736</xm:sqref>
        </x14:dataValidation>
        <x14:dataValidation type="list" allowBlank="1" showInputMessage="1" showErrorMessage="1" xr:uid="{F1ECBE4D-3EFF-45A5-8EA4-767510A7E25C}">
          <x14:formula1>
            <xm:f>Classes!A2:A4</xm:f>
          </x14:formula1>
          <xm:sqref>E735</xm:sqref>
        </x14:dataValidation>
        <x14:dataValidation type="list" allowBlank="1" showInputMessage="1" showErrorMessage="1" xr:uid="{6FD8B64B-9CD0-4CCC-959E-1AD94F9A32BB}">
          <x14:formula1>
            <xm:f>Classes!A2:A4</xm:f>
          </x14:formula1>
          <xm:sqref>E736</xm:sqref>
        </x14:dataValidation>
        <x14:dataValidation type="list" allowBlank="1" showInputMessage="1" showErrorMessage="1" xr:uid="{93371903-D185-47EF-BA04-44A5BBBF8695}">
          <x14:formula1>
            <xm:f>ReferentsDPT!A2:A16</xm:f>
          </x14:formula1>
          <xm:sqref>B739</xm:sqref>
        </x14:dataValidation>
        <x14:dataValidation type="list" allowBlank="1" showInputMessage="1" showErrorMessage="1" xr:uid="{8223BAB1-0391-4CA0-BE26-C093AB63DB43}">
          <x14:formula1>
            <xm:f>ReferentsDPT!A2:A16</xm:f>
          </x14:formula1>
          <xm:sqref>B740</xm:sqref>
        </x14:dataValidation>
        <x14:dataValidation type="list" allowBlank="1" showInputMessage="1" showErrorMessage="1" xr:uid="{DE94E0B5-63BF-49F4-B86E-8DBF6FA9C215}">
          <x14:formula1>
            <xm:f>ReferentsDPT!A2:A16</xm:f>
          </x14:formula1>
          <xm:sqref>B741</xm:sqref>
        </x14:dataValidation>
        <x14:dataValidation type="list" allowBlank="1" showInputMessage="1" showErrorMessage="1" xr:uid="{A5D0F25B-7732-4B46-B841-28B95851274B}">
          <x14:formula1>
            <xm:f>Classes!A2:A4</xm:f>
          </x14:formula1>
          <xm:sqref>E739</xm:sqref>
        </x14:dataValidation>
        <x14:dataValidation type="list" allowBlank="1" showInputMessage="1" showErrorMessage="1" xr:uid="{397BAD57-B948-490C-B1B9-8BD95C1F4060}">
          <x14:formula1>
            <xm:f>Classes!A2:A4</xm:f>
          </x14:formula1>
          <xm:sqref>E740</xm:sqref>
        </x14:dataValidation>
        <x14:dataValidation type="list" allowBlank="1" showInputMessage="1" showErrorMessage="1" xr:uid="{09A72C02-A4C9-46BB-B220-F48BAA1951F7}">
          <x14:formula1>
            <xm:f>Classes!A2:A4</xm:f>
          </x14:formula1>
          <xm:sqref>E741</xm:sqref>
        </x14:dataValidation>
        <x14:dataValidation type="list" allowBlank="1" showInputMessage="1" showErrorMessage="1" xr:uid="{C49F5096-B5AC-431B-80DE-085FC4ABDBF2}">
          <x14:formula1>
            <xm:f>ReferentsDPT!A2:A16</xm:f>
          </x14:formula1>
          <xm:sqref>B742</xm:sqref>
        </x14:dataValidation>
        <x14:dataValidation type="list" allowBlank="1" showInputMessage="1" showErrorMessage="1" xr:uid="{C1B6295A-EB46-414D-8A18-792368C8CB05}">
          <x14:formula1>
            <xm:f>Classes!A2:A4</xm:f>
          </x14:formula1>
          <xm:sqref>E742</xm:sqref>
        </x14:dataValidation>
        <x14:dataValidation type="list" allowBlank="1" showInputMessage="1" showErrorMessage="1" xr:uid="{473EB435-128D-457E-90FF-EEE47CB45076}">
          <x14:formula1>
            <xm:f>ReferentsDPT!A2:A16</xm:f>
          </x14:formula1>
          <xm:sqref>B743</xm:sqref>
        </x14:dataValidation>
        <x14:dataValidation type="list" allowBlank="1" showInputMessage="1" showErrorMessage="1" xr:uid="{41A012B5-8830-4C12-A6B3-4972FBF231A6}">
          <x14:formula1>
            <xm:f>Classes!A2:A4</xm:f>
          </x14:formula1>
          <xm:sqref>E743</xm:sqref>
        </x14:dataValidation>
        <x14:dataValidation type="list" allowBlank="1" showInputMessage="1" showErrorMessage="1" xr:uid="{26FDB37C-BB40-4B85-A7B7-5D336DD46A0E}">
          <x14:formula1>
            <xm:f>ReferentsDPT!A2:A16</xm:f>
          </x14:formula1>
          <xm:sqref>B744</xm:sqref>
        </x14:dataValidation>
        <x14:dataValidation type="list" allowBlank="1" showInputMessage="1" showErrorMessage="1" xr:uid="{A875F754-E8A7-4872-BCB8-80B10D12991D}">
          <x14:formula1>
            <xm:f>Classes!A2:A4</xm:f>
          </x14:formula1>
          <xm:sqref>E744</xm:sqref>
        </x14:dataValidation>
        <x14:dataValidation type="list" allowBlank="1" showInputMessage="1" showErrorMessage="1" xr:uid="{182B6A0E-A724-4C9C-8075-09DCC0EDF6A1}">
          <x14:formula1>
            <xm:f>ReferentsDPT!A2:A16</xm:f>
          </x14:formula1>
          <xm:sqref>B745</xm:sqref>
        </x14:dataValidation>
        <x14:dataValidation type="list" allowBlank="1" showInputMessage="1" showErrorMessage="1" xr:uid="{A423BF1B-817E-4B13-B4A6-ABD3F84E621C}">
          <x14:formula1>
            <xm:f>Classes!A2:A4</xm:f>
          </x14:formula1>
          <xm:sqref>E745</xm:sqref>
        </x14:dataValidation>
        <x14:dataValidation type="list" allowBlank="1" showInputMessage="1" showErrorMessage="1" xr:uid="{E856D296-CABF-40A8-89A4-911CB03D820F}">
          <x14:formula1>
            <xm:f>ReferentsDPT!A2:A16</xm:f>
          </x14:formula1>
          <xm:sqref>B746</xm:sqref>
        </x14:dataValidation>
        <x14:dataValidation type="list" allowBlank="1" showInputMessage="1" showErrorMessage="1" xr:uid="{67A0F466-1CAC-4537-8D81-7D9A38A24E4A}">
          <x14:formula1>
            <xm:f>Classes!A2:A4</xm:f>
          </x14:formula1>
          <xm:sqref>E746</xm:sqref>
        </x14:dataValidation>
        <x14:dataValidation type="list" allowBlank="1" showInputMessage="1" showErrorMessage="1" xr:uid="{79F0D92D-985C-4262-90EF-705EB095A843}">
          <x14:formula1>
            <xm:f>ReferentsDPT!A2:A16</xm:f>
          </x14:formula1>
          <xm:sqref>B747</xm:sqref>
        </x14:dataValidation>
        <x14:dataValidation type="list" allowBlank="1" showInputMessage="1" showErrorMessage="1" xr:uid="{74B8E720-0005-41D7-9711-BF4913990B43}">
          <x14:formula1>
            <xm:f>Classes!A2:A4</xm:f>
          </x14:formula1>
          <xm:sqref>E747</xm:sqref>
        </x14:dataValidation>
        <x14:dataValidation type="list" allowBlank="1" showInputMessage="1" showErrorMessage="1" xr:uid="{02CAAF6E-BC55-444D-9FCF-542130C1F94F}">
          <x14:formula1>
            <xm:f>ReferentsDPT!A2:A16</xm:f>
          </x14:formula1>
          <xm:sqref>B751</xm:sqref>
        </x14:dataValidation>
        <x14:dataValidation type="list" allowBlank="1" showInputMessage="1" showErrorMessage="1" xr:uid="{02F2BEA9-C61C-4F4C-A1BC-BB903581FD39}">
          <x14:formula1>
            <xm:f>Classes!A2:A4</xm:f>
          </x14:formula1>
          <xm:sqref>E751</xm:sqref>
        </x14:dataValidation>
        <x14:dataValidation type="list" allowBlank="1" showInputMessage="1" showErrorMessage="1" xr:uid="{1ECDBE50-6415-4A7D-AB9F-76387D4195AB}">
          <x14:formula1>
            <xm:f>ReferentsDPT!A2:A16</xm:f>
          </x14:formula1>
          <xm:sqref>B752</xm:sqref>
        </x14:dataValidation>
        <x14:dataValidation type="list" allowBlank="1" showInputMessage="1" showErrorMessage="1" xr:uid="{190F37BE-94DE-4676-84BB-61B5307647CD}">
          <x14:formula1>
            <xm:f>Classes!A2:A4</xm:f>
          </x14:formula1>
          <xm:sqref>E752</xm:sqref>
        </x14:dataValidation>
        <x14:dataValidation type="list" allowBlank="1" showInputMessage="1" showErrorMessage="1" xr:uid="{8B09FF90-F781-4B1D-B672-BE797C2F0FFF}">
          <x14:formula1>
            <xm:f>ReferentsDPT!A2:A16</xm:f>
          </x14:formula1>
          <xm:sqref>B753</xm:sqref>
        </x14:dataValidation>
        <x14:dataValidation type="list" allowBlank="1" showInputMessage="1" showErrorMessage="1" xr:uid="{1B42F564-C86D-43FB-AD9F-1986B60361D7}">
          <x14:formula1>
            <xm:f>Classes!A2:A4</xm:f>
          </x14:formula1>
          <xm:sqref>E753</xm:sqref>
        </x14:dataValidation>
        <x14:dataValidation type="list" allowBlank="1" showInputMessage="1" showErrorMessage="1" xr:uid="{A46E9E77-1C0B-4D96-A79C-ABE589F5A0E0}">
          <x14:formula1>
            <xm:f>ReferentsDPT!A2:A16</xm:f>
          </x14:formula1>
          <xm:sqref>B754</xm:sqref>
        </x14:dataValidation>
        <x14:dataValidation type="list" allowBlank="1" showInputMessage="1" showErrorMessage="1" xr:uid="{47454498-4102-4C09-94FE-8C85B29C2A64}">
          <x14:formula1>
            <xm:f>Classes!A2:A4</xm:f>
          </x14:formula1>
          <xm:sqref>E754</xm:sqref>
        </x14:dataValidation>
        <x14:dataValidation type="list" allowBlank="1" showInputMessage="1" showErrorMessage="1" xr:uid="{716E8DB4-32DE-4D4D-B1E1-B39AFBB2EDAE}">
          <x14:formula1>
            <xm:f>ReferentsDPT!A2:A16</xm:f>
          </x14:formula1>
          <xm:sqref>B755</xm:sqref>
        </x14:dataValidation>
        <x14:dataValidation type="list" allowBlank="1" showInputMessage="1" showErrorMessage="1" xr:uid="{30F2D670-1A49-420B-9813-78D527A359B8}">
          <x14:formula1>
            <xm:f>Classes!A2:A4</xm:f>
          </x14:formula1>
          <xm:sqref>E755</xm:sqref>
        </x14:dataValidation>
        <x14:dataValidation type="list" allowBlank="1" showInputMessage="1" showErrorMessage="1" xr:uid="{7B2B4CA0-784C-4220-985D-E1899486644D}">
          <x14:formula1>
            <xm:f>ReferentsDPT!A2:A16</xm:f>
          </x14:formula1>
          <xm:sqref>B756</xm:sqref>
        </x14:dataValidation>
        <x14:dataValidation type="list" allowBlank="1" showInputMessage="1" showErrorMessage="1" xr:uid="{4254D040-A378-4320-AA51-76FB4CA5F110}">
          <x14:formula1>
            <xm:f>Classes!A2:A4</xm:f>
          </x14:formula1>
          <xm:sqref>E756</xm:sqref>
        </x14:dataValidation>
        <x14:dataValidation type="list" allowBlank="1" showInputMessage="1" showErrorMessage="1" xr:uid="{50CA1FC5-92E2-48E2-B2B4-6A323EA95C28}">
          <x14:formula1>
            <xm:f>ReferentsDPT!A2:A16</xm:f>
          </x14:formula1>
          <xm:sqref>B757</xm:sqref>
        </x14:dataValidation>
        <x14:dataValidation type="list" allowBlank="1" showInputMessage="1" showErrorMessage="1" xr:uid="{C53B7C89-1FA9-4B40-BF80-FF4847934983}">
          <x14:formula1>
            <xm:f>Classes!A2:A4</xm:f>
          </x14:formula1>
          <xm:sqref>E757</xm:sqref>
        </x14:dataValidation>
        <x14:dataValidation type="list" allowBlank="1" showInputMessage="1" showErrorMessage="1" xr:uid="{9DEF19BB-BB8C-4893-A7ED-16B584E7D3C9}">
          <x14:formula1>
            <xm:f>ReferentsDPT!A2:A16</xm:f>
          </x14:formula1>
          <xm:sqref>B758</xm:sqref>
        </x14:dataValidation>
        <x14:dataValidation type="list" allowBlank="1" showInputMessage="1" showErrorMessage="1" xr:uid="{742541AF-E04E-4059-A3DB-9CB22EB12FD8}">
          <x14:formula1>
            <xm:f>Classes!A2:A4</xm:f>
          </x14:formula1>
          <xm:sqref>E758</xm:sqref>
        </x14:dataValidation>
        <x14:dataValidation type="list" allowBlank="1" showInputMessage="1" showErrorMessage="1" xr:uid="{9444DF58-55B7-40A9-9852-7B6C67706D6F}">
          <x14:formula1>
            <xm:f>ReferentsDPT!A2:A16</xm:f>
          </x14:formula1>
          <xm:sqref>B759</xm:sqref>
        </x14:dataValidation>
        <x14:dataValidation type="list" allowBlank="1" showInputMessage="1" showErrorMessage="1" xr:uid="{972AD715-41B1-484A-A81B-0BEB0DB051DA}">
          <x14:formula1>
            <xm:f>Classes!A2:A4</xm:f>
          </x14:formula1>
          <xm:sqref>E759</xm:sqref>
        </x14:dataValidation>
        <x14:dataValidation type="list" allowBlank="1" showInputMessage="1" showErrorMessage="1" xr:uid="{358B9EF3-EB3F-4A5D-833C-DC4FDCDDC8B8}">
          <x14:formula1>
            <xm:f>ReferentsDPT!A2:A16</xm:f>
          </x14:formula1>
          <xm:sqref>B760</xm:sqref>
        </x14:dataValidation>
        <x14:dataValidation type="list" allowBlank="1" showInputMessage="1" showErrorMessage="1" xr:uid="{E7A11FAA-B646-45C7-818D-855DF348F09B}">
          <x14:formula1>
            <xm:f>Classes!A2:A4</xm:f>
          </x14:formula1>
          <xm:sqref>E760</xm:sqref>
        </x14:dataValidation>
        <x14:dataValidation type="list" allowBlank="1" showInputMessage="1" showErrorMessage="1" xr:uid="{3D5A696A-14B7-4CFE-ACD0-83DB8E235097}">
          <x14:formula1>
            <xm:f>ReferentsDPT!A2:A16</xm:f>
          </x14:formula1>
          <xm:sqref>B761</xm:sqref>
        </x14:dataValidation>
        <x14:dataValidation type="list" allowBlank="1" showInputMessage="1" showErrorMessage="1" xr:uid="{97A65B28-216C-4039-8D9B-B02C64E36828}">
          <x14:formula1>
            <xm:f>Classes!A2:A4</xm:f>
          </x14:formula1>
          <xm:sqref>E761</xm:sqref>
        </x14:dataValidation>
        <x14:dataValidation type="list" allowBlank="1" showInputMessage="1" showErrorMessage="1" xr:uid="{977F5603-73A1-4C89-A963-B0B39DA6F182}">
          <x14:formula1>
            <xm:f>ReferentsDPT!A2:A16</xm:f>
          </x14:formula1>
          <xm:sqref>B762</xm:sqref>
        </x14:dataValidation>
        <x14:dataValidation type="list" allowBlank="1" showInputMessage="1" showErrorMessage="1" xr:uid="{C17F71E7-0F04-4069-8DBE-465C61DA194B}">
          <x14:formula1>
            <xm:f>Classes!A2:A4</xm:f>
          </x14:formula1>
          <xm:sqref>E762</xm:sqref>
        </x14:dataValidation>
        <x14:dataValidation type="list" allowBlank="1" showInputMessage="1" showErrorMessage="1" xr:uid="{FA152665-85F0-4B64-B8A4-F3669513CB8E}">
          <x14:formula1>
            <xm:f>ReferentsDPT!A2:A16</xm:f>
          </x14:formula1>
          <xm:sqref>B763</xm:sqref>
        </x14:dataValidation>
        <x14:dataValidation type="list" allowBlank="1" showInputMessage="1" showErrorMessage="1" xr:uid="{E5C8814A-AE6B-4210-8B37-86087C71F9D2}">
          <x14:formula1>
            <xm:f>Classes!A2:A4</xm:f>
          </x14:formula1>
          <xm:sqref>E763</xm:sqref>
        </x14:dataValidation>
        <x14:dataValidation type="list" allowBlank="1" showInputMessage="1" showErrorMessage="1" xr:uid="{717B2BA5-DB40-4E36-856A-983F9CE6B0F6}">
          <x14:formula1>
            <xm:f>ReferentsDPT!A2:A16</xm:f>
          </x14:formula1>
          <xm:sqref>B764</xm:sqref>
        </x14:dataValidation>
        <x14:dataValidation type="list" allowBlank="1" showInputMessage="1" showErrorMessage="1" xr:uid="{91CDC478-8997-4996-814E-83AF5477421E}">
          <x14:formula1>
            <xm:f>Classes!A2:A4</xm:f>
          </x14:formula1>
          <xm:sqref>E764</xm:sqref>
        </x14:dataValidation>
        <x14:dataValidation type="list" allowBlank="1" showInputMessage="1" showErrorMessage="1" xr:uid="{596355A3-F21E-4FEE-A143-A81251F49DD9}">
          <x14:formula1>
            <xm:f>ReferentsDPT!A2:A16</xm:f>
          </x14:formula1>
          <xm:sqref>B765</xm:sqref>
        </x14:dataValidation>
        <x14:dataValidation type="list" allowBlank="1" showInputMessage="1" showErrorMessage="1" xr:uid="{DE366294-0CBA-46AF-8AC9-9084D5F3096B}">
          <x14:formula1>
            <xm:f>ReferentsDPT!A2:A16</xm:f>
          </x14:formula1>
          <xm:sqref>B766</xm:sqref>
        </x14:dataValidation>
        <x14:dataValidation type="list" allowBlank="1" showInputMessage="1" showErrorMessage="1" xr:uid="{59E52C53-2C7E-4787-8E29-2BD1C2F0CD93}">
          <x14:formula1>
            <xm:f>ReferentsDPT!A2:A16</xm:f>
          </x14:formula1>
          <xm:sqref>B767</xm:sqref>
        </x14:dataValidation>
        <x14:dataValidation type="list" allowBlank="1" showInputMessage="1" showErrorMessage="1" xr:uid="{CD18DEFC-F431-4BFB-8EAA-75A977F33172}">
          <x14:formula1>
            <xm:f>ReferentsDPT!A2:A16</xm:f>
          </x14:formula1>
          <xm:sqref>B768</xm:sqref>
        </x14:dataValidation>
        <x14:dataValidation type="list" allowBlank="1" showInputMessage="1" showErrorMessage="1" xr:uid="{1DB7C451-7CAC-43AA-AAC4-2C64764D8397}">
          <x14:formula1>
            <xm:f>Classes!A2:A4</xm:f>
          </x14:formula1>
          <xm:sqref>E765</xm:sqref>
        </x14:dataValidation>
        <x14:dataValidation type="list" allowBlank="1" showInputMessage="1" showErrorMessage="1" xr:uid="{17E66340-DDCA-42BE-855A-9E1639BDF222}">
          <x14:formula1>
            <xm:f>Classes!A2:A4</xm:f>
          </x14:formula1>
          <xm:sqref>E766</xm:sqref>
        </x14:dataValidation>
        <x14:dataValidation type="list" allowBlank="1" showInputMessage="1" showErrorMessage="1" xr:uid="{2C77C16C-49A0-4432-AE23-F6A8CAE4B899}">
          <x14:formula1>
            <xm:f>Classes!A2:A4</xm:f>
          </x14:formula1>
          <xm:sqref>E767</xm:sqref>
        </x14:dataValidation>
        <x14:dataValidation type="list" allowBlank="1" showInputMessage="1" showErrorMessage="1" xr:uid="{79BA0179-CD88-4FB7-976B-61D4DD6F1A8A}">
          <x14:formula1>
            <xm:f>Classes!A2:A4</xm:f>
          </x14:formula1>
          <xm:sqref>E768</xm:sqref>
        </x14:dataValidation>
        <x14:dataValidation type="list" allowBlank="1" showInputMessage="1" showErrorMessage="1" xr:uid="{FCE25585-DCA7-4DBA-84C7-9D417F954C90}">
          <x14:formula1>
            <xm:f>ReferentsDPT!A2:A16</xm:f>
          </x14:formula1>
          <xm:sqref>B769</xm:sqref>
        </x14:dataValidation>
        <x14:dataValidation type="list" allowBlank="1" showInputMessage="1" showErrorMessage="1" xr:uid="{952395AB-10AB-4EA4-AFC3-97A16999DC52}">
          <x14:formula1>
            <xm:f>ReferentsDPT!A2:A16</xm:f>
          </x14:formula1>
          <xm:sqref>B770</xm:sqref>
        </x14:dataValidation>
        <x14:dataValidation type="list" allowBlank="1" showInputMessage="1" showErrorMessage="1" xr:uid="{56230C2E-84AA-4F47-A1DE-F2325D430B57}">
          <x14:formula1>
            <xm:f>Classes!A2:A4</xm:f>
          </x14:formula1>
          <xm:sqref>E769</xm:sqref>
        </x14:dataValidation>
        <x14:dataValidation type="list" allowBlank="1" showInputMessage="1" showErrorMessage="1" xr:uid="{8A424836-E60C-4163-8CEF-52C021C018C7}">
          <x14:formula1>
            <xm:f>Classes!A2:A4</xm:f>
          </x14:formula1>
          <xm:sqref>E770</xm:sqref>
        </x14:dataValidation>
        <x14:dataValidation type="list" allowBlank="1" showInputMessage="1" showErrorMessage="1" xr:uid="{44856BF2-9CD9-4806-994C-1E7D13CF0EAA}">
          <x14:formula1>
            <xm:f>ReferentsDPT!A2:A16</xm:f>
          </x14:formula1>
          <xm:sqref>B771</xm:sqref>
        </x14:dataValidation>
        <x14:dataValidation type="list" allowBlank="1" showInputMessage="1" showErrorMessage="1" xr:uid="{BF41AE1C-3229-49E0-B8C4-6E4052109BB7}">
          <x14:formula1>
            <xm:f>ReferentsDPT!A2:A16</xm:f>
          </x14:formula1>
          <xm:sqref>B772</xm:sqref>
        </x14:dataValidation>
        <x14:dataValidation type="list" allowBlank="1" showInputMessage="1" showErrorMessage="1" xr:uid="{2BCB9921-24E7-4457-9055-DE940D109535}">
          <x14:formula1>
            <xm:f>ReferentsDPT!A2:A16</xm:f>
          </x14:formula1>
          <xm:sqref>B773</xm:sqref>
        </x14:dataValidation>
        <x14:dataValidation type="list" allowBlank="1" showInputMessage="1" showErrorMessage="1" xr:uid="{D8BBE9DA-8FD7-42DC-B73A-34C882793287}">
          <x14:formula1>
            <xm:f>Classes!A2:A4</xm:f>
          </x14:formula1>
          <xm:sqref>E771</xm:sqref>
        </x14:dataValidation>
        <x14:dataValidation type="list" allowBlank="1" showInputMessage="1" showErrorMessage="1" xr:uid="{830DAB4F-206D-47DE-9DF4-2C95C3817EF3}">
          <x14:formula1>
            <xm:f>Classes!A2:A4</xm:f>
          </x14:formula1>
          <xm:sqref>E772</xm:sqref>
        </x14:dataValidation>
        <x14:dataValidation type="list" allowBlank="1" showInputMessage="1" showErrorMessage="1" xr:uid="{E5BE8294-6CF8-4C59-8CF6-9FF2F50AEE7B}">
          <x14:formula1>
            <xm:f>Classes!A2:A4</xm:f>
          </x14:formula1>
          <xm:sqref>E773</xm:sqref>
        </x14:dataValidation>
        <x14:dataValidation type="list" allowBlank="1" showInputMessage="1" showErrorMessage="1" xr:uid="{F6DBFFC3-B893-40A8-9EB6-EE2687E69CBD}">
          <x14:formula1>
            <xm:f>ReferentsDPT!A2:A16</xm:f>
          </x14:formula1>
          <xm:sqref>B774</xm:sqref>
        </x14:dataValidation>
        <x14:dataValidation type="list" allowBlank="1" showInputMessage="1" showErrorMessage="1" xr:uid="{89F4C784-F87C-42A3-8BC4-FDF6DF26A8C7}">
          <x14:formula1>
            <xm:f>Classes!A2:A4</xm:f>
          </x14:formula1>
          <xm:sqref>E774</xm:sqref>
        </x14:dataValidation>
        <x14:dataValidation type="list" allowBlank="1" showInputMessage="1" showErrorMessage="1" xr:uid="{7FB83F1A-136A-4B61-A3AE-F54FF01ABFB9}">
          <x14:formula1>
            <xm:f>ReferentsDPT!A2:A16</xm:f>
          </x14:formula1>
          <xm:sqref>B775</xm:sqref>
        </x14:dataValidation>
        <x14:dataValidation type="list" allowBlank="1" showInputMessage="1" showErrorMessage="1" xr:uid="{B0079516-A1CF-48A6-BF05-CBAAAA4B20E4}">
          <x14:formula1>
            <xm:f>Classes!A2:A4</xm:f>
          </x14:formula1>
          <xm:sqref>E775</xm:sqref>
        </x14:dataValidation>
        <x14:dataValidation type="list" allowBlank="1" showInputMessage="1" showErrorMessage="1" xr:uid="{B19DC1DF-FB1B-4341-A8BD-87CC0FFA4DA3}">
          <x14:formula1>
            <xm:f>ReferentsDPT!A2:A16</xm:f>
          </x14:formula1>
          <xm:sqref>B776</xm:sqref>
        </x14:dataValidation>
        <x14:dataValidation type="list" allowBlank="1" showInputMessage="1" showErrorMessage="1" xr:uid="{2DB14D71-A988-434C-A910-F42B190B5ED4}">
          <x14:formula1>
            <xm:f>ReferentsDPT!A2:A16</xm:f>
          </x14:formula1>
          <xm:sqref>B777</xm:sqref>
        </x14:dataValidation>
        <x14:dataValidation type="list" allowBlank="1" showInputMessage="1" showErrorMessage="1" xr:uid="{FC84D2A7-051C-416F-B482-D2F0F060C182}">
          <x14:formula1>
            <xm:f>ReferentsDPT!A2:A16</xm:f>
          </x14:formula1>
          <xm:sqref>B778</xm:sqref>
        </x14:dataValidation>
        <x14:dataValidation type="list" allowBlank="1" showInputMessage="1" showErrorMessage="1" xr:uid="{DEF4826B-A5AC-4C47-95AD-CB1595F1588D}">
          <x14:formula1>
            <xm:f>Classes!A2:A4</xm:f>
          </x14:formula1>
          <xm:sqref>E776</xm:sqref>
        </x14:dataValidation>
        <x14:dataValidation type="list" allowBlank="1" showInputMessage="1" showErrorMessage="1" xr:uid="{1BCD2C21-6E75-4E4A-8F9B-5A9CFC948352}">
          <x14:formula1>
            <xm:f>Classes!A2:A4</xm:f>
          </x14:formula1>
          <xm:sqref>E777</xm:sqref>
        </x14:dataValidation>
        <x14:dataValidation type="list" allowBlank="1" showInputMessage="1" showErrorMessage="1" xr:uid="{DEBCAA29-8340-473E-AB3F-2718E20C082A}">
          <x14:formula1>
            <xm:f>Classes!A2:A4</xm:f>
          </x14:formula1>
          <xm:sqref>E778</xm:sqref>
        </x14:dataValidation>
        <x14:dataValidation type="list" allowBlank="1" showInputMessage="1" showErrorMessage="1" xr:uid="{B85063D6-DAE6-49E1-A367-D14DA1D5BD96}">
          <x14:formula1>
            <xm:f>ReferentsDPT!A2:A16</xm:f>
          </x14:formula1>
          <xm:sqref>B779</xm:sqref>
        </x14:dataValidation>
        <x14:dataValidation type="list" allowBlank="1" showInputMessage="1" showErrorMessage="1" xr:uid="{27FFD811-719C-40C7-B16C-5434B692C4EF}">
          <x14:formula1>
            <xm:f>Classes!A2:A4</xm:f>
          </x14:formula1>
          <xm:sqref>E779</xm:sqref>
        </x14:dataValidation>
        <x14:dataValidation type="list" allowBlank="1" showInputMessage="1" showErrorMessage="1" xr:uid="{6C6C4D41-7ECC-4565-AD32-708102273B74}">
          <x14:formula1>
            <xm:f>ReferentsDPT!A2:A16</xm:f>
          </x14:formula1>
          <xm:sqref>B780</xm:sqref>
        </x14:dataValidation>
        <x14:dataValidation type="list" allowBlank="1" showInputMessage="1" showErrorMessage="1" xr:uid="{FD6DA05B-5A71-445E-B2D3-2163FADEE6A8}">
          <x14:formula1>
            <xm:f>Classes!A2:A4</xm:f>
          </x14:formula1>
          <xm:sqref>E780</xm:sqref>
        </x14:dataValidation>
        <x14:dataValidation type="list" allowBlank="1" showInputMessage="1" showErrorMessage="1" xr:uid="{99EC9E65-09CB-4331-9753-F5745E11DD11}">
          <x14:formula1>
            <xm:f>ReferentsDPT!A2:A16</xm:f>
          </x14:formula1>
          <xm:sqref>B781</xm:sqref>
        </x14:dataValidation>
        <x14:dataValidation type="list" allowBlank="1" showInputMessage="1" showErrorMessage="1" xr:uid="{33A91E98-1F54-40AF-9E2B-4E9B2A720115}">
          <x14:formula1>
            <xm:f>Classes!A2:A4</xm:f>
          </x14:formula1>
          <xm:sqref>E781</xm:sqref>
        </x14:dataValidation>
        <x14:dataValidation type="list" allowBlank="1" showInputMessage="1" showErrorMessage="1" xr:uid="{66147599-E45B-48BC-BF2F-CCA074FD977D}">
          <x14:formula1>
            <xm:f>ReferentsDPT!A2:A16</xm:f>
          </x14:formula1>
          <xm:sqref>B782</xm:sqref>
        </x14:dataValidation>
        <x14:dataValidation type="list" allowBlank="1" showInputMessage="1" showErrorMessage="1" xr:uid="{00505FBA-BE29-4D02-BD0C-C4C6DA6B1A1B}">
          <x14:formula1>
            <xm:f>Classes!A2:A4</xm:f>
          </x14:formula1>
          <xm:sqref>E782</xm:sqref>
        </x14:dataValidation>
        <x14:dataValidation type="list" allowBlank="1" showInputMessage="1" showErrorMessage="1" xr:uid="{2425E0A1-7E38-4B26-8B99-8C45AA1C5F32}">
          <x14:formula1>
            <xm:f>ReferentsDPT!A2:A16</xm:f>
          </x14:formula1>
          <xm:sqref>B783</xm:sqref>
        </x14:dataValidation>
        <x14:dataValidation type="list" allowBlank="1" showInputMessage="1" showErrorMessage="1" xr:uid="{ECAAECCB-2819-43C7-B96B-3A04D09DCBD4}">
          <x14:formula1>
            <xm:f>Classes!A2:A4</xm:f>
          </x14:formula1>
          <xm:sqref>E783</xm:sqref>
        </x14:dataValidation>
        <x14:dataValidation type="list" allowBlank="1" showInputMessage="1" showErrorMessage="1" xr:uid="{72233F56-0CD0-48C9-AB26-AD62BA800041}">
          <x14:formula1>
            <xm:f>ReferentsDPT!A2:A16</xm:f>
          </x14:formula1>
          <xm:sqref>B784</xm:sqref>
        </x14:dataValidation>
        <x14:dataValidation type="list" allowBlank="1" showInputMessage="1" showErrorMessage="1" xr:uid="{256E3D23-2946-4A08-8226-0866919BCAA9}">
          <x14:formula1>
            <xm:f>Classes!A2:A4</xm:f>
          </x14:formula1>
          <xm:sqref>E784</xm:sqref>
        </x14:dataValidation>
        <x14:dataValidation type="list" allowBlank="1" showInputMessage="1" showErrorMessage="1" xr:uid="{07088B33-E34A-4829-9367-279E39865EAE}">
          <x14:formula1>
            <xm:f>ReferentsDPT!A2:A16</xm:f>
          </x14:formula1>
          <xm:sqref>B785</xm:sqref>
        </x14:dataValidation>
        <x14:dataValidation type="list" allowBlank="1" showInputMessage="1" showErrorMessage="1" xr:uid="{A669F466-AFAE-443E-800E-E717768811FE}">
          <x14:formula1>
            <xm:f>Classes!A2:A4</xm:f>
          </x14:formula1>
          <xm:sqref>E785</xm:sqref>
        </x14:dataValidation>
        <x14:dataValidation type="list" allowBlank="1" showInputMessage="1" showErrorMessage="1" xr:uid="{C2802614-8415-4D18-A6A9-88DB82814003}">
          <x14:formula1>
            <xm:f>ReferentsDPT!A2:A16</xm:f>
          </x14:formula1>
          <xm:sqref>B786</xm:sqref>
        </x14:dataValidation>
        <x14:dataValidation type="list" allowBlank="1" showInputMessage="1" showErrorMessage="1" xr:uid="{06D50577-0C83-494A-AFD1-8B732625260A}">
          <x14:formula1>
            <xm:f>Classes!A2:A4</xm:f>
          </x14:formula1>
          <xm:sqref>E786</xm:sqref>
        </x14:dataValidation>
        <x14:dataValidation type="list" allowBlank="1" showInputMessage="1" showErrorMessage="1" xr:uid="{0AB99116-F6E4-4A74-A0D5-95342FE5EF93}">
          <x14:formula1>
            <xm:f>ReferentsDPT!A2:A16</xm:f>
          </x14:formula1>
          <xm:sqref>B787</xm:sqref>
        </x14:dataValidation>
        <x14:dataValidation type="list" allowBlank="1" showInputMessage="1" showErrorMessage="1" xr:uid="{CB9D73FD-9B33-4D55-81BF-0856BF0B8565}">
          <x14:formula1>
            <xm:f>Classes!A2:A4</xm:f>
          </x14:formula1>
          <xm:sqref>E787</xm:sqref>
        </x14:dataValidation>
        <x14:dataValidation type="list" allowBlank="1" showInputMessage="1" showErrorMessage="1" xr:uid="{8D64B34A-FCD7-4463-B1A1-3DD755C7E236}">
          <x14:formula1>
            <xm:f>ReferentsDPT!A2:A16</xm:f>
          </x14:formula1>
          <xm:sqref>B788</xm:sqref>
        </x14:dataValidation>
        <x14:dataValidation type="list" allowBlank="1" showInputMessage="1" showErrorMessage="1" xr:uid="{FC061103-4CDD-433E-B32D-0A144422A3CD}">
          <x14:formula1>
            <xm:f>Classes!A2:A4</xm:f>
          </x14:formula1>
          <xm:sqref>E788</xm:sqref>
        </x14:dataValidation>
        <x14:dataValidation type="list" allowBlank="1" showInputMessage="1" showErrorMessage="1" xr:uid="{A29B2CE0-85C6-49F2-9816-9777ABDBD6E1}">
          <x14:formula1>
            <xm:f>Classes!A2:A4</xm:f>
          </x14:formula1>
          <xm:sqref>E789</xm:sqref>
        </x14:dataValidation>
        <x14:dataValidation type="list" allowBlank="1" showInputMessage="1" showErrorMessage="1" xr:uid="{5F801EC8-5A92-4901-BF84-CE4E0F4F996D}">
          <x14:formula1>
            <xm:f>ReferentsDPT!A2:A16</xm:f>
          </x14:formula1>
          <xm:sqref>B789</xm:sqref>
        </x14:dataValidation>
        <x14:dataValidation type="list" allowBlank="1" showInputMessage="1" showErrorMessage="1" xr:uid="{1E8B2811-4B18-4874-B408-162BBC742788}">
          <x14:formula1>
            <xm:f>Entreprises!A2:A75</xm:f>
          </x14:formula1>
          <xm:sqref>C1084</xm:sqref>
        </x14:dataValidation>
        <x14:dataValidation type="list" allowBlank="1" showInputMessage="1" showErrorMessage="1" xr:uid="{584E826C-FBDC-4AFD-A834-B07CFD3C5B65}">
          <x14:formula1>
            <xm:f>Classes!A2:A4</xm:f>
          </x14:formula1>
          <xm:sqref>E1084</xm:sqref>
        </x14:dataValidation>
        <x14:dataValidation type="list" allowBlank="1" showInputMessage="1" showErrorMessage="1" xr:uid="{00AF3F7E-34FF-467E-8C30-84E9A921C4E5}">
          <x14:formula1>
            <xm:f>Entreprises!A2:A75</xm:f>
          </x14:formula1>
          <xm:sqref>C1086</xm:sqref>
        </x14:dataValidation>
        <x14:dataValidation type="list" allowBlank="1" showInputMessage="1" showErrorMessage="1" xr:uid="{B87F333C-163C-4C58-88FA-3010367E257C}">
          <x14:formula1>
            <xm:f>Classes!A2:A4</xm:f>
          </x14:formula1>
          <xm:sqref>E1086</xm:sqref>
        </x14:dataValidation>
        <x14:dataValidation type="list" allowBlank="1" showInputMessage="1" showErrorMessage="1" xr:uid="{8F263ADA-1E72-44A7-95F5-96DADF98D83F}">
          <x14:formula1>
            <xm:f>Entreprises!A2:A75</xm:f>
          </x14:formula1>
          <xm:sqref>C1089</xm:sqref>
        </x14:dataValidation>
        <x14:dataValidation type="list" allowBlank="1" showInputMessage="1" showErrorMessage="1" xr:uid="{DABAE6EC-17CF-48FE-98FF-34DC133502BC}">
          <x14:formula1>
            <xm:f>Classes!A2:A4</xm:f>
          </x14:formula1>
          <xm:sqref>E1089</xm:sqref>
        </x14:dataValidation>
        <x14:dataValidation type="list" allowBlank="1" showInputMessage="1" showErrorMessage="1" xr:uid="{C24C92B0-A556-4C33-B584-6D97BA90EC2C}">
          <x14:formula1>
            <xm:f>ReferentsDPT!A2:A16</xm:f>
          </x14:formula1>
          <xm:sqref>B1091</xm:sqref>
        </x14:dataValidation>
        <x14:dataValidation type="list" allowBlank="1" showInputMessage="1" showErrorMessage="1" xr:uid="{880C34E8-6B90-426E-9F8E-D379375295A4}">
          <x14:formula1>
            <xm:f>Entreprises!A2:A75</xm:f>
          </x14:formula1>
          <xm:sqref>C1090</xm:sqref>
        </x14:dataValidation>
        <x14:dataValidation type="list" allowBlank="1" showInputMessage="1" showErrorMessage="1" xr:uid="{8352DFA6-DBDA-4EBC-98E6-5695BC352965}">
          <x14:formula1>
            <xm:f>Entreprises!A2:A75</xm:f>
          </x14:formula1>
          <xm:sqref>C1091</xm:sqref>
        </x14:dataValidation>
        <x14:dataValidation type="list" allowBlank="1" showInputMessage="1" showErrorMessage="1" xr:uid="{090B6F99-7AD2-4A65-9BB9-F7AD864D95B3}">
          <x14:formula1>
            <xm:f>Entreprises!A2:A75</xm:f>
          </x14:formula1>
          <xm:sqref>C1092</xm:sqref>
        </x14:dataValidation>
        <x14:dataValidation type="list" allowBlank="1" showInputMessage="1" showErrorMessage="1" xr:uid="{10AFC716-4268-480D-A784-CB8EFEC10B20}">
          <x14:formula1>
            <xm:f>Entreprises!A2:A75</xm:f>
          </x14:formula1>
          <xm:sqref>C1093</xm:sqref>
        </x14:dataValidation>
        <x14:dataValidation type="list" allowBlank="1" showInputMessage="1" showErrorMessage="1" xr:uid="{BE4462A2-F790-435F-99C2-E03DF4FB25EC}">
          <x14:formula1>
            <xm:f>Entreprises!A2:A75</xm:f>
          </x14:formula1>
          <xm:sqref>C1094</xm:sqref>
        </x14:dataValidation>
        <x14:dataValidation type="list" allowBlank="1" showInputMessage="1" showErrorMessage="1" xr:uid="{F6868D70-4F1B-4B89-A81E-3C41B207A920}">
          <x14:formula1>
            <xm:f>Entreprises!A2:A75</xm:f>
          </x14:formula1>
          <xm:sqref>C1095</xm:sqref>
        </x14:dataValidation>
        <x14:dataValidation type="list" allowBlank="1" showInputMessage="1" showErrorMessage="1" xr:uid="{2728B973-6A52-490E-BEC9-977A0727137B}">
          <x14:formula1>
            <xm:f>Entreprises!A2:A75</xm:f>
          </x14:formula1>
          <xm:sqref>C1096</xm:sqref>
        </x14:dataValidation>
        <x14:dataValidation type="list" allowBlank="1" showInputMessage="1" showErrorMessage="1" xr:uid="{516A4304-3C4A-40FF-8392-627E61CF3B7B}">
          <x14:formula1>
            <xm:f>Entreprises!A2:A75</xm:f>
          </x14:formula1>
          <xm:sqref>C1097</xm:sqref>
        </x14:dataValidation>
        <x14:dataValidation type="list" allowBlank="1" showInputMessage="1" showErrorMessage="1" xr:uid="{96517357-7226-414F-903A-45EAF7A89496}">
          <x14:formula1>
            <xm:f>Entreprises!A2:A75</xm:f>
          </x14:formula1>
          <xm:sqref>C1098</xm:sqref>
        </x14:dataValidation>
        <x14:dataValidation type="list" allowBlank="1" showInputMessage="1" showErrorMessage="1" xr:uid="{DB091FFE-E67B-4E98-8D52-4A9773080640}">
          <x14:formula1>
            <xm:f>Entreprises!A2:A75</xm:f>
          </x14:formula1>
          <xm:sqref>C1099</xm:sqref>
        </x14:dataValidation>
        <x14:dataValidation type="list" allowBlank="1" showInputMessage="1" showErrorMessage="1" xr:uid="{27BFB809-F6AD-4996-8AD1-48DC453CEEA1}">
          <x14:formula1>
            <xm:f>Entreprises!A2:A75</xm:f>
          </x14:formula1>
          <xm:sqref>C1100</xm:sqref>
        </x14:dataValidation>
        <x14:dataValidation type="list" allowBlank="1" showInputMessage="1" showErrorMessage="1" xr:uid="{821FB4F0-8915-4093-8008-A25928A4CF9F}">
          <x14:formula1>
            <xm:f>Entreprises!A2:A75</xm:f>
          </x14:formula1>
          <xm:sqref>C1101</xm:sqref>
        </x14:dataValidation>
        <x14:dataValidation type="list" allowBlank="1" showInputMessage="1" showErrorMessage="1" xr:uid="{8351F4AA-BF0E-47D3-99FE-FB688118B140}">
          <x14:formula1>
            <xm:f>Entreprises!A2:A75</xm:f>
          </x14:formula1>
          <xm:sqref>C1102</xm:sqref>
        </x14:dataValidation>
        <x14:dataValidation type="list" allowBlank="1" showInputMessage="1" showErrorMessage="1" xr:uid="{59FCDC53-E0CD-4986-AABD-8FC7F9B4C342}">
          <x14:formula1>
            <xm:f>Classes!A2:A4</xm:f>
          </x14:formula1>
          <xm:sqref>E1090</xm:sqref>
        </x14:dataValidation>
        <x14:dataValidation type="list" allowBlank="1" showInputMessage="1" showErrorMessage="1" xr:uid="{B2ED5D9A-6EBC-496C-8829-95BA66255E2A}">
          <x14:formula1>
            <xm:f>Classes!A2:A4</xm:f>
          </x14:formula1>
          <xm:sqref>E1091</xm:sqref>
        </x14:dataValidation>
        <x14:dataValidation type="list" allowBlank="1" showInputMessage="1" showErrorMessage="1" xr:uid="{254CD47D-9221-457A-902E-BF61F7518CE6}">
          <x14:formula1>
            <xm:f>Classes!A2:A4</xm:f>
          </x14:formula1>
          <xm:sqref>E1092</xm:sqref>
        </x14:dataValidation>
        <x14:dataValidation type="list" allowBlank="1" showInputMessage="1" showErrorMessage="1" xr:uid="{2406C086-17AE-41A4-8C25-D1B04C981AC1}">
          <x14:formula1>
            <xm:f>Classes!A2:A4</xm:f>
          </x14:formula1>
          <xm:sqref>E1093</xm:sqref>
        </x14:dataValidation>
        <x14:dataValidation type="list" allowBlank="1" showInputMessage="1" showErrorMessage="1" xr:uid="{CA54994E-3C19-4856-8EF4-E6B6A56B8A73}">
          <x14:formula1>
            <xm:f>Classes!A2:A4</xm:f>
          </x14:formula1>
          <xm:sqref>E1094</xm:sqref>
        </x14:dataValidation>
        <x14:dataValidation type="list" allowBlank="1" showInputMessage="1" showErrorMessage="1" xr:uid="{BEA75E0C-A9AE-40A8-8871-96405389F30F}">
          <x14:formula1>
            <xm:f>Classes!A2:A4</xm:f>
          </x14:formula1>
          <xm:sqref>E1095</xm:sqref>
        </x14:dataValidation>
        <x14:dataValidation type="list" allowBlank="1" showInputMessage="1" showErrorMessage="1" xr:uid="{4987A7C5-977E-4621-A169-E579C6D14F0C}">
          <x14:formula1>
            <xm:f>Classes!A2:A4</xm:f>
          </x14:formula1>
          <xm:sqref>E1096</xm:sqref>
        </x14:dataValidation>
        <x14:dataValidation type="list" allowBlank="1" showInputMessage="1" showErrorMessage="1" xr:uid="{512DD7A7-29C4-425D-9521-941FF2F1643B}">
          <x14:formula1>
            <xm:f>Classes!A2:A4</xm:f>
          </x14:formula1>
          <xm:sqref>E1097</xm:sqref>
        </x14:dataValidation>
        <x14:dataValidation type="list" allowBlank="1" showInputMessage="1" showErrorMessage="1" xr:uid="{68E17E8C-4B19-46D1-B16A-3220F766C7E2}">
          <x14:formula1>
            <xm:f>ReferentsDPT!A2:A16</xm:f>
          </x14:formula1>
          <xm:sqref>B1103</xm:sqref>
        </x14:dataValidation>
        <x14:dataValidation type="list" allowBlank="1" showInputMessage="1" showErrorMessage="1" xr:uid="{CE383CC5-F6A9-45FD-AC4E-9233379F0045}">
          <x14:formula1>
            <xm:f>Entreprises!A2:A75</xm:f>
          </x14:formula1>
          <xm:sqref>C1103</xm:sqref>
        </x14:dataValidation>
        <x14:dataValidation type="list" allowBlank="1" showInputMessage="1" showErrorMessage="1" xr:uid="{EB9BF049-1D7B-42FB-86D2-34BA012B4590}">
          <x14:formula1>
            <xm:f>Classes!A2:A4</xm:f>
          </x14:formula1>
          <xm:sqref>E1103</xm:sqref>
        </x14:dataValidation>
        <x14:dataValidation type="list" allowBlank="1" showInputMessage="1" showErrorMessage="1" xr:uid="{46C3C3DC-FCEA-4A16-ACF3-7E4C6198B0A4}">
          <x14:formula1>
            <xm:f>Classes!A2:A4</xm:f>
          </x14:formula1>
          <xm:sqref>E1098</xm:sqref>
        </x14:dataValidation>
        <x14:dataValidation type="list" allowBlank="1" showInputMessage="1" showErrorMessage="1" xr:uid="{ED874509-D6C3-4019-8DC2-77CB99101EFB}">
          <x14:formula1>
            <xm:f>Classes!A2:A4</xm:f>
          </x14:formula1>
          <xm:sqref>E1099</xm:sqref>
        </x14:dataValidation>
        <x14:dataValidation type="list" allowBlank="1" showInputMessage="1" showErrorMessage="1" xr:uid="{3BD2817C-187F-45A7-AB19-DD3B87DC1C6C}">
          <x14:formula1>
            <xm:f>Classes!A2:A4</xm:f>
          </x14:formula1>
          <xm:sqref>E1100</xm:sqref>
        </x14:dataValidation>
        <x14:dataValidation type="list" allowBlank="1" showInputMessage="1" showErrorMessage="1" xr:uid="{8FBED671-49E7-4831-85E0-90C12B49E649}">
          <x14:formula1>
            <xm:f>Classes!A2:A4</xm:f>
          </x14:formula1>
          <xm:sqref>E1101</xm:sqref>
        </x14:dataValidation>
        <x14:dataValidation type="list" allowBlank="1" showInputMessage="1" showErrorMessage="1" xr:uid="{28038A2E-43BC-445A-8B72-011AEAF480EB}">
          <x14:formula1>
            <xm:f>Classes!A2:A4</xm:f>
          </x14:formula1>
          <xm:sqref>E1102</xm:sqref>
        </x14:dataValidation>
        <x14:dataValidation type="list" allowBlank="1" showInputMessage="1" showErrorMessage="1" xr:uid="{0B0D25D8-0114-4AF7-9373-5C41BBD0BA74}">
          <x14:formula1>
            <xm:f>ReferentsDPT!A2:A16</xm:f>
          </x14:formula1>
          <xm:sqref>B1104</xm:sqref>
        </x14:dataValidation>
        <x14:dataValidation type="list" allowBlank="1" showInputMessage="1" showErrorMessage="1" xr:uid="{14D3BE0D-E247-499B-8FE2-BB33BD08468C}">
          <x14:formula1>
            <xm:f>Entreprises!A2:A75</xm:f>
          </x14:formula1>
          <xm:sqref>C1104</xm:sqref>
        </x14:dataValidation>
        <x14:dataValidation type="list" allowBlank="1" showInputMessage="1" showErrorMessage="1" xr:uid="{50095314-B286-4A48-9EC8-1F01687C5DF5}">
          <x14:formula1>
            <xm:f>Classes!A2:A4</xm:f>
          </x14:formula1>
          <xm:sqref>E1104</xm:sqref>
        </x14:dataValidation>
        <x14:dataValidation type="list" allowBlank="1" showInputMessage="1" showErrorMessage="1" xr:uid="{A7E70365-E753-4369-8B03-E89101D973F8}">
          <x14:formula1>
            <xm:f>Entreprises!A2:A75</xm:f>
          </x14:formula1>
          <xm:sqref>C1105</xm:sqref>
        </x14:dataValidation>
        <x14:dataValidation type="list" allowBlank="1" showInputMessage="1" showErrorMessage="1" xr:uid="{94A45668-A2A9-41E1-86B1-B1938054363B}">
          <x14:formula1>
            <xm:f>Entreprises!A2:A75</xm:f>
          </x14:formula1>
          <xm:sqref>C1106</xm:sqref>
        </x14:dataValidation>
        <x14:dataValidation type="list" allowBlank="1" showInputMessage="1" showErrorMessage="1" xr:uid="{0025FF5D-6209-4906-97BB-AFC474FA26F0}">
          <x14:formula1>
            <xm:f>Classes!A2:A4</xm:f>
          </x14:formula1>
          <xm:sqref>E1105</xm:sqref>
        </x14:dataValidation>
        <x14:dataValidation type="list" allowBlank="1" showInputMessage="1" showErrorMessage="1" xr:uid="{D7688035-B38D-4356-B134-731B432AB795}">
          <x14:formula1>
            <xm:f>Classes!A2:A4</xm:f>
          </x14:formula1>
          <xm:sqref>E1106</xm:sqref>
        </x14:dataValidation>
        <x14:dataValidation type="list" allowBlank="1" showInputMessage="1" showErrorMessage="1" xr:uid="{A60B2736-3A79-4A41-B645-D6A01CAEECBE}">
          <x14:formula1>
            <xm:f>ReferentsDPT!A2:A16</xm:f>
          </x14:formula1>
          <xm:sqref>B1110</xm:sqref>
        </x14:dataValidation>
        <x14:dataValidation type="list" allowBlank="1" showInputMessage="1" showErrorMessage="1" xr:uid="{FE719666-0D4E-49F6-BE49-3BA5EFADFDD4}">
          <x14:formula1>
            <xm:f>Entreprises!A2:A75</xm:f>
          </x14:formula1>
          <xm:sqref>C1110</xm:sqref>
        </x14:dataValidation>
        <x14:dataValidation type="list" allowBlank="1" showInputMessage="1" showErrorMessage="1" xr:uid="{9364C2DE-4571-41A8-84B1-0C35A27AF465}">
          <x14:formula1>
            <xm:f>Classes!A2:A4</xm:f>
          </x14:formula1>
          <xm:sqref>E1110</xm:sqref>
        </x14:dataValidation>
        <x14:dataValidation type="list" allowBlank="1" showInputMessage="1" showErrorMessage="1" xr:uid="{67F4561A-7C40-44AD-818D-34B00C8423ED}">
          <x14:formula1>
            <xm:f>ReferentsDPT!A2:A16</xm:f>
          </x14:formula1>
          <xm:sqref>B1111</xm:sqref>
        </x14:dataValidation>
        <x14:dataValidation type="list" allowBlank="1" showInputMessage="1" showErrorMessage="1" xr:uid="{BFD32786-D153-40C7-8E9F-3EABF788EBB9}">
          <x14:formula1>
            <xm:f>Entreprises!A2:A75</xm:f>
          </x14:formula1>
          <xm:sqref>C1111</xm:sqref>
        </x14:dataValidation>
        <x14:dataValidation type="list" allowBlank="1" showInputMessage="1" showErrorMessage="1" xr:uid="{5C01C995-65F2-4CD3-BBAD-FF09C6EDAD84}">
          <x14:formula1>
            <xm:f>Entreprises!A2:A75</xm:f>
          </x14:formula1>
          <xm:sqref>C1112</xm:sqref>
        </x14:dataValidation>
        <x14:dataValidation type="list" allowBlank="1" showInputMessage="1" showErrorMessage="1" xr:uid="{7B1D52AB-31A0-43E2-9095-9372CE3E505E}">
          <x14:formula1>
            <xm:f>Entreprises!A2:A75</xm:f>
          </x14:formula1>
          <xm:sqref>C1113</xm:sqref>
        </x14:dataValidation>
        <x14:dataValidation type="list" allowBlank="1" showInputMessage="1" showErrorMessage="1" xr:uid="{E2E80C88-06F8-4B2A-9DC8-F6476710C517}">
          <x14:formula1>
            <xm:f>Entreprises!A2:A75</xm:f>
          </x14:formula1>
          <xm:sqref>C1114</xm:sqref>
        </x14:dataValidation>
        <x14:dataValidation type="list" allowBlank="1" showInputMessage="1" showErrorMessage="1" xr:uid="{8A2BE3AB-2FEC-4D98-9DEC-8464A67AE354}">
          <x14:formula1>
            <xm:f>Classes!A2:A4</xm:f>
          </x14:formula1>
          <xm:sqref>E1111</xm:sqref>
        </x14:dataValidation>
        <x14:dataValidation type="list" allowBlank="1" showInputMessage="1" showErrorMessage="1" xr:uid="{4287DAA6-C4C9-48E1-A090-628AE5003561}">
          <x14:formula1>
            <xm:f>Classes!A2:A4</xm:f>
          </x14:formula1>
          <xm:sqref>E1112</xm:sqref>
        </x14:dataValidation>
        <x14:dataValidation type="list" allowBlank="1" showInputMessage="1" showErrorMessage="1" xr:uid="{9337BC21-926B-4E88-84F6-73CD76EBEC4A}">
          <x14:formula1>
            <xm:f>Classes!A2:A4</xm:f>
          </x14:formula1>
          <xm:sqref>E1113</xm:sqref>
        </x14:dataValidation>
        <x14:dataValidation type="list" allowBlank="1" showInputMessage="1" showErrorMessage="1" xr:uid="{F37AC535-6590-482F-AA75-67ECB3711571}">
          <x14:formula1>
            <xm:f>Classes!A2:A4</xm:f>
          </x14:formula1>
          <xm:sqref>E1114</xm:sqref>
        </x14:dataValidation>
        <x14:dataValidation type="list" allowBlank="1" showInputMessage="1" showErrorMessage="1" xr:uid="{6B6CA6C0-1D96-41D3-814A-EAF4FA8CAA64}">
          <x14:formula1>
            <xm:f>Entreprises!A2:A75</xm:f>
          </x14:formula1>
          <xm:sqref>C1115</xm:sqref>
        </x14:dataValidation>
        <x14:dataValidation type="list" allowBlank="1" showInputMessage="1" showErrorMessage="1" xr:uid="{2D6BE439-E9B1-46F5-B6C1-704025FEF29A}">
          <x14:formula1>
            <xm:f>Classes!A2:A4</xm:f>
          </x14:formula1>
          <xm:sqref>E1115</xm:sqref>
        </x14:dataValidation>
        <x14:dataValidation type="list" allowBlank="1" showInputMessage="1" showErrorMessage="1" xr:uid="{52FC599C-6C8B-4A0C-9454-754BCB830200}">
          <x14:formula1>
            <xm:f>Entreprises!A2:A75</xm:f>
          </x14:formula1>
          <xm:sqref>C1116</xm:sqref>
        </x14:dataValidation>
        <x14:dataValidation type="list" allowBlank="1" showInputMessage="1" showErrorMessage="1" xr:uid="{174A14FE-07DC-448A-96A6-E4B5E96EE23E}">
          <x14:formula1>
            <xm:f>Classes!A2:A4</xm:f>
          </x14:formula1>
          <xm:sqref>E1116</xm:sqref>
        </x14:dataValidation>
        <x14:dataValidation type="list" allowBlank="1" showInputMessage="1" showErrorMessage="1" xr:uid="{991EA9FB-93BD-43A9-A023-581BA6535981}">
          <x14:formula1>
            <xm:f>ReferentsDPT!A2:A16</xm:f>
          </x14:formula1>
          <xm:sqref>B1117</xm:sqref>
        </x14:dataValidation>
        <x14:dataValidation type="list" allowBlank="1" showInputMessage="1" showErrorMessage="1" xr:uid="{FE0DB9B3-2764-4BE6-8CA6-BEBE9A89D6B4}">
          <x14:formula1>
            <xm:f>Entreprises!A2:A75</xm:f>
          </x14:formula1>
          <xm:sqref>C1117</xm:sqref>
        </x14:dataValidation>
        <x14:dataValidation type="list" allowBlank="1" showInputMessage="1" showErrorMessage="1" xr:uid="{4E735040-7E7A-4E89-A689-4A9C389F815D}">
          <x14:formula1>
            <xm:f>Classes!A2:A4</xm:f>
          </x14:formula1>
          <xm:sqref>E1117</xm:sqref>
        </x14:dataValidation>
        <x14:dataValidation type="list" allowBlank="1" showInputMessage="1" showErrorMessage="1" xr:uid="{665D3DD7-4535-41B0-9A29-5CB1DEF5051B}">
          <x14:formula1>
            <xm:f>Entreprises!A2:A75</xm:f>
          </x14:formula1>
          <xm:sqref>C1118</xm:sqref>
        </x14:dataValidation>
        <x14:dataValidation type="list" allowBlank="1" showInputMessage="1" showErrorMessage="1" xr:uid="{C6F76E67-A818-4733-82FF-742F222B732C}">
          <x14:formula1>
            <xm:f>Classes!A2:A4</xm:f>
          </x14:formula1>
          <xm:sqref>E1118</xm:sqref>
        </x14:dataValidation>
        <x14:dataValidation type="list" allowBlank="1" showInputMessage="1" showErrorMessage="1" xr:uid="{17F0F9CD-91C7-4A54-AF6E-B929AE97817F}">
          <x14:formula1>
            <xm:f>Entreprises!A2:A75</xm:f>
          </x14:formula1>
          <xm:sqref>C1119</xm:sqref>
        </x14:dataValidation>
        <x14:dataValidation type="list" allowBlank="1" showInputMessage="1" showErrorMessage="1" xr:uid="{0DA8426B-DB14-4639-831E-7026FF0AD33A}">
          <x14:formula1>
            <xm:f>Classes!A2:A4</xm:f>
          </x14:formula1>
          <xm:sqref>E1119</xm:sqref>
        </x14:dataValidation>
        <x14:dataValidation type="list" allowBlank="1" showInputMessage="1" showErrorMessage="1" xr:uid="{DC9DCB86-2F50-42AA-BA47-6D022229F93C}">
          <x14:formula1>
            <xm:f>Entreprises!A2:A75</xm:f>
          </x14:formula1>
          <xm:sqref>C1502</xm:sqref>
        </x14:dataValidation>
        <x14:dataValidation type="list" allowBlank="1" showInputMessage="1" showErrorMessage="1" xr:uid="{DB9CDBF2-65D7-4A8D-A354-681D068068CC}">
          <x14:formula1>
            <xm:f>ReferentsDPT!A2:A16</xm:f>
          </x14:formula1>
          <xm:sqref>B1120</xm:sqref>
        </x14:dataValidation>
        <x14:dataValidation type="list" allowBlank="1" showInputMessage="1" showErrorMessage="1" xr:uid="{8BAE9710-68DA-42DF-8383-287DD163B823}">
          <x14:formula1>
            <xm:f>Entreprises!A2:A75</xm:f>
          </x14:formula1>
          <xm:sqref>C1120</xm:sqref>
        </x14:dataValidation>
        <x14:dataValidation type="list" allowBlank="1" showInputMessage="1" showErrorMessage="1" xr:uid="{96C5C691-978A-42D8-9129-458F334314BF}">
          <x14:formula1>
            <xm:f>Classes!A2:A4</xm:f>
          </x14:formula1>
          <xm:sqref>E1120</xm:sqref>
        </x14:dataValidation>
        <x14:dataValidation type="list" allowBlank="1" showInputMessage="1" showErrorMessage="1" xr:uid="{54DCC35F-3377-487B-AA35-BFDD74B3A7F2}">
          <x14:formula1>
            <xm:f>Entreprises!A2:A75</xm:f>
          </x14:formula1>
          <xm:sqref>C1121</xm:sqref>
        </x14:dataValidation>
        <x14:dataValidation type="list" allowBlank="1" showInputMessage="1" showErrorMessage="1" xr:uid="{70A834C8-33CB-411C-A5B0-C03FFBB7B218}">
          <x14:formula1>
            <xm:f>Classes!A2:A4</xm:f>
          </x14:formula1>
          <xm:sqref>E1121</xm:sqref>
        </x14:dataValidation>
        <x14:dataValidation type="list" allowBlank="1" showInputMessage="1" showErrorMessage="1" xr:uid="{F0DBED98-3BD3-4E0C-AE2C-0AA2D4D81948}">
          <x14:formula1>
            <xm:f>ReferentsDPT!A2:A16</xm:f>
          </x14:formula1>
          <xm:sqref>B1122</xm:sqref>
        </x14:dataValidation>
        <x14:dataValidation type="list" allowBlank="1" showInputMessage="1" showErrorMessage="1" xr:uid="{FA787F47-7AA3-4EB3-B984-D8D1974D6DBA}">
          <x14:formula1>
            <xm:f>Entreprises!A2:A75</xm:f>
          </x14:formula1>
          <xm:sqref>C1122</xm:sqref>
        </x14:dataValidation>
        <x14:dataValidation type="list" allowBlank="1" showInputMessage="1" showErrorMessage="1" xr:uid="{5CE6A515-6F24-4D3A-81C9-50C8A6429640}">
          <x14:formula1>
            <xm:f>Classes!A2:A4</xm:f>
          </x14:formula1>
          <xm:sqref>E1122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71F37-F9FA-413B-B17C-7264FAEBF4E8}">
  <sheetPr codeName="Feuil15"/>
  <dimension ref="A1"/>
  <sheetViews>
    <sheetView workbookViewId="0"/>
  </sheetViews>
  <sheetFormatPr baseColWidth="10" defaultColWidth="11.44140625"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A3371-E88B-4A43-B04C-F982272B34F2}">
  <sheetPr codeName="Feuil11"/>
  <dimension ref="A1:F174"/>
  <sheetViews>
    <sheetView topLeftCell="A73" workbookViewId="0">
      <selection activeCell="E10" sqref="E10"/>
    </sheetView>
  </sheetViews>
  <sheetFormatPr baseColWidth="10" defaultColWidth="11.44140625" defaultRowHeight="14.4" x14ac:dyDescent="0.3"/>
  <cols>
    <col min="1" max="1" width="14.44140625" customWidth="1"/>
    <col min="2" max="2" width="15.44140625" bestFit="1" customWidth="1"/>
    <col min="3" max="3" width="25.5546875" bestFit="1" customWidth="1"/>
    <col min="4" max="4" width="15.44140625" bestFit="1" customWidth="1"/>
    <col min="5" max="5" width="48.44140625" bestFit="1" customWidth="1"/>
    <col min="6" max="6" width="27" bestFit="1" customWidth="1"/>
  </cols>
  <sheetData>
    <row r="1" spans="1:6" x14ac:dyDescent="0.3">
      <c r="A1" s="30" t="s">
        <v>53</v>
      </c>
      <c r="B1" s="31" t="s">
        <v>3774</v>
      </c>
      <c r="C1" s="31" t="s">
        <v>60</v>
      </c>
      <c r="D1" s="31" t="s">
        <v>61</v>
      </c>
      <c r="E1" s="31" t="s">
        <v>3775</v>
      </c>
      <c r="F1" s="31" t="s">
        <v>63</v>
      </c>
    </row>
    <row r="2" spans="1:6" x14ac:dyDescent="0.3">
      <c r="A2" s="32" t="s">
        <v>2924</v>
      </c>
      <c r="B2" s="33" t="s">
        <v>124</v>
      </c>
      <c r="C2" s="33" t="s">
        <v>2925</v>
      </c>
      <c r="D2" s="33" t="s">
        <v>1660</v>
      </c>
      <c r="E2" s="33" t="s">
        <v>2926</v>
      </c>
      <c r="F2" s="33" t="s">
        <v>2926</v>
      </c>
    </row>
    <row r="3" spans="1:6" x14ac:dyDescent="0.3">
      <c r="A3" s="32" t="s">
        <v>130</v>
      </c>
      <c r="B3" s="33" t="s">
        <v>124</v>
      </c>
      <c r="C3" s="33" t="s">
        <v>125</v>
      </c>
      <c r="D3" s="33" t="s">
        <v>126</v>
      </c>
      <c r="E3" s="33" t="s">
        <v>131</v>
      </c>
      <c r="F3" s="33" t="s">
        <v>102</v>
      </c>
    </row>
    <row r="4" spans="1:6" x14ac:dyDescent="0.3">
      <c r="A4" s="32" t="s">
        <v>174</v>
      </c>
      <c r="B4" s="33" t="s">
        <v>124</v>
      </c>
      <c r="C4" s="33" t="s">
        <v>125</v>
      </c>
      <c r="D4" s="33" t="s">
        <v>177</v>
      </c>
      <c r="E4" s="33" t="s">
        <v>136</v>
      </c>
      <c r="F4" s="33" t="s">
        <v>102</v>
      </c>
    </row>
    <row r="5" spans="1:6" x14ac:dyDescent="0.3">
      <c r="A5" s="32" t="s">
        <v>134</v>
      </c>
      <c r="B5" s="33" t="s">
        <v>124</v>
      </c>
      <c r="C5" s="33" t="s">
        <v>125</v>
      </c>
      <c r="D5" s="33" t="s">
        <v>135</v>
      </c>
      <c r="E5" s="33" t="s">
        <v>136</v>
      </c>
      <c r="F5" s="33" t="s">
        <v>102</v>
      </c>
    </row>
    <row r="6" spans="1:6" x14ac:dyDescent="0.3">
      <c r="A6" s="32" t="s">
        <v>1164</v>
      </c>
      <c r="B6" s="33" t="s">
        <v>124</v>
      </c>
      <c r="C6" s="33" t="s">
        <v>125</v>
      </c>
      <c r="D6" s="33" t="s">
        <v>126</v>
      </c>
      <c r="E6" s="33" t="s">
        <v>131</v>
      </c>
      <c r="F6" s="33" t="s">
        <v>1165</v>
      </c>
    </row>
    <row r="7" spans="1:6" x14ac:dyDescent="0.3">
      <c r="A7" s="32" t="s">
        <v>1726</v>
      </c>
      <c r="B7" s="33" t="s">
        <v>124</v>
      </c>
      <c r="C7" s="33" t="s">
        <v>235</v>
      </c>
      <c r="D7" s="33" t="s">
        <v>246</v>
      </c>
      <c r="E7" s="33" t="s">
        <v>284</v>
      </c>
      <c r="F7" s="34" t="s">
        <v>1727</v>
      </c>
    </row>
    <row r="8" spans="1:6" x14ac:dyDescent="0.3">
      <c r="A8" s="32" t="s">
        <v>872</v>
      </c>
      <c r="B8" s="33" t="s">
        <v>124</v>
      </c>
      <c r="C8" s="33" t="s">
        <v>235</v>
      </c>
      <c r="D8" s="33" t="s">
        <v>246</v>
      </c>
      <c r="E8" s="33" t="s">
        <v>284</v>
      </c>
      <c r="F8" s="37" t="s">
        <v>873</v>
      </c>
    </row>
    <row r="9" spans="1:6" x14ac:dyDescent="0.3">
      <c r="A9" s="32" t="s">
        <v>2819</v>
      </c>
      <c r="B9" s="33" t="s">
        <v>124</v>
      </c>
      <c r="C9" s="33" t="s">
        <v>125</v>
      </c>
      <c r="D9" s="33" t="s">
        <v>246</v>
      </c>
      <c r="E9" s="33" t="s">
        <v>131</v>
      </c>
      <c r="F9" s="33" t="s">
        <v>2820</v>
      </c>
    </row>
    <row r="10" spans="1:6" x14ac:dyDescent="0.3">
      <c r="A10" s="32" t="s">
        <v>3776</v>
      </c>
      <c r="B10" s="33" t="s">
        <v>124</v>
      </c>
      <c r="C10" s="33" t="s">
        <v>235</v>
      </c>
      <c r="D10" s="33" t="s">
        <v>177</v>
      </c>
      <c r="E10" s="33" t="s">
        <v>284</v>
      </c>
      <c r="F10" s="34" t="s">
        <v>87</v>
      </c>
    </row>
    <row r="11" spans="1:6" x14ac:dyDescent="0.3">
      <c r="A11" s="32" t="s">
        <v>391</v>
      </c>
      <c r="B11" s="33" t="s">
        <v>124</v>
      </c>
      <c r="C11" s="33" t="s">
        <v>235</v>
      </c>
      <c r="D11" s="33" t="s">
        <v>177</v>
      </c>
      <c r="E11" s="33" t="s">
        <v>284</v>
      </c>
      <c r="F11" s="34" t="s">
        <v>392</v>
      </c>
    </row>
    <row r="12" spans="1:6" x14ac:dyDescent="0.3">
      <c r="A12" s="32" t="s">
        <v>3777</v>
      </c>
      <c r="B12" s="33" t="s">
        <v>124</v>
      </c>
      <c r="C12" s="33" t="s">
        <v>235</v>
      </c>
      <c r="D12" s="33" t="s">
        <v>246</v>
      </c>
      <c r="E12" s="33" t="s">
        <v>284</v>
      </c>
      <c r="F12" s="34" t="s">
        <v>151</v>
      </c>
    </row>
    <row r="13" spans="1:6" x14ac:dyDescent="0.3">
      <c r="A13" s="32" t="s">
        <v>1987</v>
      </c>
      <c r="B13" s="33" t="s">
        <v>124</v>
      </c>
      <c r="C13" s="33" t="s">
        <v>235</v>
      </c>
      <c r="D13" s="33" t="s">
        <v>246</v>
      </c>
      <c r="E13" s="33" t="s">
        <v>284</v>
      </c>
      <c r="F13" s="34" t="s">
        <v>87</v>
      </c>
    </row>
    <row r="14" spans="1:6" x14ac:dyDescent="0.3">
      <c r="A14" s="32" t="s">
        <v>283</v>
      </c>
      <c r="B14" s="33" t="s">
        <v>124</v>
      </c>
      <c r="C14" s="33" t="s">
        <v>235</v>
      </c>
      <c r="D14" s="33" t="s">
        <v>177</v>
      </c>
      <c r="E14" s="33" t="s">
        <v>284</v>
      </c>
      <c r="F14" s="34" t="s">
        <v>151</v>
      </c>
    </row>
    <row r="15" spans="1:6" x14ac:dyDescent="0.3">
      <c r="A15" s="32" t="s">
        <v>2380</v>
      </c>
      <c r="B15" s="33" t="s">
        <v>124</v>
      </c>
      <c r="C15" s="33" t="s">
        <v>235</v>
      </c>
      <c r="D15" s="33" t="s">
        <v>177</v>
      </c>
      <c r="E15" s="33" t="s">
        <v>284</v>
      </c>
      <c r="F15" s="34" t="s">
        <v>271</v>
      </c>
    </row>
    <row r="16" spans="1:6" x14ac:dyDescent="0.3">
      <c r="A16" s="32" t="s">
        <v>123</v>
      </c>
      <c r="B16" s="33" t="s">
        <v>124</v>
      </c>
      <c r="C16" s="33" t="s">
        <v>125</v>
      </c>
      <c r="D16" s="33" t="s">
        <v>126</v>
      </c>
      <c r="E16" s="33" t="s">
        <v>109</v>
      </c>
      <c r="F16" s="34" t="s">
        <v>109</v>
      </c>
    </row>
    <row r="17" spans="1:6" x14ac:dyDescent="0.3">
      <c r="A17" s="32" t="s">
        <v>233</v>
      </c>
      <c r="B17" s="33" t="s">
        <v>124</v>
      </c>
      <c r="C17" s="33" t="s">
        <v>235</v>
      </c>
      <c r="D17" s="33" t="s">
        <v>177</v>
      </c>
      <c r="E17" s="33" t="s">
        <v>109</v>
      </c>
      <c r="F17" s="34" t="s">
        <v>109</v>
      </c>
    </row>
    <row r="18" spans="1:6" x14ac:dyDescent="0.3">
      <c r="A18" s="32" t="s">
        <v>496</v>
      </c>
      <c r="B18" s="33" t="s">
        <v>497</v>
      </c>
      <c r="C18" s="33" t="s">
        <v>498</v>
      </c>
      <c r="D18" s="33" t="s">
        <v>499</v>
      </c>
      <c r="E18" s="33" t="s">
        <v>498</v>
      </c>
      <c r="F18" s="34" t="s">
        <v>87</v>
      </c>
    </row>
    <row r="19" spans="1:6" x14ac:dyDescent="0.3">
      <c r="A19" s="32" t="s">
        <v>516</v>
      </c>
      <c r="B19" s="33" t="s">
        <v>497</v>
      </c>
      <c r="C19" s="33" t="s">
        <v>498</v>
      </c>
      <c r="D19" s="33" t="s">
        <v>499</v>
      </c>
      <c r="E19" s="33" t="s">
        <v>498</v>
      </c>
      <c r="F19" s="34" t="s">
        <v>151</v>
      </c>
    </row>
    <row r="20" spans="1:6" x14ac:dyDescent="0.3">
      <c r="A20" s="32" t="s">
        <v>3778</v>
      </c>
      <c r="B20" s="33" t="s">
        <v>497</v>
      </c>
      <c r="C20" s="33" t="s">
        <v>498</v>
      </c>
      <c r="D20" s="33" t="s">
        <v>499</v>
      </c>
      <c r="E20" s="33" t="s">
        <v>498</v>
      </c>
      <c r="F20" s="34" t="s">
        <v>271</v>
      </c>
    </row>
    <row r="21" spans="1:6" x14ac:dyDescent="0.3">
      <c r="A21" s="32" t="s">
        <v>3779</v>
      </c>
      <c r="B21" s="33" t="s">
        <v>1135</v>
      </c>
      <c r="C21" s="33" t="s">
        <v>3065</v>
      </c>
      <c r="D21" s="33" t="s">
        <v>114</v>
      </c>
      <c r="E21" s="33" t="s">
        <v>3780</v>
      </c>
      <c r="F21" s="34" t="s">
        <v>3781</v>
      </c>
    </row>
    <row r="22" spans="1:6" x14ac:dyDescent="0.3">
      <c r="A22" s="32" t="s">
        <v>3782</v>
      </c>
      <c r="B22" s="33" t="s">
        <v>1135</v>
      </c>
      <c r="C22" s="33" t="s">
        <v>3783</v>
      </c>
      <c r="D22" s="33" t="s">
        <v>100</v>
      </c>
      <c r="E22" s="33" t="s">
        <v>3784</v>
      </c>
      <c r="F22" s="34" t="s">
        <v>151</v>
      </c>
    </row>
    <row r="23" spans="1:6" x14ac:dyDescent="0.3">
      <c r="A23" s="32" t="s">
        <v>3785</v>
      </c>
      <c r="B23" s="33" t="s">
        <v>1135</v>
      </c>
      <c r="C23" s="33" t="s">
        <v>3783</v>
      </c>
      <c r="D23" s="33" t="s">
        <v>100</v>
      </c>
      <c r="E23" s="33" t="s">
        <v>3784</v>
      </c>
      <c r="F23" s="34" t="s">
        <v>271</v>
      </c>
    </row>
    <row r="24" spans="1:6" x14ac:dyDescent="0.3">
      <c r="A24" s="32" t="s">
        <v>3786</v>
      </c>
      <c r="B24" s="33" t="s">
        <v>1135</v>
      </c>
      <c r="C24" s="33" t="s">
        <v>3065</v>
      </c>
      <c r="D24" s="33" t="s">
        <v>114</v>
      </c>
      <c r="E24" s="33" t="s">
        <v>3780</v>
      </c>
      <c r="F24" s="34" t="s">
        <v>3787</v>
      </c>
    </row>
    <row r="25" spans="1:6" x14ac:dyDescent="0.3">
      <c r="A25" s="32" t="s">
        <v>1134</v>
      </c>
      <c r="B25" s="33" t="s">
        <v>1135</v>
      </c>
      <c r="C25" s="33" t="s">
        <v>1136</v>
      </c>
      <c r="D25" s="33" t="s">
        <v>135</v>
      </c>
      <c r="E25" s="33" t="s">
        <v>1137</v>
      </c>
      <c r="F25" s="34" t="s">
        <v>151</v>
      </c>
    </row>
    <row r="26" spans="1:6" x14ac:dyDescent="0.3">
      <c r="A26" s="32" t="s">
        <v>3788</v>
      </c>
      <c r="B26" s="33" t="s">
        <v>1135</v>
      </c>
      <c r="C26" s="33" t="s">
        <v>1136</v>
      </c>
      <c r="D26" s="33" t="s">
        <v>135</v>
      </c>
      <c r="E26" s="33" t="s">
        <v>1137</v>
      </c>
      <c r="F26" s="34" t="s">
        <v>271</v>
      </c>
    </row>
    <row r="27" spans="1:6" x14ac:dyDescent="0.3">
      <c r="A27" s="32" t="s">
        <v>1447</v>
      </c>
      <c r="B27" s="33" t="s">
        <v>1135</v>
      </c>
      <c r="C27" s="33" t="s">
        <v>1136</v>
      </c>
      <c r="D27" s="33" t="s">
        <v>135</v>
      </c>
      <c r="E27" s="33" t="s">
        <v>1137</v>
      </c>
      <c r="F27" s="34" t="s">
        <v>87</v>
      </c>
    </row>
    <row r="28" spans="1:6" x14ac:dyDescent="0.3">
      <c r="A28" s="32" t="s">
        <v>3789</v>
      </c>
      <c r="B28" s="33" t="s">
        <v>1135</v>
      </c>
      <c r="C28" s="33" t="s">
        <v>1136</v>
      </c>
      <c r="D28" s="33" t="s">
        <v>135</v>
      </c>
      <c r="E28" s="33" t="s">
        <v>1137</v>
      </c>
      <c r="F28" s="34" t="s">
        <v>3790</v>
      </c>
    </row>
    <row r="29" spans="1:6" x14ac:dyDescent="0.3">
      <c r="A29" s="32" t="s">
        <v>181</v>
      </c>
      <c r="B29" s="33" t="s">
        <v>183</v>
      </c>
      <c r="C29" s="33" t="s">
        <v>184</v>
      </c>
      <c r="D29" s="33" t="s">
        <v>185</v>
      </c>
      <c r="E29" s="33" t="s">
        <v>186</v>
      </c>
      <c r="F29" s="34" t="s">
        <v>102</v>
      </c>
    </row>
    <row r="30" spans="1:6" x14ac:dyDescent="0.3">
      <c r="A30" s="32" t="s">
        <v>598</v>
      </c>
      <c r="B30" s="33" t="s">
        <v>183</v>
      </c>
      <c r="C30" s="33" t="s">
        <v>184</v>
      </c>
      <c r="D30" s="33" t="s">
        <v>492</v>
      </c>
      <c r="E30" s="33" t="s">
        <v>186</v>
      </c>
      <c r="F30" s="34" t="s">
        <v>102</v>
      </c>
    </row>
    <row r="31" spans="1:6" x14ac:dyDescent="0.3">
      <c r="A31" s="32" t="s">
        <v>2726</v>
      </c>
      <c r="B31" s="33" t="s">
        <v>183</v>
      </c>
      <c r="C31" s="33" t="s">
        <v>2727</v>
      </c>
      <c r="D31" s="33" t="s">
        <v>492</v>
      </c>
      <c r="E31" s="33" t="s">
        <v>2728</v>
      </c>
      <c r="F31" s="34" t="s">
        <v>271</v>
      </c>
    </row>
    <row r="32" spans="1:6" x14ac:dyDescent="0.3">
      <c r="A32" s="32" t="s">
        <v>543</v>
      </c>
      <c r="B32" s="33" t="s">
        <v>183</v>
      </c>
      <c r="C32" s="33" t="s">
        <v>544</v>
      </c>
      <c r="D32" s="33" t="s">
        <v>342</v>
      </c>
      <c r="E32" s="33" t="s">
        <v>544</v>
      </c>
      <c r="F32" s="34" t="s">
        <v>151</v>
      </c>
    </row>
    <row r="33" spans="1:6" x14ac:dyDescent="0.3">
      <c r="A33" s="32" t="s">
        <v>2455</v>
      </c>
      <c r="B33" s="33" t="s">
        <v>183</v>
      </c>
      <c r="C33" s="33" t="s">
        <v>2456</v>
      </c>
      <c r="D33" s="33" t="s">
        <v>342</v>
      </c>
      <c r="E33" s="33" t="s">
        <v>2456</v>
      </c>
      <c r="F33" s="33" t="s">
        <v>271</v>
      </c>
    </row>
    <row r="34" spans="1:6" x14ac:dyDescent="0.3">
      <c r="A34" s="32" t="s">
        <v>1035</v>
      </c>
      <c r="B34" s="33" t="s">
        <v>183</v>
      </c>
      <c r="C34" s="33" t="s">
        <v>544</v>
      </c>
      <c r="D34" s="33" t="s">
        <v>342</v>
      </c>
      <c r="E34" s="33" t="s">
        <v>544</v>
      </c>
      <c r="F34" s="34" t="s">
        <v>271</v>
      </c>
    </row>
    <row r="35" spans="1:6" x14ac:dyDescent="0.3">
      <c r="A35" s="32" t="s">
        <v>2831</v>
      </c>
      <c r="B35" s="33" t="s">
        <v>183</v>
      </c>
      <c r="C35" s="33" t="s">
        <v>2456</v>
      </c>
      <c r="D35" s="33" t="s">
        <v>342</v>
      </c>
      <c r="E35" s="33" t="s">
        <v>2456</v>
      </c>
      <c r="F35" s="33" t="s">
        <v>151</v>
      </c>
    </row>
    <row r="36" spans="1:6" x14ac:dyDescent="0.3">
      <c r="A36" s="32" t="s">
        <v>3791</v>
      </c>
      <c r="B36" s="33" t="s">
        <v>183</v>
      </c>
      <c r="C36" s="33" t="s">
        <v>3792</v>
      </c>
      <c r="D36" s="33" t="s">
        <v>342</v>
      </c>
      <c r="E36" s="33" t="s">
        <v>3793</v>
      </c>
      <c r="F36" s="34" t="s">
        <v>3794</v>
      </c>
    </row>
    <row r="37" spans="1:6" x14ac:dyDescent="0.3">
      <c r="A37" s="32" t="s">
        <v>3795</v>
      </c>
      <c r="B37" s="33" t="s">
        <v>183</v>
      </c>
      <c r="C37" s="33" t="s">
        <v>3792</v>
      </c>
      <c r="D37" s="33" t="s">
        <v>492</v>
      </c>
      <c r="E37" s="33" t="s">
        <v>3793</v>
      </c>
      <c r="F37" s="34" t="s">
        <v>3796</v>
      </c>
    </row>
    <row r="38" spans="1:6" x14ac:dyDescent="0.3">
      <c r="A38" s="32" t="s">
        <v>1288</v>
      </c>
      <c r="B38" s="33" t="s">
        <v>183</v>
      </c>
      <c r="C38" s="33" t="s">
        <v>544</v>
      </c>
      <c r="D38" s="33" t="s">
        <v>492</v>
      </c>
      <c r="E38" s="33" t="s">
        <v>544</v>
      </c>
      <c r="F38" s="34" t="s">
        <v>151</v>
      </c>
    </row>
    <row r="39" spans="1:6" x14ac:dyDescent="0.3">
      <c r="A39" s="32" t="s">
        <v>3797</v>
      </c>
      <c r="B39" s="33" t="s">
        <v>183</v>
      </c>
      <c r="C39" s="33" t="s">
        <v>544</v>
      </c>
      <c r="D39" s="33" t="s">
        <v>492</v>
      </c>
      <c r="E39" s="33" t="s">
        <v>544</v>
      </c>
      <c r="F39" s="34" t="s">
        <v>3798</v>
      </c>
    </row>
    <row r="40" spans="1:6" x14ac:dyDescent="0.3">
      <c r="A40" s="32" t="s">
        <v>490</v>
      </c>
      <c r="B40" s="33" t="s">
        <v>183</v>
      </c>
      <c r="C40" s="33" t="s">
        <v>491</v>
      </c>
      <c r="D40" s="33" t="s">
        <v>492</v>
      </c>
      <c r="E40" s="33" t="s">
        <v>491</v>
      </c>
      <c r="F40" s="34" t="s">
        <v>87</v>
      </c>
    </row>
    <row r="41" spans="1:6" x14ac:dyDescent="0.3">
      <c r="A41" s="32" t="s">
        <v>413</v>
      </c>
      <c r="B41" s="33" t="s">
        <v>183</v>
      </c>
      <c r="C41" s="33" t="s">
        <v>184</v>
      </c>
      <c r="D41" s="33" t="s">
        <v>185</v>
      </c>
      <c r="E41" s="33" t="s">
        <v>109</v>
      </c>
      <c r="F41" s="34" t="s">
        <v>109</v>
      </c>
    </row>
    <row r="42" spans="1:6" x14ac:dyDescent="0.3">
      <c r="A42" s="32" t="s">
        <v>3799</v>
      </c>
      <c r="B42" s="33" t="s">
        <v>3800</v>
      </c>
      <c r="C42" s="33" t="s">
        <v>498</v>
      </c>
      <c r="D42" s="33" t="s">
        <v>636</v>
      </c>
      <c r="E42" s="33" t="s">
        <v>498</v>
      </c>
      <c r="F42" s="34" t="s">
        <v>3801</v>
      </c>
    </row>
    <row r="43" spans="1:6" x14ac:dyDescent="0.3">
      <c r="A43" s="32" t="s">
        <v>825</v>
      </c>
      <c r="B43" s="33" t="s">
        <v>244</v>
      </c>
      <c r="C43" s="33" t="s">
        <v>827</v>
      </c>
      <c r="D43" s="33" t="s">
        <v>629</v>
      </c>
      <c r="E43" s="33" t="s">
        <v>828</v>
      </c>
      <c r="F43" s="34" t="s">
        <v>87</v>
      </c>
    </row>
    <row r="44" spans="1:6" x14ac:dyDescent="0.3">
      <c r="A44" s="32" t="s">
        <v>240</v>
      </c>
      <c r="B44" s="33" t="s">
        <v>244</v>
      </c>
      <c r="C44" s="33" t="s">
        <v>245</v>
      </c>
      <c r="D44" s="33" t="s">
        <v>246</v>
      </c>
      <c r="E44" s="33" t="s">
        <v>247</v>
      </c>
      <c r="F44" s="34" t="s">
        <v>151</v>
      </c>
    </row>
    <row r="45" spans="1:6" x14ac:dyDescent="0.3">
      <c r="A45" s="32" t="s">
        <v>3802</v>
      </c>
      <c r="B45" s="33" t="s">
        <v>244</v>
      </c>
      <c r="C45" s="33" t="s">
        <v>245</v>
      </c>
      <c r="D45" s="33" t="s">
        <v>246</v>
      </c>
      <c r="E45" s="33" t="s">
        <v>247</v>
      </c>
      <c r="F45" s="34" t="s">
        <v>271</v>
      </c>
    </row>
    <row r="46" spans="1:6" x14ac:dyDescent="0.3">
      <c r="A46" s="32" t="s">
        <v>3803</v>
      </c>
      <c r="B46" s="33" t="s">
        <v>244</v>
      </c>
      <c r="C46" s="33" t="s">
        <v>827</v>
      </c>
      <c r="D46" s="33" t="s">
        <v>629</v>
      </c>
      <c r="E46" s="33" t="s">
        <v>828</v>
      </c>
      <c r="F46" s="34" t="s">
        <v>271</v>
      </c>
    </row>
    <row r="47" spans="1:6" x14ac:dyDescent="0.3">
      <c r="A47" s="32" t="s">
        <v>2351</v>
      </c>
      <c r="B47" s="33" t="s">
        <v>244</v>
      </c>
      <c r="C47" s="33" t="s">
        <v>2352</v>
      </c>
      <c r="D47" s="33" t="s">
        <v>629</v>
      </c>
      <c r="E47" s="33" t="s">
        <v>2352</v>
      </c>
      <c r="F47" s="34" t="s">
        <v>151</v>
      </c>
    </row>
    <row r="48" spans="1:6" x14ac:dyDescent="0.3">
      <c r="A48" s="32" t="s">
        <v>3804</v>
      </c>
      <c r="B48" s="33" t="s">
        <v>244</v>
      </c>
      <c r="C48" s="33" t="s">
        <v>827</v>
      </c>
      <c r="D48" s="33" t="s">
        <v>629</v>
      </c>
      <c r="E48" s="33" t="s">
        <v>828</v>
      </c>
      <c r="F48" s="34" t="s">
        <v>3509</v>
      </c>
    </row>
    <row r="49" spans="1:6" x14ac:dyDescent="0.3">
      <c r="A49" s="32" t="s">
        <v>3805</v>
      </c>
      <c r="B49" s="33" t="s">
        <v>3806</v>
      </c>
      <c r="C49" s="33" t="s">
        <v>3807</v>
      </c>
      <c r="D49" s="33" t="s">
        <v>246</v>
      </c>
      <c r="E49" s="33" t="s">
        <v>3807</v>
      </c>
      <c r="F49" s="34" t="s">
        <v>151</v>
      </c>
    </row>
    <row r="50" spans="1:6" x14ac:dyDescent="0.3">
      <c r="A50" s="32" t="s">
        <v>460</v>
      </c>
      <c r="B50" s="33" t="s">
        <v>461</v>
      </c>
      <c r="C50" s="33" t="s">
        <v>145</v>
      </c>
      <c r="D50" s="33" t="s">
        <v>120</v>
      </c>
      <c r="E50" s="33" t="s">
        <v>343</v>
      </c>
      <c r="F50" s="34" t="s">
        <v>87</v>
      </c>
    </row>
    <row r="51" spans="1:6" x14ac:dyDescent="0.3">
      <c r="A51" s="32" t="s">
        <v>3093</v>
      </c>
      <c r="B51" s="33" t="s">
        <v>461</v>
      </c>
      <c r="C51" s="33" t="s">
        <v>1201</v>
      </c>
      <c r="D51" s="33" t="s">
        <v>120</v>
      </c>
      <c r="E51" s="33" t="s">
        <v>1201</v>
      </c>
      <c r="F51" s="34" t="s">
        <v>271</v>
      </c>
    </row>
    <row r="52" spans="1:6" x14ac:dyDescent="0.3">
      <c r="A52" s="32" t="s">
        <v>1200</v>
      </c>
      <c r="B52" s="33" t="s">
        <v>461</v>
      </c>
      <c r="C52" s="33" t="s">
        <v>1201</v>
      </c>
      <c r="D52" s="33" t="s">
        <v>120</v>
      </c>
      <c r="E52" s="33" t="s">
        <v>1201</v>
      </c>
      <c r="F52" s="34" t="s">
        <v>151</v>
      </c>
    </row>
    <row r="53" spans="1:6" x14ac:dyDescent="0.3">
      <c r="A53" s="32" t="s">
        <v>3808</v>
      </c>
      <c r="B53" s="33" t="s">
        <v>3809</v>
      </c>
      <c r="C53" s="33" t="s">
        <v>3810</v>
      </c>
      <c r="D53" s="33" t="s">
        <v>636</v>
      </c>
      <c r="E53" s="33" t="s">
        <v>3810</v>
      </c>
      <c r="F53" s="33" t="s">
        <v>3811</v>
      </c>
    </row>
    <row r="54" spans="1:6" x14ac:dyDescent="0.3">
      <c r="A54" s="32" t="s">
        <v>1436</v>
      </c>
      <c r="B54" s="33" t="s">
        <v>361</v>
      </c>
      <c r="C54" s="33" t="s">
        <v>1437</v>
      </c>
      <c r="D54" s="33" t="s">
        <v>114</v>
      </c>
      <c r="E54" s="33" t="s">
        <v>1437</v>
      </c>
      <c r="F54" s="34" t="s">
        <v>87</v>
      </c>
    </row>
    <row r="55" spans="1:6" x14ac:dyDescent="0.3">
      <c r="A55" s="32" t="s">
        <v>819</v>
      </c>
      <c r="B55" s="35" t="s">
        <v>361</v>
      </c>
      <c r="C55" s="35" t="s">
        <v>820</v>
      </c>
      <c r="D55" s="33" t="s">
        <v>246</v>
      </c>
      <c r="E55" s="33" t="s">
        <v>821</v>
      </c>
      <c r="F55" s="34" t="s">
        <v>151</v>
      </c>
    </row>
    <row r="56" spans="1:6" x14ac:dyDescent="0.3">
      <c r="A56" s="32" t="s">
        <v>360</v>
      </c>
      <c r="B56" s="35" t="s">
        <v>361</v>
      </c>
      <c r="C56" s="35" t="s">
        <v>362</v>
      </c>
      <c r="D56" s="33" t="s">
        <v>114</v>
      </c>
      <c r="E56" s="33" t="s">
        <v>363</v>
      </c>
      <c r="F56" s="34" t="s">
        <v>151</v>
      </c>
    </row>
    <row r="57" spans="1:6" x14ac:dyDescent="0.3">
      <c r="A57" s="32" t="s">
        <v>3812</v>
      </c>
      <c r="B57" s="33" t="s">
        <v>361</v>
      </c>
      <c r="C57" s="33" t="s">
        <v>3813</v>
      </c>
      <c r="D57" s="33" t="s">
        <v>246</v>
      </c>
      <c r="E57" s="33" t="s">
        <v>3814</v>
      </c>
      <c r="F57" s="34" t="s">
        <v>271</v>
      </c>
    </row>
    <row r="58" spans="1:6" x14ac:dyDescent="0.3">
      <c r="A58" s="32" t="s">
        <v>3620</v>
      </c>
      <c r="B58" s="33" t="s">
        <v>3621</v>
      </c>
      <c r="C58" s="33" t="s">
        <v>3622</v>
      </c>
      <c r="D58" s="33" t="s">
        <v>246</v>
      </c>
      <c r="E58" s="33" t="s">
        <v>637</v>
      </c>
      <c r="F58" s="34" t="s">
        <v>151</v>
      </c>
    </row>
    <row r="59" spans="1:6" x14ac:dyDescent="0.3">
      <c r="A59" s="32" t="s">
        <v>3815</v>
      </c>
      <c r="B59" s="33" t="s">
        <v>3816</v>
      </c>
      <c r="C59" s="33" t="s">
        <v>3817</v>
      </c>
      <c r="D59" s="33" t="s">
        <v>100</v>
      </c>
      <c r="E59" s="33" t="s">
        <v>115</v>
      </c>
      <c r="F59" s="34" t="s">
        <v>3818</v>
      </c>
    </row>
    <row r="60" spans="1:6" x14ac:dyDescent="0.3">
      <c r="A60" s="32" t="s">
        <v>2801</v>
      </c>
      <c r="B60" s="35" t="s">
        <v>634</v>
      </c>
      <c r="C60" s="35" t="s">
        <v>635</v>
      </c>
      <c r="D60" s="33" t="s">
        <v>636</v>
      </c>
      <c r="E60" s="33" t="s">
        <v>637</v>
      </c>
      <c r="F60" s="34" t="s">
        <v>87</v>
      </c>
    </row>
    <row r="61" spans="1:6" x14ac:dyDescent="0.3">
      <c r="A61" s="32" t="s">
        <v>3819</v>
      </c>
      <c r="B61" s="35" t="s">
        <v>634</v>
      </c>
      <c r="C61" s="35" t="s">
        <v>635</v>
      </c>
      <c r="D61" s="33" t="s">
        <v>636</v>
      </c>
      <c r="E61" s="33" t="s">
        <v>637</v>
      </c>
      <c r="F61" s="34" t="s">
        <v>3790</v>
      </c>
    </row>
    <row r="62" spans="1:6" x14ac:dyDescent="0.3">
      <c r="A62" s="32" t="s">
        <v>2129</v>
      </c>
      <c r="B62" s="33" t="s">
        <v>634</v>
      </c>
      <c r="C62" s="33" t="s">
        <v>2130</v>
      </c>
      <c r="D62" s="33" t="s">
        <v>342</v>
      </c>
      <c r="E62" s="33" t="s">
        <v>2130</v>
      </c>
      <c r="F62" s="34" t="s">
        <v>151</v>
      </c>
    </row>
    <row r="63" spans="1:6" x14ac:dyDescent="0.3">
      <c r="A63" s="32" t="s">
        <v>3820</v>
      </c>
      <c r="B63" s="35" t="s">
        <v>634</v>
      </c>
      <c r="C63" s="35" t="s">
        <v>3821</v>
      </c>
      <c r="D63" s="33" t="s">
        <v>636</v>
      </c>
      <c r="E63" s="33" t="s">
        <v>3822</v>
      </c>
      <c r="F63" s="33" t="s">
        <v>3823</v>
      </c>
    </row>
    <row r="64" spans="1:6" x14ac:dyDescent="0.3">
      <c r="A64" s="32" t="s">
        <v>3824</v>
      </c>
      <c r="B64" s="35" t="s">
        <v>634</v>
      </c>
      <c r="C64" s="35" t="s">
        <v>635</v>
      </c>
      <c r="D64" s="33" t="s">
        <v>636</v>
      </c>
      <c r="E64" s="33" t="s">
        <v>637</v>
      </c>
      <c r="F64" s="34" t="s">
        <v>271</v>
      </c>
    </row>
    <row r="65" spans="1:6" x14ac:dyDescent="0.3">
      <c r="A65" s="32" t="s">
        <v>633</v>
      </c>
      <c r="B65" s="35" t="s">
        <v>634</v>
      </c>
      <c r="C65" s="35" t="s">
        <v>635</v>
      </c>
      <c r="D65" s="33" t="s">
        <v>636</v>
      </c>
      <c r="E65" s="33" t="s">
        <v>637</v>
      </c>
      <c r="F65" s="34" t="s">
        <v>151</v>
      </c>
    </row>
    <row r="66" spans="1:6" x14ac:dyDescent="0.3">
      <c r="A66" s="32" t="s">
        <v>3825</v>
      </c>
      <c r="B66" s="33" t="s">
        <v>634</v>
      </c>
      <c r="C66" s="33" t="s">
        <v>3826</v>
      </c>
      <c r="D66" s="33" t="s">
        <v>342</v>
      </c>
      <c r="E66" s="33" t="s">
        <v>3827</v>
      </c>
      <c r="F66" s="34" t="s">
        <v>3828</v>
      </c>
    </row>
    <row r="67" spans="1:6" x14ac:dyDescent="0.3">
      <c r="A67" s="32" t="s">
        <v>3829</v>
      </c>
      <c r="B67" s="35" t="s">
        <v>98</v>
      </c>
      <c r="C67" s="35" t="s">
        <v>3830</v>
      </c>
      <c r="D67" s="33" t="s">
        <v>185</v>
      </c>
      <c r="E67" s="33" t="s">
        <v>3831</v>
      </c>
      <c r="F67" s="33" t="s">
        <v>3832</v>
      </c>
    </row>
    <row r="68" spans="1:6" x14ac:dyDescent="0.3">
      <c r="A68" s="32" t="s">
        <v>512</v>
      </c>
      <c r="B68" s="35" t="s">
        <v>98</v>
      </c>
      <c r="C68" s="35" t="s">
        <v>99</v>
      </c>
      <c r="D68" s="33" t="s">
        <v>100</v>
      </c>
      <c r="E68" s="33" t="s">
        <v>101</v>
      </c>
      <c r="F68" s="33" t="s">
        <v>87</v>
      </c>
    </row>
    <row r="69" spans="1:6" x14ac:dyDescent="0.3">
      <c r="A69" s="32" t="s">
        <v>3833</v>
      </c>
      <c r="B69" s="35" t="s">
        <v>98</v>
      </c>
      <c r="C69" s="35" t="s">
        <v>99</v>
      </c>
      <c r="D69" s="33" t="s">
        <v>100</v>
      </c>
      <c r="E69" s="33" t="s">
        <v>101</v>
      </c>
      <c r="F69" s="33" t="s">
        <v>151</v>
      </c>
    </row>
    <row r="70" spans="1:6" x14ac:dyDescent="0.3">
      <c r="A70" s="32" t="s">
        <v>95</v>
      </c>
      <c r="B70" s="35" t="s">
        <v>98</v>
      </c>
      <c r="C70" s="35" t="s">
        <v>99</v>
      </c>
      <c r="D70" s="33" t="s">
        <v>100</v>
      </c>
      <c r="E70" s="33" t="s">
        <v>101</v>
      </c>
      <c r="F70" s="33" t="s">
        <v>102</v>
      </c>
    </row>
    <row r="71" spans="1:6" x14ac:dyDescent="0.3">
      <c r="A71" s="32" t="s">
        <v>3834</v>
      </c>
      <c r="B71" s="35" t="s">
        <v>98</v>
      </c>
      <c r="C71" s="35" t="s">
        <v>3830</v>
      </c>
      <c r="D71" s="33" t="s">
        <v>100</v>
      </c>
      <c r="E71" s="33" t="s">
        <v>3831</v>
      </c>
      <c r="F71" s="33" t="s">
        <v>3835</v>
      </c>
    </row>
    <row r="72" spans="1:6" x14ac:dyDescent="0.3">
      <c r="A72" s="32" t="s">
        <v>2951</v>
      </c>
      <c r="B72" s="35" t="s">
        <v>98</v>
      </c>
      <c r="C72" s="35" t="s">
        <v>99</v>
      </c>
      <c r="D72" s="33" t="s">
        <v>100</v>
      </c>
      <c r="E72" s="33" t="s">
        <v>101</v>
      </c>
      <c r="F72" s="33" t="s">
        <v>271</v>
      </c>
    </row>
    <row r="73" spans="1:6" x14ac:dyDescent="0.3">
      <c r="A73" s="32" t="s">
        <v>325</v>
      </c>
      <c r="B73" s="33" t="s">
        <v>98</v>
      </c>
      <c r="C73" s="33" t="s">
        <v>327</v>
      </c>
      <c r="D73" s="33" t="s">
        <v>328</v>
      </c>
      <c r="E73" s="33" t="s">
        <v>327</v>
      </c>
      <c r="F73" s="33" t="s">
        <v>330</v>
      </c>
    </row>
    <row r="74" spans="1:6" x14ac:dyDescent="0.3">
      <c r="A74" s="32" t="s">
        <v>3836</v>
      </c>
      <c r="B74" s="35" t="s">
        <v>98</v>
      </c>
      <c r="C74" s="35" t="s">
        <v>3830</v>
      </c>
      <c r="D74" s="33" t="s">
        <v>328</v>
      </c>
      <c r="E74" s="33" t="s">
        <v>3831</v>
      </c>
      <c r="F74" s="33" t="s">
        <v>3837</v>
      </c>
    </row>
    <row r="75" spans="1:6" x14ac:dyDescent="0.3">
      <c r="A75" s="32" t="s">
        <v>3038</v>
      </c>
      <c r="B75" s="33" t="s">
        <v>98</v>
      </c>
      <c r="C75" s="33" t="s">
        <v>498</v>
      </c>
      <c r="D75" s="33" t="s">
        <v>328</v>
      </c>
      <c r="E75" s="33" t="s">
        <v>329</v>
      </c>
      <c r="F75" s="33" t="s">
        <v>151</v>
      </c>
    </row>
    <row r="76" spans="1:6" x14ac:dyDescent="0.3">
      <c r="A76" s="32" t="s">
        <v>3838</v>
      </c>
      <c r="B76" s="33" t="s">
        <v>98</v>
      </c>
      <c r="C76" s="33" t="s">
        <v>327</v>
      </c>
      <c r="D76" s="33" t="s">
        <v>328</v>
      </c>
      <c r="E76" s="33" t="s">
        <v>327</v>
      </c>
      <c r="F76" s="33" t="s">
        <v>271</v>
      </c>
    </row>
    <row r="77" spans="1:6" x14ac:dyDescent="0.3">
      <c r="A77" s="32" t="s">
        <v>858</v>
      </c>
      <c r="B77" s="33" t="s">
        <v>98</v>
      </c>
      <c r="C77" s="33" t="s">
        <v>859</v>
      </c>
      <c r="D77" s="36" t="s">
        <v>100</v>
      </c>
      <c r="E77" s="33" t="s">
        <v>860</v>
      </c>
      <c r="F77" s="33" t="s">
        <v>87</v>
      </c>
    </row>
    <row r="78" spans="1:6" x14ac:dyDescent="0.3">
      <c r="A78" s="32" t="s">
        <v>2754</v>
      </c>
      <c r="B78" s="33" t="s">
        <v>98</v>
      </c>
      <c r="C78" s="33" t="s">
        <v>859</v>
      </c>
      <c r="D78" s="36" t="s">
        <v>100</v>
      </c>
      <c r="E78" s="33" t="s">
        <v>860</v>
      </c>
      <c r="F78" s="33" t="s">
        <v>2071</v>
      </c>
    </row>
    <row r="79" spans="1:6" x14ac:dyDescent="0.3">
      <c r="A79" s="32" t="s">
        <v>3839</v>
      </c>
      <c r="B79" s="33" t="s">
        <v>98</v>
      </c>
      <c r="C79" s="33" t="s">
        <v>859</v>
      </c>
      <c r="D79" s="36" t="s">
        <v>100</v>
      </c>
      <c r="E79" s="33" t="s">
        <v>860</v>
      </c>
      <c r="F79" s="33" t="s">
        <v>3840</v>
      </c>
    </row>
    <row r="80" spans="1:6" x14ac:dyDescent="0.3">
      <c r="A80" s="32" t="s">
        <v>3841</v>
      </c>
      <c r="B80" s="33" t="s">
        <v>98</v>
      </c>
      <c r="C80" s="33" t="s">
        <v>859</v>
      </c>
      <c r="D80" s="36" t="s">
        <v>100</v>
      </c>
      <c r="E80" s="33" t="s">
        <v>860</v>
      </c>
      <c r="F80" s="33" t="s">
        <v>3842</v>
      </c>
    </row>
    <row r="81" spans="1:6" x14ac:dyDescent="0.3">
      <c r="A81" s="32" t="s">
        <v>1358</v>
      </c>
      <c r="B81" s="33" t="s">
        <v>98</v>
      </c>
      <c r="C81" s="33" t="s">
        <v>859</v>
      </c>
      <c r="D81" s="36" t="s">
        <v>100</v>
      </c>
      <c r="E81" s="33" t="s">
        <v>860</v>
      </c>
      <c r="F81" s="33" t="s">
        <v>109</v>
      </c>
    </row>
    <row r="82" spans="1:6" x14ac:dyDescent="0.3">
      <c r="A82" s="32" t="s">
        <v>106</v>
      </c>
      <c r="B82" s="33" t="s">
        <v>98</v>
      </c>
      <c r="C82" s="33" t="s">
        <v>108</v>
      </c>
      <c r="D82" s="36" t="s">
        <v>100</v>
      </c>
      <c r="E82" s="33" t="s">
        <v>109</v>
      </c>
      <c r="F82" s="33" t="s">
        <v>109</v>
      </c>
    </row>
    <row r="83" spans="1:6" x14ac:dyDescent="0.3">
      <c r="A83" s="32" t="s">
        <v>3843</v>
      </c>
      <c r="B83" s="33" t="s">
        <v>3844</v>
      </c>
      <c r="C83" s="33" t="s">
        <v>3845</v>
      </c>
      <c r="D83" s="33" t="s">
        <v>342</v>
      </c>
      <c r="E83" s="33" t="s">
        <v>3846</v>
      </c>
      <c r="F83" s="33" t="s">
        <v>151</v>
      </c>
    </row>
    <row r="84" spans="1:6" x14ac:dyDescent="0.3">
      <c r="A84" s="32" t="s">
        <v>3847</v>
      </c>
      <c r="B84" s="33" t="s">
        <v>3844</v>
      </c>
      <c r="C84" s="33" t="s">
        <v>3845</v>
      </c>
      <c r="D84" s="33" t="s">
        <v>342</v>
      </c>
      <c r="E84" s="33" t="s">
        <v>3846</v>
      </c>
      <c r="F84" s="33" t="s">
        <v>271</v>
      </c>
    </row>
    <row r="85" spans="1:6" x14ac:dyDescent="0.3">
      <c r="A85" s="32" t="s">
        <v>604</v>
      </c>
      <c r="B85" s="33" t="s">
        <v>144</v>
      </c>
      <c r="C85" s="33" t="s">
        <v>145</v>
      </c>
      <c r="D85" s="33" t="s">
        <v>146</v>
      </c>
      <c r="E85" s="33" t="s">
        <v>146</v>
      </c>
      <c r="F85" s="33" t="s">
        <v>605</v>
      </c>
    </row>
    <row r="86" spans="1:6" x14ac:dyDescent="0.3">
      <c r="A86" s="32" t="s">
        <v>810</v>
      </c>
      <c r="B86" s="33" t="s">
        <v>144</v>
      </c>
      <c r="C86" s="33" t="s">
        <v>145</v>
      </c>
      <c r="D86" s="33" t="s">
        <v>146</v>
      </c>
      <c r="E86" s="33" t="s">
        <v>812</v>
      </c>
      <c r="F86" s="33" t="s">
        <v>813</v>
      </c>
    </row>
    <row r="87" spans="1:6" x14ac:dyDescent="0.3">
      <c r="A87" s="32" t="s">
        <v>1669</v>
      </c>
      <c r="B87" s="33" t="s">
        <v>144</v>
      </c>
      <c r="C87" s="33" t="s">
        <v>145</v>
      </c>
      <c r="D87" s="33" t="s">
        <v>146</v>
      </c>
      <c r="E87" s="33" t="s">
        <v>1671</v>
      </c>
      <c r="F87" s="33" t="s">
        <v>813</v>
      </c>
    </row>
    <row r="88" spans="1:6" x14ac:dyDescent="0.3">
      <c r="A88" s="32" t="s">
        <v>3848</v>
      </c>
      <c r="B88" s="33" t="s">
        <v>144</v>
      </c>
      <c r="C88" s="33" t="s">
        <v>145</v>
      </c>
      <c r="D88" s="33" t="s">
        <v>3849</v>
      </c>
      <c r="E88" s="33" t="s">
        <v>931</v>
      </c>
      <c r="F88" s="33" t="s">
        <v>3849</v>
      </c>
    </row>
    <row r="89" spans="1:6" x14ac:dyDescent="0.3">
      <c r="A89" s="32" t="s">
        <v>251</v>
      </c>
      <c r="B89" s="33" t="s">
        <v>144</v>
      </c>
      <c r="C89" s="33" t="s">
        <v>145</v>
      </c>
      <c r="D89" s="33" t="s">
        <v>254</v>
      </c>
      <c r="E89" s="33" t="s">
        <v>255</v>
      </c>
      <c r="F89" s="33" t="s">
        <v>256</v>
      </c>
    </row>
    <row r="90" spans="1:6" x14ac:dyDescent="0.3">
      <c r="A90" s="32" t="s">
        <v>929</v>
      </c>
      <c r="B90" s="33" t="s">
        <v>144</v>
      </c>
      <c r="C90" s="33" t="s">
        <v>145</v>
      </c>
      <c r="D90" s="33" t="s">
        <v>930</v>
      </c>
      <c r="E90" s="33" t="s">
        <v>931</v>
      </c>
      <c r="F90" s="33" t="s">
        <v>930</v>
      </c>
    </row>
    <row r="91" spans="1:6" x14ac:dyDescent="0.3">
      <c r="A91" s="32" t="s">
        <v>3850</v>
      </c>
      <c r="B91" s="33" t="s">
        <v>144</v>
      </c>
      <c r="C91" s="33" t="s">
        <v>145</v>
      </c>
      <c r="D91" s="33" t="s">
        <v>1660</v>
      </c>
      <c r="E91" s="33" t="s">
        <v>3851</v>
      </c>
      <c r="F91" s="33" t="s">
        <v>3851</v>
      </c>
    </row>
    <row r="92" spans="1:6" x14ac:dyDescent="0.3">
      <c r="A92" s="32" t="s">
        <v>1659</v>
      </c>
      <c r="B92" s="33" t="s">
        <v>144</v>
      </c>
      <c r="C92" s="33" t="s">
        <v>145</v>
      </c>
      <c r="D92" s="33" t="s">
        <v>1660</v>
      </c>
      <c r="E92" s="33" t="s">
        <v>1661</v>
      </c>
      <c r="F92" s="33" t="s">
        <v>1662</v>
      </c>
    </row>
    <row r="93" spans="1:6" x14ac:dyDescent="0.3">
      <c r="A93" s="32" t="s">
        <v>3159</v>
      </c>
      <c r="B93" s="33" t="s">
        <v>144</v>
      </c>
      <c r="C93" s="33" t="s">
        <v>145</v>
      </c>
      <c r="D93" s="33" t="s">
        <v>146</v>
      </c>
      <c r="E93" s="33" t="s">
        <v>146</v>
      </c>
      <c r="F93" s="33" t="s">
        <v>3852</v>
      </c>
    </row>
    <row r="94" spans="1:6" x14ac:dyDescent="0.3">
      <c r="A94" s="32" t="s">
        <v>3119</v>
      </c>
      <c r="B94" s="33" t="s">
        <v>144</v>
      </c>
      <c r="C94" s="33" t="s">
        <v>145</v>
      </c>
      <c r="D94" s="33" t="s">
        <v>3120</v>
      </c>
      <c r="E94" s="33" t="s">
        <v>3120</v>
      </c>
      <c r="F94" s="33" t="s">
        <v>3121</v>
      </c>
    </row>
    <row r="95" spans="1:6" x14ac:dyDescent="0.3">
      <c r="A95" s="32" t="s">
        <v>527</v>
      </c>
      <c r="B95" s="33" t="s">
        <v>144</v>
      </c>
      <c r="C95" s="33" t="s">
        <v>145</v>
      </c>
      <c r="D95" s="33" t="s">
        <v>86</v>
      </c>
      <c r="E95" s="33" t="s">
        <v>528</v>
      </c>
      <c r="F95" s="33" t="s">
        <v>529</v>
      </c>
    </row>
    <row r="96" spans="1:6" x14ac:dyDescent="0.3">
      <c r="A96" s="32" t="s">
        <v>1899</v>
      </c>
      <c r="B96" s="33" t="s">
        <v>144</v>
      </c>
      <c r="C96" s="33" t="s">
        <v>145</v>
      </c>
      <c r="D96" s="33" t="s">
        <v>192</v>
      </c>
      <c r="E96" s="33" t="s">
        <v>1900</v>
      </c>
      <c r="F96" s="33" t="s">
        <v>102</v>
      </c>
    </row>
    <row r="97" spans="1:6" x14ac:dyDescent="0.3">
      <c r="A97" s="32" t="s">
        <v>800</v>
      </c>
      <c r="B97" s="33" t="s">
        <v>144</v>
      </c>
      <c r="C97" s="33" t="s">
        <v>145</v>
      </c>
      <c r="D97" s="33" t="s">
        <v>499</v>
      </c>
      <c r="E97" s="33" t="s">
        <v>801</v>
      </c>
      <c r="F97" s="33" t="s">
        <v>102</v>
      </c>
    </row>
    <row r="98" spans="1:6" x14ac:dyDescent="0.3">
      <c r="A98" s="32" t="s">
        <v>1090</v>
      </c>
      <c r="B98" s="33" t="s">
        <v>144</v>
      </c>
      <c r="C98" s="33" t="s">
        <v>145</v>
      </c>
      <c r="D98" s="33" t="s">
        <v>636</v>
      </c>
      <c r="E98" s="33" t="s">
        <v>1091</v>
      </c>
      <c r="F98" s="33" t="s">
        <v>102</v>
      </c>
    </row>
    <row r="99" spans="1:6" x14ac:dyDescent="0.3">
      <c r="A99" s="32" t="s">
        <v>911</v>
      </c>
      <c r="B99" s="33" t="s">
        <v>144</v>
      </c>
      <c r="C99" s="33" t="s">
        <v>145</v>
      </c>
      <c r="D99" s="33" t="s">
        <v>270</v>
      </c>
      <c r="E99" s="33" t="s">
        <v>912</v>
      </c>
      <c r="F99" s="33" t="s">
        <v>102</v>
      </c>
    </row>
    <row r="100" spans="1:6" x14ac:dyDescent="0.3">
      <c r="A100" s="32" t="s">
        <v>582</v>
      </c>
      <c r="B100" s="33" t="s">
        <v>144</v>
      </c>
      <c r="C100" s="33" t="s">
        <v>145</v>
      </c>
      <c r="D100" s="33" t="s">
        <v>328</v>
      </c>
      <c r="E100" s="33" t="s">
        <v>2528</v>
      </c>
      <c r="F100" s="33" t="s">
        <v>102</v>
      </c>
    </row>
    <row r="101" spans="1:6" x14ac:dyDescent="0.3">
      <c r="A101" s="32" t="s">
        <v>1513</v>
      </c>
      <c r="B101" s="33" t="s">
        <v>144</v>
      </c>
      <c r="C101" s="33" t="s">
        <v>145</v>
      </c>
      <c r="D101" s="33" t="s">
        <v>499</v>
      </c>
      <c r="E101" s="33" t="s">
        <v>1514</v>
      </c>
      <c r="F101" s="33" t="s">
        <v>529</v>
      </c>
    </row>
    <row r="102" spans="1:6" x14ac:dyDescent="0.3">
      <c r="A102" s="32" t="s">
        <v>334</v>
      </c>
      <c r="B102" s="33" t="s">
        <v>144</v>
      </c>
      <c r="C102" s="33" t="s">
        <v>145</v>
      </c>
      <c r="D102" s="33" t="s">
        <v>278</v>
      </c>
      <c r="E102" s="33" t="s">
        <v>335</v>
      </c>
      <c r="F102" s="33" t="s">
        <v>102</v>
      </c>
    </row>
    <row r="103" spans="1:6" x14ac:dyDescent="0.3">
      <c r="A103" s="32" t="s">
        <v>468</v>
      </c>
      <c r="B103" s="33" t="s">
        <v>144</v>
      </c>
      <c r="C103" s="33" t="s">
        <v>145</v>
      </c>
      <c r="D103" s="33" t="s">
        <v>278</v>
      </c>
      <c r="E103" s="33" t="s">
        <v>469</v>
      </c>
      <c r="F103" s="33" t="s">
        <v>87</v>
      </c>
    </row>
    <row r="104" spans="1:6" x14ac:dyDescent="0.3">
      <c r="A104" s="32" t="s">
        <v>2204</v>
      </c>
      <c r="B104" s="33" t="s">
        <v>144</v>
      </c>
      <c r="C104" s="33" t="s">
        <v>145</v>
      </c>
      <c r="D104" s="33" t="s">
        <v>499</v>
      </c>
      <c r="E104" s="33" t="s">
        <v>2205</v>
      </c>
      <c r="F104" s="33" t="s">
        <v>2206</v>
      </c>
    </row>
    <row r="105" spans="1:6" x14ac:dyDescent="0.3">
      <c r="A105" s="32" t="s">
        <v>1523</v>
      </c>
      <c r="B105" s="33" t="s">
        <v>144</v>
      </c>
      <c r="C105" s="33" t="s">
        <v>145</v>
      </c>
      <c r="D105" s="33" t="s">
        <v>120</v>
      </c>
      <c r="E105" s="33" t="s">
        <v>164</v>
      </c>
      <c r="F105" s="33" t="s">
        <v>1524</v>
      </c>
    </row>
    <row r="106" spans="1:6" x14ac:dyDescent="0.3">
      <c r="A106" s="32" t="s">
        <v>1740</v>
      </c>
      <c r="B106" s="33" t="s">
        <v>144</v>
      </c>
      <c r="C106" s="33" t="s">
        <v>145</v>
      </c>
      <c r="D106" s="33" t="s">
        <v>342</v>
      </c>
      <c r="E106" s="33" t="s">
        <v>1741</v>
      </c>
      <c r="F106" s="33" t="s">
        <v>87</v>
      </c>
    </row>
    <row r="107" spans="1:6" x14ac:dyDescent="0.3">
      <c r="A107" s="32" t="s">
        <v>902</v>
      </c>
      <c r="B107" s="33" t="s">
        <v>144</v>
      </c>
      <c r="C107" s="33" t="s">
        <v>145</v>
      </c>
      <c r="D107" s="33" t="s">
        <v>192</v>
      </c>
      <c r="E107" s="33" t="s">
        <v>903</v>
      </c>
      <c r="F107" s="33" t="s">
        <v>529</v>
      </c>
    </row>
    <row r="108" spans="1:6" x14ac:dyDescent="0.3">
      <c r="A108" s="32" t="s">
        <v>3853</v>
      </c>
      <c r="B108" s="33" t="s">
        <v>144</v>
      </c>
      <c r="C108" s="33" t="s">
        <v>145</v>
      </c>
      <c r="D108" s="33" t="s">
        <v>3120</v>
      </c>
      <c r="E108" s="33" t="s">
        <v>3120</v>
      </c>
      <c r="F108" s="33" t="s">
        <v>3854</v>
      </c>
    </row>
    <row r="109" spans="1:6" x14ac:dyDescent="0.3">
      <c r="A109" s="32" t="s">
        <v>156</v>
      </c>
      <c r="B109" s="33" t="s">
        <v>144</v>
      </c>
      <c r="C109" s="33" t="s">
        <v>145</v>
      </c>
      <c r="D109" s="33" t="s">
        <v>146</v>
      </c>
      <c r="E109" s="33" t="s">
        <v>146</v>
      </c>
      <c r="F109" s="33" t="s">
        <v>157</v>
      </c>
    </row>
    <row r="110" spans="1:6" x14ac:dyDescent="0.3">
      <c r="A110" s="32" t="s">
        <v>610</v>
      </c>
      <c r="B110" s="33" t="s">
        <v>144</v>
      </c>
      <c r="C110" s="33" t="s">
        <v>145</v>
      </c>
      <c r="D110" s="33" t="s">
        <v>611</v>
      </c>
      <c r="E110" s="33" t="s">
        <v>612</v>
      </c>
      <c r="F110" s="33" t="s">
        <v>613</v>
      </c>
    </row>
    <row r="111" spans="1:6" x14ac:dyDescent="0.3">
      <c r="A111" s="32" t="s">
        <v>143</v>
      </c>
      <c r="B111" s="33" t="s">
        <v>144</v>
      </c>
      <c r="C111" s="33" t="s">
        <v>145</v>
      </c>
      <c r="D111" s="33" t="s">
        <v>146</v>
      </c>
      <c r="E111" s="33" t="s">
        <v>146</v>
      </c>
      <c r="F111" s="33" t="s">
        <v>147</v>
      </c>
    </row>
    <row r="112" spans="1:6" x14ac:dyDescent="0.3">
      <c r="A112" s="32" t="s">
        <v>3855</v>
      </c>
      <c r="B112" s="33" t="s">
        <v>144</v>
      </c>
      <c r="C112" s="33" t="s">
        <v>145</v>
      </c>
      <c r="D112" s="33" t="s">
        <v>146</v>
      </c>
      <c r="E112" s="33" t="s">
        <v>146</v>
      </c>
      <c r="F112" s="33" t="s">
        <v>3856</v>
      </c>
    </row>
    <row r="113" spans="1:6" x14ac:dyDescent="0.3">
      <c r="A113" s="32" t="s">
        <v>2033</v>
      </c>
      <c r="B113" s="33" t="s">
        <v>144</v>
      </c>
      <c r="C113" s="33" t="s">
        <v>145</v>
      </c>
      <c r="D113" s="33" t="s">
        <v>254</v>
      </c>
      <c r="E113" s="33" t="s">
        <v>255</v>
      </c>
      <c r="F113" s="33" t="s">
        <v>2035</v>
      </c>
    </row>
    <row r="114" spans="1:6" x14ac:dyDescent="0.3">
      <c r="A114" s="32" t="s">
        <v>3857</v>
      </c>
      <c r="B114" s="33" t="s">
        <v>144</v>
      </c>
      <c r="C114" s="33" t="s">
        <v>145</v>
      </c>
      <c r="D114" s="33" t="s">
        <v>146</v>
      </c>
      <c r="E114" s="33" t="s">
        <v>146</v>
      </c>
      <c r="F114" s="33" t="s">
        <v>3858</v>
      </c>
    </row>
    <row r="115" spans="1:6" x14ac:dyDescent="0.3">
      <c r="A115" s="32" t="s">
        <v>1546</v>
      </c>
      <c r="B115" s="33" t="s">
        <v>144</v>
      </c>
      <c r="C115" s="33" t="s">
        <v>145</v>
      </c>
      <c r="D115" s="33" t="s">
        <v>146</v>
      </c>
      <c r="E115" s="33" t="s">
        <v>146</v>
      </c>
      <c r="F115" s="33" t="s">
        <v>1547</v>
      </c>
    </row>
    <row r="116" spans="1:6" x14ac:dyDescent="0.3">
      <c r="A116" s="32" t="s">
        <v>3580</v>
      </c>
      <c r="B116" s="33" t="s">
        <v>144</v>
      </c>
      <c r="C116" s="33" t="s">
        <v>145</v>
      </c>
      <c r="D116" s="33" t="s">
        <v>146</v>
      </c>
      <c r="E116" s="33" t="s">
        <v>146</v>
      </c>
      <c r="F116" s="33" t="s">
        <v>3581</v>
      </c>
    </row>
    <row r="117" spans="1:6" x14ac:dyDescent="0.3">
      <c r="A117" s="32" t="s">
        <v>3859</v>
      </c>
      <c r="B117" s="33" t="s">
        <v>144</v>
      </c>
      <c r="C117" s="33" t="s">
        <v>145</v>
      </c>
      <c r="D117" s="33" t="s">
        <v>3120</v>
      </c>
      <c r="E117" s="33" t="s">
        <v>3120</v>
      </c>
      <c r="F117" s="33" t="s">
        <v>3860</v>
      </c>
    </row>
    <row r="118" spans="1:6" x14ac:dyDescent="0.3">
      <c r="A118" s="32" t="s">
        <v>3861</v>
      </c>
      <c r="B118" s="33" t="s">
        <v>144</v>
      </c>
      <c r="C118" s="33" t="s">
        <v>145</v>
      </c>
      <c r="D118" s="33" t="s">
        <v>147</v>
      </c>
      <c r="E118" s="33" t="s">
        <v>3862</v>
      </c>
      <c r="F118" s="33" t="s">
        <v>3863</v>
      </c>
    </row>
    <row r="119" spans="1:6" x14ac:dyDescent="0.3">
      <c r="A119" s="32" t="s">
        <v>935</v>
      </c>
      <c r="B119" s="33" t="s">
        <v>144</v>
      </c>
      <c r="C119" s="33" t="s">
        <v>145</v>
      </c>
      <c r="D119" s="33" t="s">
        <v>147</v>
      </c>
      <c r="E119" s="33" t="s">
        <v>937</v>
      </c>
      <c r="F119" s="33" t="s">
        <v>3864</v>
      </c>
    </row>
    <row r="120" spans="1:6" x14ac:dyDescent="0.3">
      <c r="A120" s="32" t="s">
        <v>3865</v>
      </c>
      <c r="B120" s="33" t="s">
        <v>144</v>
      </c>
      <c r="C120" s="33" t="s">
        <v>145</v>
      </c>
      <c r="D120" s="33" t="s">
        <v>3866</v>
      </c>
      <c r="E120" s="33" t="s">
        <v>3867</v>
      </c>
      <c r="F120" s="33" t="s">
        <v>3866</v>
      </c>
    </row>
    <row r="121" spans="1:6" x14ac:dyDescent="0.3">
      <c r="A121" s="32" t="s">
        <v>587</v>
      </c>
      <c r="B121" s="33" t="s">
        <v>144</v>
      </c>
      <c r="C121" s="33" t="s">
        <v>145</v>
      </c>
      <c r="D121" s="33" t="s">
        <v>203</v>
      </c>
      <c r="E121" s="33" t="s">
        <v>589</v>
      </c>
      <c r="F121" s="33" t="s">
        <v>589</v>
      </c>
    </row>
    <row r="122" spans="1:6" x14ac:dyDescent="0.3">
      <c r="A122" s="32">
        <v>1210</v>
      </c>
      <c r="B122" s="33" t="s">
        <v>144</v>
      </c>
      <c r="C122" s="33" t="s">
        <v>145</v>
      </c>
      <c r="D122" s="33" t="s">
        <v>203</v>
      </c>
      <c r="E122" s="33" t="s">
        <v>109</v>
      </c>
      <c r="F122" s="33" t="s">
        <v>109</v>
      </c>
    </row>
    <row r="123" spans="1:6" x14ac:dyDescent="0.3">
      <c r="A123" s="32" t="s">
        <v>2398</v>
      </c>
      <c r="B123" s="33" t="s">
        <v>144</v>
      </c>
      <c r="C123" s="33" t="s">
        <v>145</v>
      </c>
      <c r="D123" s="33" t="s">
        <v>203</v>
      </c>
      <c r="E123" s="33" t="s">
        <v>2399</v>
      </c>
      <c r="F123" s="33" t="s">
        <v>2399</v>
      </c>
    </row>
    <row r="124" spans="1:6" x14ac:dyDescent="0.3">
      <c r="A124" s="32" t="s">
        <v>3868</v>
      </c>
      <c r="B124" s="33" t="s">
        <v>144</v>
      </c>
      <c r="C124" s="33" t="s">
        <v>145</v>
      </c>
      <c r="D124" s="33" t="s">
        <v>203</v>
      </c>
      <c r="E124" s="33" t="s">
        <v>3869</v>
      </c>
      <c r="F124" s="33" t="s">
        <v>3869</v>
      </c>
    </row>
    <row r="125" spans="1:6" x14ac:dyDescent="0.3">
      <c r="A125" s="32" t="s">
        <v>3870</v>
      </c>
      <c r="B125" s="33" t="s">
        <v>144</v>
      </c>
      <c r="C125" s="33" t="s">
        <v>145</v>
      </c>
      <c r="D125" s="33" t="s">
        <v>203</v>
      </c>
      <c r="E125" s="33" t="s">
        <v>3871</v>
      </c>
      <c r="F125" s="33" t="s">
        <v>3871</v>
      </c>
    </row>
    <row r="126" spans="1:6" x14ac:dyDescent="0.3">
      <c r="A126" s="32" t="s">
        <v>3574</v>
      </c>
      <c r="B126" s="33" t="s">
        <v>144</v>
      </c>
      <c r="C126" s="33" t="s">
        <v>145</v>
      </c>
      <c r="D126" s="33" t="s">
        <v>203</v>
      </c>
      <c r="E126" s="33" t="s">
        <v>3575</v>
      </c>
      <c r="F126" s="33" t="s">
        <v>3575</v>
      </c>
    </row>
    <row r="127" spans="1:6" x14ac:dyDescent="0.3">
      <c r="A127" s="32" t="s">
        <v>2444</v>
      </c>
      <c r="B127" s="33" t="s">
        <v>144</v>
      </c>
      <c r="C127" s="33" t="s">
        <v>145</v>
      </c>
      <c r="D127" s="33" t="s">
        <v>203</v>
      </c>
      <c r="E127" s="33" t="s">
        <v>2445</v>
      </c>
      <c r="F127" s="33" t="s">
        <v>2445</v>
      </c>
    </row>
    <row r="128" spans="1:6" x14ac:dyDescent="0.3">
      <c r="A128" s="32" t="s">
        <v>1246</v>
      </c>
      <c r="B128" s="33" t="s">
        <v>144</v>
      </c>
      <c r="C128" s="33" t="s">
        <v>145</v>
      </c>
      <c r="D128" s="33" t="s">
        <v>203</v>
      </c>
      <c r="E128" s="33" t="s">
        <v>1247</v>
      </c>
      <c r="F128" s="33" t="s">
        <v>1247</v>
      </c>
    </row>
    <row r="129" spans="1:6" x14ac:dyDescent="0.3">
      <c r="A129" s="32" t="s">
        <v>548</v>
      </c>
      <c r="B129" s="33" t="s">
        <v>144</v>
      </c>
      <c r="C129" s="33" t="s">
        <v>145</v>
      </c>
      <c r="D129" s="33" t="s">
        <v>549</v>
      </c>
      <c r="E129" s="33" t="s">
        <v>549</v>
      </c>
      <c r="F129" s="33" t="s">
        <v>550</v>
      </c>
    </row>
    <row r="130" spans="1:6" x14ac:dyDescent="0.3">
      <c r="A130" s="32" t="s">
        <v>920</v>
      </c>
      <c r="B130" s="33" t="s">
        <v>144</v>
      </c>
      <c r="C130" s="33" t="s">
        <v>145</v>
      </c>
      <c r="D130" s="33" t="s">
        <v>225</v>
      </c>
      <c r="E130" s="33" t="s">
        <v>226</v>
      </c>
      <c r="F130" s="33" t="s">
        <v>921</v>
      </c>
    </row>
    <row r="131" spans="1:6" x14ac:dyDescent="0.3">
      <c r="A131" s="32" t="s">
        <v>222</v>
      </c>
      <c r="B131" s="33" t="s">
        <v>144</v>
      </c>
      <c r="C131" s="33" t="s">
        <v>145</v>
      </c>
      <c r="D131" s="33" t="s">
        <v>225</v>
      </c>
      <c r="E131" s="33" t="s">
        <v>226</v>
      </c>
      <c r="F131" s="33" t="s">
        <v>227</v>
      </c>
    </row>
    <row r="132" spans="1:6" x14ac:dyDescent="0.3">
      <c r="A132" s="32" t="s">
        <v>1400</v>
      </c>
      <c r="B132" s="33" t="s">
        <v>144</v>
      </c>
      <c r="C132" s="33" t="s">
        <v>145</v>
      </c>
      <c r="D132" s="33" t="s">
        <v>225</v>
      </c>
      <c r="E132" s="33" t="s">
        <v>226</v>
      </c>
      <c r="F132" s="33" t="s">
        <v>1401</v>
      </c>
    </row>
    <row r="133" spans="1:6" x14ac:dyDescent="0.3">
      <c r="A133" s="32" t="s">
        <v>1076</v>
      </c>
      <c r="B133" s="33" t="s">
        <v>144</v>
      </c>
      <c r="C133" s="33" t="s">
        <v>145</v>
      </c>
      <c r="D133" s="33" t="s">
        <v>120</v>
      </c>
      <c r="E133" s="33" t="s">
        <v>1077</v>
      </c>
      <c r="F133" s="33" t="s">
        <v>165</v>
      </c>
    </row>
    <row r="134" spans="1:6" x14ac:dyDescent="0.3">
      <c r="A134" s="32" t="s">
        <v>2763</v>
      </c>
      <c r="B134" s="33" t="s">
        <v>144</v>
      </c>
      <c r="C134" s="33" t="s">
        <v>145</v>
      </c>
      <c r="D134" s="33" t="s">
        <v>636</v>
      </c>
      <c r="E134" s="33" t="s">
        <v>2764</v>
      </c>
      <c r="F134" s="33" t="s">
        <v>271</v>
      </c>
    </row>
    <row r="135" spans="1:6" x14ac:dyDescent="0.3">
      <c r="A135" s="32" t="s">
        <v>432</v>
      </c>
      <c r="B135" s="33" t="s">
        <v>144</v>
      </c>
      <c r="C135" s="33" t="s">
        <v>145</v>
      </c>
      <c r="D135" s="33" t="s">
        <v>434</v>
      </c>
      <c r="E135" s="33" t="s">
        <v>435</v>
      </c>
      <c r="F135" s="33" t="s">
        <v>436</v>
      </c>
    </row>
    <row r="136" spans="1:6" x14ac:dyDescent="0.3">
      <c r="A136" s="32" t="s">
        <v>3872</v>
      </c>
      <c r="B136" s="33" t="s">
        <v>144</v>
      </c>
      <c r="C136" s="33" t="s">
        <v>145</v>
      </c>
      <c r="D136" s="33" t="s">
        <v>434</v>
      </c>
      <c r="E136" s="33" t="s">
        <v>3873</v>
      </c>
      <c r="F136" s="33" t="s">
        <v>436</v>
      </c>
    </row>
    <row r="137" spans="1:6" x14ac:dyDescent="0.3">
      <c r="A137" s="32" t="s">
        <v>349</v>
      </c>
      <c r="B137" s="33" t="s">
        <v>144</v>
      </c>
      <c r="C137" s="33" t="s">
        <v>350</v>
      </c>
      <c r="D137" s="33" t="s">
        <v>278</v>
      </c>
      <c r="E137" s="33" t="s">
        <v>351</v>
      </c>
      <c r="F137" s="33" t="s">
        <v>271</v>
      </c>
    </row>
    <row r="138" spans="1:6" x14ac:dyDescent="0.3">
      <c r="A138" s="32" t="s">
        <v>464</v>
      </c>
      <c r="B138" s="33" t="s">
        <v>144</v>
      </c>
      <c r="C138" s="33" t="s">
        <v>350</v>
      </c>
      <c r="D138" s="33" t="s">
        <v>278</v>
      </c>
      <c r="E138" s="33" t="s">
        <v>351</v>
      </c>
      <c r="F138" s="33" t="s">
        <v>151</v>
      </c>
    </row>
    <row r="139" spans="1:6" x14ac:dyDescent="0.3">
      <c r="A139" s="32" t="s">
        <v>276</v>
      </c>
      <c r="B139" s="33" t="s">
        <v>144</v>
      </c>
      <c r="C139" s="33" t="s">
        <v>277</v>
      </c>
      <c r="D139" s="33" t="s">
        <v>278</v>
      </c>
      <c r="E139" s="33" t="s">
        <v>279</v>
      </c>
      <c r="F139" s="33" t="s">
        <v>151</v>
      </c>
    </row>
    <row r="140" spans="1:6" x14ac:dyDescent="0.3">
      <c r="A140" s="32" t="s">
        <v>692</v>
      </c>
      <c r="B140" s="33" t="s">
        <v>144</v>
      </c>
      <c r="C140" s="33" t="s">
        <v>277</v>
      </c>
      <c r="D140" s="33" t="s">
        <v>278</v>
      </c>
      <c r="E140" s="33" t="s">
        <v>279</v>
      </c>
      <c r="F140" s="33" t="s">
        <v>693</v>
      </c>
    </row>
    <row r="141" spans="1:6" x14ac:dyDescent="0.3">
      <c r="A141" s="32" t="s">
        <v>473</v>
      </c>
      <c r="B141" s="33" t="s">
        <v>268</v>
      </c>
      <c r="C141" s="33" t="s">
        <v>269</v>
      </c>
      <c r="D141" s="33" t="s">
        <v>270</v>
      </c>
      <c r="E141" s="33" t="s">
        <v>269</v>
      </c>
      <c r="F141" s="33" t="s">
        <v>87</v>
      </c>
    </row>
    <row r="142" spans="1:6" x14ac:dyDescent="0.3">
      <c r="A142" s="32" t="s">
        <v>1142</v>
      </c>
      <c r="B142" s="33" t="s">
        <v>268</v>
      </c>
      <c r="C142" s="33" t="s">
        <v>1143</v>
      </c>
      <c r="D142" s="33" t="s">
        <v>342</v>
      </c>
      <c r="E142" s="33" t="s">
        <v>1143</v>
      </c>
      <c r="F142" s="33" t="s">
        <v>271</v>
      </c>
    </row>
    <row r="143" spans="1:6" x14ac:dyDescent="0.3">
      <c r="A143" s="32" t="s">
        <v>266</v>
      </c>
      <c r="B143" s="33" t="s">
        <v>268</v>
      </c>
      <c r="C143" s="33" t="s">
        <v>269</v>
      </c>
      <c r="D143" s="33" t="s">
        <v>270</v>
      </c>
      <c r="E143" s="33" t="s">
        <v>269</v>
      </c>
      <c r="F143" s="33" t="s">
        <v>271</v>
      </c>
    </row>
    <row r="144" spans="1:6" x14ac:dyDescent="0.3">
      <c r="A144" s="32" t="s">
        <v>3874</v>
      </c>
      <c r="B144" s="33" t="s">
        <v>268</v>
      </c>
      <c r="C144" s="33" t="s">
        <v>1143</v>
      </c>
      <c r="D144" s="33" t="s">
        <v>342</v>
      </c>
      <c r="E144" s="33" t="s">
        <v>1143</v>
      </c>
      <c r="F144" s="33" t="s">
        <v>151</v>
      </c>
    </row>
    <row r="145" spans="1:6" x14ac:dyDescent="0.3">
      <c r="A145" s="32" t="s">
        <v>3875</v>
      </c>
      <c r="B145" s="33" t="s">
        <v>268</v>
      </c>
      <c r="C145" s="33" t="s">
        <v>269</v>
      </c>
      <c r="D145" s="33" t="s">
        <v>270</v>
      </c>
      <c r="E145" s="33" t="s">
        <v>269</v>
      </c>
      <c r="F145" s="33" t="s">
        <v>151</v>
      </c>
    </row>
    <row r="146" spans="1:6" x14ac:dyDescent="0.3">
      <c r="A146" s="32" t="s">
        <v>406</v>
      </c>
      <c r="B146" s="33" t="s">
        <v>407</v>
      </c>
      <c r="C146" s="33" t="s">
        <v>108</v>
      </c>
      <c r="D146" s="33" t="s">
        <v>100</v>
      </c>
      <c r="E146" s="33" t="s">
        <v>108</v>
      </c>
      <c r="F146" s="33" t="s">
        <v>408</v>
      </c>
    </row>
    <row r="147" spans="1:6" x14ac:dyDescent="0.3">
      <c r="A147" s="32" t="s">
        <v>743</v>
      </c>
      <c r="B147" s="33" t="s">
        <v>407</v>
      </c>
      <c r="C147" s="33" t="s">
        <v>744</v>
      </c>
      <c r="D147" s="33" t="s">
        <v>100</v>
      </c>
      <c r="E147" s="33" t="s">
        <v>744</v>
      </c>
      <c r="F147" s="33" t="s">
        <v>151</v>
      </c>
    </row>
    <row r="148" spans="1:6" x14ac:dyDescent="0.3">
      <c r="A148" s="32" t="s">
        <v>3876</v>
      </c>
      <c r="B148" s="33" t="s">
        <v>407</v>
      </c>
      <c r="C148" s="33" t="s">
        <v>744</v>
      </c>
      <c r="D148" s="33" t="s">
        <v>100</v>
      </c>
      <c r="E148" s="33" t="s">
        <v>744</v>
      </c>
      <c r="F148" s="33" t="s">
        <v>271</v>
      </c>
    </row>
    <row r="149" spans="1:6" x14ac:dyDescent="0.3">
      <c r="A149" s="32" t="s">
        <v>3877</v>
      </c>
      <c r="B149" s="33" t="s">
        <v>407</v>
      </c>
      <c r="C149" s="33" t="s">
        <v>145</v>
      </c>
      <c r="D149" s="33" t="s">
        <v>185</v>
      </c>
      <c r="E149" s="33" t="s">
        <v>343</v>
      </c>
      <c r="F149" s="33" t="s">
        <v>151</v>
      </c>
    </row>
    <row r="150" spans="1:6" x14ac:dyDescent="0.3">
      <c r="A150" s="32" t="s">
        <v>3878</v>
      </c>
      <c r="B150" s="33" t="s">
        <v>407</v>
      </c>
      <c r="C150" s="33" t="s">
        <v>2456</v>
      </c>
      <c r="D150" s="33" t="s">
        <v>185</v>
      </c>
      <c r="E150" s="33" t="s">
        <v>2456</v>
      </c>
      <c r="F150" s="33" t="s">
        <v>271</v>
      </c>
    </row>
    <row r="151" spans="1:6" x14ac:dyDescent="0.3">
      <c r="A151" s="32" t="s">
        <v>1117</v>
      </c>
      <c r="B151" s="33" t="s">
        <v>1118</v>
      </c>
      <c r="C151" s="33" t="s">
        <v>1119</v>
      </c>
      <c r="D151" s="33" t="s">
        <v>100</v>
      </c>
      <c r="E151" s="33" t="s">
        <v>1120</v>
      </c>
      <c r="F151" s="33" t="s">
        <v>151</v>
      </c>
    </row>
    <row r="152" spans="1:6" x14ac:dyDescent="0.3">
      <c r="A152" s="32" t="s">
        <v>2410</v>
      </c>
      <c r="B152" s="33" t="s">
        <v>1118</v>
      </c>
      <c r="C152" s="33" t="s">
        <v>1119</v>
      </c>
      <c r="D152" s="33" t="s">
        <v>100</v>
      </c>
      <c r="E152" s="33" t="s">
        <v>1120</v>
      </c>
      <c r="F152" s="33" t="s">
        <v>271</v>
      </c>
    </row>
    <row r="153" spans="1:6" x14ac:dyDescent="0.3">
      <c r="A153" s="32" t="s">
        <v>1479</v>
      </c>
      <c r="B153" s="33" t="s">
        <v>1118</v>
      </c>
      <c r="C153" s="33" t="s">
        <v>1481</v>
      </c>
      <c r="D153" s="33" t="s">
        <v>135</v>
      </c>
      <c r="E153" s="33" t="s">
        <v>1482</v>
      </c>
      <c r="F153" s="33" t="s">
        <v>151</v>
      </c>
    </row>
    <row r="154" spans="1:6" x14ac:dyDescent="0.3">
      <c r="A154" s="32" t="s">
        <v>3879</v>
      </c>
      <c r="B154" s="33" t="s">
        <v>1118</v>
      </c>
      <c r="C154" s="33" t="s">
        <v>1481</v>
      </c>
      <c r="D154" s="33" t="s">
        <v>135</v>
      </c>
      <c r="E154" s="33" t="s">
        <v>1482</v>
      </c>
      <c r="F154" s="33" t="s">
        <v>271</v>
      </c>
    </row>
    <row r="155" spans="1:6" x14ac:dyDescent="0.3">
      <c r="A155" s="32" t="s">
        <v>3634</v>
      </c>
      <c r="B155" s="33" t="s">
        <v>341</v>
      </c>
      <c r="C155" s="33" t="s">
        <v>145</v>
      </c>
      <c r="D155" s="33" t="s">
        <v>192</v>
      </c>
      <c r="E155" s="33" t="s">
        <v>343</v>
      </c>
      <c r="F155" s="33" t="s">
        <v>87</v>
      </c>
    </row>
    <row r="156" spans="1:6" x14ac:dyDescent="0.3">
      <c r="A156" s="32" t="s">
        <v>340</v>
      </c>
      <c r="B156" s="33" t="s">
        <v>341</v>
      </c>
      <c r="C156" s="33" t="s">
        <v>145</v>
      </c>
      <c r="D156" s="33" t="s">
        <v>342</v>
      </c>
      <c r="E156" s="33" t="s">
        <v>343</v>
      </c>
      <c r="F156" s="33" t="s">
        <v>151</v>
      </c>
    </row>
    <row r="157" spans="1:6" x14ac:dyDescent="0.3">
      <c r="A157" s="32" t="s">
        <v>523</v>
      </c>
      <c r="B157" s="33" t="s">
        <v>341</v>
      </c>
      <c r="C157" s="33" t="s">
        <v>145</v>
      </c>
      <c r="D157" s="33" t="s">
        <v>192</v>
      </c>
      <c r="E157" s="33" t="s">
        <v>343</v>
      </c>
      <c r="F157" s="33" t="s">
        <v>151</v>
      </c>
    </row>
    <row r="158" spans="1:6" x14ac:dyDescent="0.3">
      <c r="A158" s="32" t="s">
        <v>3402</v>
      </c>
      <c r="B158" s="33" t="s">
        <v>341</v>
      </c>
      <c r="C158" s="33" t="s">
        <v>145</v>
      </c>
      <c r="D158" s="33" t="s">
        <v>342</v>
      </c>
      <c r="E158" s="33" t="s">
        <v>343</v>
      </c>
      <c r="F158" s="33" t="s">
        <v>271</v>
      </c>
    </row>
    <row r="159" spans="1:6" x14ac:dyDescent="0.3">
      <c r="A159" s="32" t="s">
        <v>152</v>
      </c>
      <c r="B159" s="33" t="s">
        <v>84</v>
      </c>
      <c r="C159" s="33" t="s">
        <v>113</v>
      </c>
      <c r="D159" s="33" t="s">
        <v>86</v>
      </c>
      <c r="E159" s="33" t="s">
        <v>115</v>
      </c>
      <c r="F159" s="33" t="s">
        <v>102</v>
      </c>
    </row>
    <row r="160" spans="1:6" x14ac:dyDescent="0.3">
      <c r="A160" s="32" t="s">
        <v>119</v>
      </c>
      <c r="B160" s="33" t="s">
        <v>84</v>
      </c>
      <c r="C160" s="33" t="s">
        <v>113</v>
      </c>
      <c r="D160" s="33" t="s">
        <v>120</v>
      </c>
      <c r="E160" s="33" t="s">
        <v>115</v>
      </c>
      <c r="F160" s="33" t="s">
        <v>102</v>
      </c>
    </row>
    <row r="161" spans="1:6" x14ac:dyDescent="0.3">
      <c r="A161" s="32" t="s">
        <v>112</v>
      </c>
      <c r="B161" s="33" t="s">
        <v>84</v>
      </c>
      <c r="C161" s="33" t="s">
        <v>113</v>
      </c>
      <c r="D161" s="33" t="s">
        <v>114</v>
      </c>
      <c r="E161" s="33" t="s">
        <v>115</v>
      </c>
      <c r="F161" s="33" t="s">
        <v>102</v>
      </c>
    </row>
    <row r="162" spans="1:6" x14ac:dyDescent="0.3">
      <c r="A162" s="32" t="s">
        <v>3365</v>
      </c>
      <c r="B162" s="33" t="s">
        <v>84</v>
      </c>
      <c r="C162" s="33" t="s">
        <v>3366</v>
      </c>
      <c r="D162" s="33" t="s">
        <v>114</v>
      </c>
      <c r="E162" s="33" t="s">
        <v>3367</v>
      </c>
      <c r="F162" s="33" t="s">
        <v>3368</v>
      </c>
    </row>
    <row r="163" spans="1:6" x14ac:dyDescent="0.3">
      <c r="A163" s="32" t="s">
        <v>78</v>
      </c>
      <c r="B163" s="33" t="s">
        <v>84</v>
      </c>
      <c r="C163" s="33" t="s">
        <v>85</v>
      </c>
      <c r="D163" s="33" t="s">
        <v>86</v>
      </c>
      <c r="E163" s="33" t="s">
        <v>85</v>
      </c>
      <c r="F163" s="33" t="s">
        <v>87</v>
      </c>
    </row>
    <row r="164" spans="1:6" x14ac:dyDescent="0.3">
      <c r="A164" s="32" t="s">
        <v>2540</v>
      </c>
      <c r="B164" s="33" t="s">
        <v>84</v>
      </c>
      <c r="C164" s="33" t="s">
        <v>2541</v>
      </c>
      <c r="D164" s="33" t="s">
        <v>86</v>
      </c>
      <c r="E164" s="33" t="s">
        <v>2542</v>
      </c>
      <c r="F164" s="33" t="s">
        <v>151</v>
      </c>
    </row>
    <row r="165" spans="1:6" x14ac:dyDescent="0.3">
      <c r="A165" s="32" t="s">
        <v>2583</v>
      </c>
      <c r="B165" s="33" t="s">
        <v>84</v>
      </c>
      <c r="C165" s="33" t="s">
        <v>2541</v>
      </c>
      <c r="D165" s="33" t="s">
        <v>86</v>
      </c>
      <c r="E165" s="33" t="s">
        <v>2542</v>
      </c>
      <c r="F165" s="33" t="s">
        <v>271</v>
      </c>
    </row>
    <row r="166" spans="1:6" x14ac:dyDescent="0.3">
      <c r="A166" s="32" t="s">
        <v>2070</v>
      </c>
      <c r="B166" s="33" t="s">
        <v>84</v>
      </c>
      <c r="C166" s="33" t="s">
        <v>113</v>
      </c>
      <c r="D166" s="33" t="s">
        <v>120</v>
      </c>
      <c r="E166" s="33" t="s">
        <v>115</v>
      </c>
      <c r="F166" s="33" t="s">
        <v>2071</v>
      </c>
    </row>
    <row r="167" spans="1:6" x14ac:dyDescent="0.3">
      <c r="A167" s="32" t="s">
        <v>3880</v>
      </c>
      <c r="B167" s="33" t="s">
        <v>84</v>
      </c>
      <c r="C167" s="33" t="s">
        <v>145</v>
      </c>
      <c r="D167" s="33" t="s">
        <v>126</v>
      </c>
      <c r="E167" s="33" t="s">
        <v>3881</v>
      </c>
      <c r="F167" s="33" t="s">
        <v>87</v>
      </c>
    </row>
    <row r="168" spans="1:6" x14ac:dyDescent="0.3">
      <c r="A168" s="32" t="s">
        <v>260</v>
      </c>
      <c r="B168" s="33" t="s">
        <v>84</v>
      </c>
      <c r="C168" s="33" t="s">
        <v>113</v>
      </c>
      <c r="D168" s="33" t="s">
        <v>86</v>
      </c>
      <c r="E168" s="33" t="s">
        <v>109</v>
      </c>
      <c r="F168" s="33" t="s">
        <v>109</v>
      </c>
    </row>
    <row r="169" spans="1:6" x14ac:dyDescent="0.3">
      <c r="A169" s="32" t="s">
        <v>882</v>
      </c>
      <c r="B169" s="33" t="s">
        <v>883</v>
      </c>
      <c r="C169" s="33" t="s">
        <v>744</v>
      </c>
      <c r="D169" s="33" t="s">
        <v>126</v>
      </c>
      <c r="E169" s="33" t="s">
        <v>744</v>
      </c>
      <c r="F169" s="33" t="s">
        <v>884</v>
      </c>
    </row>
    <row r="170" spans="1:6" x14ac:dyDescent="0.3">
      <c r="A170" s="32" t="s">
        <v>2721</v>
      </c>
      <c r="B170" s="33" t="s">
        <v>883</v>
      </c>
      <c r="C170" s="33" t="s">
        <v>2722</v>
      </c>
      <c r="D170" s="33" t="s">
        <v>126</v>
      </c>
      <c r="E170" s="33" t="s">
        <v>2722</v>
      </c>
      <c r="F170" s="33" t="s">
        <v>151</v>
      </c>
    </row>
    <row r="171" spans="1:6" x14ac:dyDescent="0.3">
      <c r="A171" s="32" t="s">
        <v>3882</v>
      </c>
      <c r="B171" s="33" t="s">
        <v>700</v>
      </c>
      <c r="C171" s="33" t="s">
        <v>3065</v>
      </c>
      <c r="D171" s="33" t="s">
        <v>246</v>
      </c>
      <c r="E171" s="33" t="s">
        <v>3066</v>
      </c>
      <c r="F171" s="33" t="s">
        <v>151</v>
      </c>
    </row>
    <row r="172" spans="1:6" x14ac:dyDescent="0.3">
      <c r="A172" s="32" t="s">
        <v>3064</v>
      </c>
      <c r="B172" s="33" t="s">
        <v>700</v>
      </c>
      <c r="C172" s="33" t="s">
        <v>3065</v>
      </c>
      <c r="D172" s="33" t="s">
        <v>246</v>
      </c>
      <c r="E172" s="33" t="s">
        <v>3066</v>
      </c>
      <c r="F172" s="33" t="s">
        <v>271</v>
      </c>
    </row>
    <row r="173" spans="1:6" x14ac:dyDescent="0.3">
      <c r="A173" s="32" t="s">
        <v>699</v>
      </c>
      <c r="B173" s="33" t="s">
        <v>700</v>
      </c>
      <c r="C173" s="33" t="s">
        <v>701</v>
      </c>
      <c r="D173" s="33" t="s">
        <v>114</v>
      </c>
      <c r="E173" s="33" t="s">
        <v>702</v>
      </c>
      <c r="F173" s="33" t="s">
        <v>151</v>
      </c>
    </row>
    <row r="174" spans="1:6" x14ac:dyDescent="0.3">
      <c r="A174" s="32" t="s">
        <v>3218</v>
      </c>
      <c r="B174" s="33" t="s">
        <v>3219</v>
      </c>
      <c r="C174" s="33" t="s">
        <v>3220</v>
      </c>
      <c r="D174" s="33" t="s">
        <v>342</v>
      </c>
      <c r="E174" s="33" t="s">
        <v>3220</v>
      </c>
      <c r="F174" s="33" t="s">
        <v>151</v>
      </c>
    </row>
  </sheetData>
  <sheetProtection algorithmName="SHA-512" hashValue="z5B7ui89z/RK2xuyr8DyVq7/XVRqGqVJQ6rW1yjJC99W1nNgJsScw6OVC4AkVFUo1IojxLoH6Ong0n+MDSuJjg==" saltValue="Xxsek4igmqIMmUNAQkHF6A==" spinCount="100000" sheet="1" objects="1" scenarios="1"/>
  <autoFilter ref="A1:F1" xr:uid="{BAAA3371-E88B-4A43-B04C-F982272B34F2}">
    <sortState xmlns:xlrd2="http://schemas.microsoft.com/office/spreadsheetml/2017/richdata2" ref="A2:F169">
      <sortCondition ref="B1"/>
    </sortState>
  </autoFilter>
  <pageMargins left="0.55118110236220474" right="0.31496062992125984" top="0.70866141732283472" bottom="0.31496062992125984" header="0.23622047244094491" footer="0.19685039370078741"/>
  <pageSetup paperSize="8" scale="9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A7405-5AEB-4758-AEAB-BA794274EA01}">
  <sheetPr codeName="Feuil16"/>
  <dimension ref="A1:B16"/>
  <sheetViews>
    <sheetView workbookViewId="0">
      <selection activeCell="B9" sqref="B9"/>
    </sheetView>
  </sheetViews>
  <sheetFormatPr baseColWidth="10" defaultColWidth="11.44140625" defaultRowHeight="14.4" x14ac:dyDescent="0.3"/>
  <cols>
    <col min="1" max="1" width="12.6640625" bestFit="1" customWidth="1"/>
    <col min="2" max="2" width="21.6640625" bestFit="1" customWidth="1"/>
  </cols>
  <sheetData>
    <row r="1" spans="1:2" x14ac:dyDescent="0.3">
      <c r="A1" t="s">
        <v>3883</v>
      </c>
      <c r="B1" t="s">
        <v>3884</v>
      </c>
    </row>
    <row r="2" spans="1:2" x14ac:dyDescent="0.3">
      <c r="A2" t="s">
        <v>3885</v>
      </c>
      <c r="B2" t="s">
        <v>0</v>
      </c>
    </row>
    <row r="3" spans="1:2" x14ac:dyDescent="0.3">
      <c r="A3" t="s">
        <v>3886</v>
      </c>
      <c r="B3" t="s">
        <v>2</v>
      </c>
    </row>
    <row r="4" spans="1:2" x14ac:dyDescent="0.3">
      <c r="A4" t="s">
        <v>3887</v>
      </c>
      <c r="B4" t="s">
        <v>4</v>
      </c>
    </row>
    <row r="5" spans="1:2" x14ac:dyDescent="0.3">
      <c r="A5" t="s">
        <v>3888</v>
      </c>
      <c r="B5" t="s">
        <v>6</v>
      </c>
    </row>
    <row r="6" spans="1:2" x14ac:dyDescent="0.3">
      <c r="A6" t="s">
        <v>3889</v>
      </c>
      <c r="B6" t="s">
        <v>3890</v>
      </c>
    </row>
    <row r="7" spans="1:2" x14ac:dyDescent="0.3">
      <c r="A7" t="s">
        <v>3891</v>
      </c>
      <c r="B7" t="s">
        <v>425</v>
      </c>
    </row>
    <row r="8" spans="1:2" x14ac:dyDescent="0.3">
      <c r="A8" t="s">
        <v>3892</v>
      </c>
      <c r="B8" t="s">
        <v>10</v>
      </c>
    </row>
    <row r="9" spans="1:2" x14ac:dyDescent="0.3">
      <c r="A9" t="s">
        <v>3893</v>
      </c>
      <c r="B9" t="s">
        <v>14</v>
      </c>
    </row>
    <row r="10" spans="1:2" x14ac:dyDescent="0.3">
      <c r="A10" t="s">
        <v>3894</v>
      </c>
      <c r="B10" t="s">
        <v>16</v>
      </c>
    </row>
    <row r="11" spans="1:2" x14ac:dyDescent="0.3">
      <c r="A11" t="s">
        <v>3895</v>
      </c>
      <c r="B11" t="s">
        <v>18</v>
      </c>
    </row>
    <row r="12" spans="1:2" x14ac:dyDescent="0.3">
      <c r="A12" t="s">
        <v>3896</v>
      </c>
      <c r="B12" t="s">
        <v>20</v>
      </c>
    </row>
    <row r="13" spans="1:2" x14ac:dyDescent="0.3">
      <c r="A13" t="s">
        <v>3897</v>
      </c>
      <c r="B13" t="s">
        <v>22</v>
      </c>
    </row>
    <row r="14" spans="1:2" x14ac:dyDescent="0.3">
      <c r="A14" t="s">
        <v>3898</v>
      </c>
      <c r="B14" t="s">
        <v>24</v>
      </c>
    </row>
    <row r="15" spans="1:2" x14ac:dyDescent="0.3">
      <c r="A15" t="s">
        <v>3899</v>
      </c>
      <c r="B15" t="s">
        <v>26</v>
      </c>
    </row>
    <row r="16" spans="1:2" x14ac:dyDescent="0.3">
      <c r="A16" t="s">
        <v>3900</v>
      </c>
      <c r="B16" t="s">
        <v>709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55742-C394-48BB-8146-B2FE19E0E90F}">
  <sheetPr codeName="Feuil12"/>
  <dimension ref="A1:A4"/>
  <sheetViews>
    <sheetView workbookViewId="0">
      <selection sqref="A1:A4"/>
    </sheetView>
  </sheetViews>
  <sheetFormatPr baseColWidth="10" defaultColWidth="11.44140625" defaultRowHeight="14.4" x14ac:dyDescent="0.3"/>
  <cols>
    <col min="1" max="1" width="20.5546875" bestFit="1" customWidth="1"/>
  </cols>
  <sheetData>
    <row r="1" spans="1:1" x14ac:dyDescent="0.3">
      <c r="A1" t="s">
        <v>1364</v>
      </c>
    </row>
    <row r="2" spans="1:1" x14ac:dyDescent="0.3">
      <c r="A2" t="s">
        <v>3901</v>
      </c>
    </row>
    <row r="3" spans="1:1" x14ac:dyDescent="0.3">
      <c r="A3" t="s">
        <v>3902</v>
      </c>
    </row>
    <row r="4" spans="1:1" x14ac:dyDescent="0.3">
      <c r="A4" t="s">
        <v>430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909A1-BD4B-45BA-86E7-983C84FBA216}">
  <sheetPr codeName="Feuil2"/>
  <dimension ref="A1:A16"/>
  <sheetViews>
    <sheetView workbookViewId="0">
      <selection activeCell="A2" sqref="A2:A16"/>
    </sheetView>
  </sheetViews>
  <sheetFormatPr baseColWidth="10" defaultColWidth="11.44140625" defaultRowHeight="14.4" x14ac:dyDescent="0.3"/>
  <cols>
    <col min="1" max="1" width="21.5546875" bestFit="1" customWidth="1"/>
  </cols>
  <sheetData>
    <row r="1" spans="1:1" x14ac:dyDescent="0.3">
      <c r="A1" s="1" t="s">
        <v>3903</v>
      </c>
    </row>
    <row r="2" spans="1:1" x14ac:dyDescent="0.3">
      <c r="A2" t="s">
        <v>0</v>
      </c>
    </row>
    <row r="3" spans="1:1" x14ac:dyDescent="0.3">
      <c r="A3" t="s">
        <v>2</v>
      </c>
    </row>
    <row r="4" spans="1:1" x14ac:dyDescent="0.3">
      <c r="A4" t="s">
        <v>4</v>
      </c>
    </row>
    <row r="5" spans="1:1" x14ac:dyDescent="0.3">
      <c r="A5" t="s">
        <v>6</v>
      </c>
    </row>
    <row r="6" spans="1:1" x14ac:dyDescent="0.3">
      <c r="A6" t="s">
        <v>3890</v>
      </c>
    </row>
    <row r="7" spans="1:1" x14ac:dyDescent="0.3">
      <c r="A7" t="s">
        <v>425</v>
      </c>
    </row>
    <row r="8" spans="1:1" x14ac:dyDescent="0.3">
      <c r="A8" t="s">
        <v>10</v>
      </c>
    </row>
    <row r="9" spans="1:1" x14ac:dyDescent="0.3">
      <c r="A9" t="s">
        <v>14</v>
      </c>
    </row>
    <row r="10" spans="1:1" x14ac:dyDescent="0.3">
      <c r="A10" t="s">
        <v>16</v>
      </c>
    </row>
    <row r="11" spans="1:1" x14ac:dyDescent="0.3">
      <c r="A11" t="s">
        <v>18</v>
      </c>
    </row>
    <row r="12" spans="1:1" x14ac:dyDescent="0.3">
      <c r="A12" t="s">
        <v>20</v>
      </c>
    </row>
    <row r="13" spans="1:1" x14ac:dyDescent="0.3">
      <c r="A13" t="s">
        <v>22</v>
      </c>
    </row>
    <row r="14" spans="1:1" x14ac:dyDescent="0.3">
      <c r="A14" t="s">
        <v>24</v>
      </c>
    </row>
    <row r="15" spans="1:1" x14ac:dyDescent="0.3">
      <c r="A15" t="s">
        <v>26</v>
      </c>
    </row>
    <row r="16" spans="1:1" x14ac:dyDescent="0.3">
      <c r="A16" t="s">
        <v>709</v>
      </c>
    </row>
  </sheetData>
  <sortState xmlns:xlrd2="http://schemas.microsoft.com/office/spreadsheetml/2017/richdata2" ref="A2:A15">
    <sortCondition ref="A2"/>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84AC3-2600-4DF7-9DAD-F734D98E45DA}">
  <sheetPr codeName="Feuil3"/>
  <dimension ref="A1:A75"/>
  <sheetViews>
    <sheetView workbookViewId="0">
      <selection activeCell="A24" sqref="A24:XFD24"/>
    </sheetView>
  </sheetViews>
  <sheetFormatPr baseColWidth="10" defaultColWidth="11.44140625" defaultRowHeight="14.4" x14ac:dyDescent="0.3"/>
  <cols>
    <col min="1" max="1" width="24.5546875" bestFit="1" customWidth="1"/>
  </cols>
  <sheetData>
    <row r="1" spans="1:1" x14ac:dyDescent="0.3">
      <c r="A1" s="1" t="s">
        <v>3904</v>
      </c>
    </row>
    <row r="2" spans="1:1" x14ac:dyDescent="0.3">
      <c r="A2" t="s">
        <v>3291</v>
      </c>
    </row>
    <row r="3" spans="1:1" x14ac:dyDescent="0.3">
      <c r="A3" t="s">
        <v>1</v>
      </c>
    </row>
    <row r="4" spans="1:1" x14ac:dyDescent="0.3">
      <c r="A4" t="s">
        <v>3</v>
      </c>
    </row>
    <row r="5" spans="1:1" x14ac:dyDescent="0.3">
      <c r="A5" t="s">
        <v>5</v>
      </c>
    </row>
    <row r="6" spans="1:1" x14ac:dyDescent="0.3">
      <c r="A6" t="s">
        <v>1542</v>
      </c>
    </row>
    <row r="7" spans="1:1" x14ac:dyDescent="0.3">
      <c r="A7" t="s">
        <v>7</v>
      </c>
    </row>
    <row r="8" spans="1:1" x14ac:dyDescent="0.3">
      <c r="A8" t="s">
        <v>9</v>
      </c>
    </row>
    <row r="9" spans="1:1" x14ac:dyDescent="0.3">
      <c r="A9" t="s">
        <v>11</v>
      </c>
    </row>
    <row r="10" spans="1:1" x14ac:dyDescent="0.3">
      <c r="A10" t="s">
        <v>2471</v>
      </c>
    </row>
    <row r="11" spans="1:1" x14ac:dyDescent="0.3">
      <c r="A11" t="s">
        <v>1697</v>
      </c>
    </row>
    <row r="12" spans="1:1" x14ac:dyDescent="0.3">
      <c r="A12" t="s">
        <v>676</v>
      </c>
    </row>
    <row r="13" spans="1:1" x14ac:dyDescent="0.3">
      <c r="A13" t="s">
        <v>13</v>
      </c>
    </row>
    <row r="14" spans="1:1" x14ac:dyDescent="0.3">
      <c r="A14" t="s">
        <v>1334</v>
      </c>
    </row>
    <row r="15" spans="1:1" x14ac:dyDescent="0.3">
      <c r="A15" t="s">
        <v>2141</v>
      </c>
    </row>
    <row r="16" spans="1:1" x14ac:dyDescent="0.3">
      <c r="A16" t="s">
        <v>15</v>
      </c>
    </row>
    <row r="17" spans="1:1" x14ac:dyDescent="0.3">
      <c r="A17" t="s">
        <v>1412</v>
      </c>
    </row>
    <row r="18" spans="1:1" x14ac:dyDescent="0.3">
      <c r="A18" t="s">
        <v>2932</v>
      </c>
    </row>
    <row r="19" spans="1:1" x14ac:dyDescent="0.3">
      <c r="A19" t="s">
        <v>17</v>
      </c>
    </row>
    <row r="20" spans="1:1" x14ac:dyDescent="0.3">
      <c r="A20" t="s">
        <v>151</v>
      </c>
    </row>
    <row r="21" spans="1:1" x14ac:dyDescent="0.3">
      <c r="A21" t="s">
        <v>19</v>
      </c>
    </row>
    <row r="22" spans="1:1" x14ac:dyDescent="0.3">
      <c r="A22" t="s">
        <v>1631</v>
      </c>
    </row>
    <row r="23" spans="1:1" x14ac:dyDescent="0.3">
      <c r="A23" t="s">
        <v>919</v>
      </c>
    </row>
    <row r="24" spans="1:1" x14ac:dyDescent="0.3">
      <c r="A24" t="s">
        <v>901</v>
      </c>
    </row>
    <row r="25" spans="1:1" x14ac:dyDescent="0.3">
      <c r="A25" t="s">
        <v>3626</v>
      </c>
    </row>
    <row r="26" spans="1:1" x14ac:dyDescent="0.3">
      <c r="A26" t="s">
        <v>21</v>
      </c>
    </row>
    <row r="27" spans="1:1" x14ac:dyDescent="0.3">
      <c r="A27" t="s">
        <v>1852</v>
      </c>
    </row>
    <row r="28" spans="1:1" x14ac:dyDescent="0.3">
      <c r="A28" t="s">
        <v>1357</v>
      </c>
    </row>
    <row r="29" spans="1:1" x14ac:dyDescent="0.3">
      <c r="A29" t="s">
        <v>1757</v>
      </c>
    </row>
    <row r="30" spans="1:1" x14ac:dyDescent="0.3">
      <c r="A30" t="s">
        <v>23</v>
      </c>
    </row>
    <row r="31" spans="1:1" x14ac:dyDescent="0.3">
      <c r="A31" t="s">
        <v>1535</v>
      </c>
    </row>
    <row r="32" spans="1:1" x14ac:dyDescent="0.3">
      <c r="A32" t="s">
        <v>25</v>
      </c>
    </row>
    <row r="33" spans="1:1" x14ac:dyDescent="0.3">
      <c r="A33" t="s">
        <v>2460</v>
      </c>
    </row>
    <row r="34" spans="1:1" x14ac:dyDescent="0.3">
      <c r="A34" t="s">
        <v>2507</v>
      </c>
    </row>
    <row r="35" spans="1:1" x14ac:dyDescent="0.3">
      <c r="A35" t="s">
        <v>1018</v>
      </c>
    </row>
    <row r="36" spans="1:1" x14ac:dyDescent="0.3">
      <c r="A36" t="s">
        <v>656</v>
      </c>
    </row>
    <row r="37" spans="1:1" x14ac:dyDescent="0.3">
      <c r="A37" t="s">
        <v>975</v>
      </c>
    </row>
    <row r="38" spans="1:1" x14ac:dyDescent="0.3">
      <c r="A38" t="s">
        <v>3905</v>
      </c>
    </row>
    <row r="39" spans="1:1" x14ac:dyDescent="0.3">
      <c r="A39" t="s">
        <v>27</v>
      </c>
    </row>
    <row r="40" spans="1:1" x14ac:dyDescent="0.3">
      <c r="A40" t="s">
        <v>2800</v>
      </c>
    </row>
    <row r="41" spans="1:1" x14ac:dyDescent="0.3">
      <c r="A41" t="s">
        <v>1304</v>
      </c>
    </row>
    <row r="42" spans="1:1" x14ac:dyDescent="0.3">
      <c r="A42" t="s">
        <v>3536</v>
      </c>
    </row>
    <row r="43" spans="1:1" x14ac:dyDescent="0.3">
      <c r="A43" t="s">
        <v>1875</v>
      </c>
    </row>
    <row r="44" spans="1:1" x14ac:dyDescent="0.3">
      <c r="A44" t="s">
        <v>28</v>
      </c>
    </row>
    <row r="45" spans="1:1" x14ac:dyDescent="0.3">
      <c r="A45" t="s">
        <v>1693</v>
      </c>
    </row>
    <row r="46" spans="1:1" x14ac:dyDescent="0.3">
      <c r="A46" t="s">
        <v>603</v>
      </c>
    </row>
    <row r="47" spans="1:1" x14ac:dyDescent="0.3">
      <c r="A47" t="s">
        <v>3573</v>
      </c>
    </row>
    <row r="48" spans="1:1" x14ac:dyDescent="0.3">
      <c r="A48" t="s">
        <v>2406</v>
      </c>
    </row>
    <row r="49" spans="1:1" x14ac:dyDescent="0.3">
      <c r="A49" t="s">
        <v>1168</v>
      </c>
    </row>
    <row r="50" spans="1:1" x14ac:dyDescent="0.3">
      <c r="A50" t="s">
        <v>740</v>
      </c>
    </row>
    <row r="51" spans="1:1" x14ac:dyDescent="0.3">
      <c r="A51" t="s">
        <v>3604</v>
      </c>
    </row>
    <row r="52" spans="1:1" x14ac:dyDescent="0.3">
      <c r="A52" t="s">
        <v>1023</v>
      </c>
    </row>
    <row r="53" spans="1:1" x14ac:dyDescent="0.3">
      <c r="A53" t="s">
        <v>168</v>
      </c>
    </row>
    <row r="54" spans="1:1" x14ac:dyDescent="0.3">
      <c r="A54" t="s">
        <v>2958</v>
      </c>
    </row>
    <row r="55" spans="1:1" x14ac:dyDescent="0.3">
      <c r="A55" t="s">
        <v>2645</v>
      </c>
    </row>
    <row r="56" spans="1:1" x14ac:dyDescent="0.3">
      <c r="A56" t="s">
        <v>982</v>
      </c>
    </row>
    <row r="57" spans="1:1" x14ac:dyDescent="0.3">
      <c r="A57" t="s">
        <v>29</v>
      </c>
    </row>
    <row r="58" spans="1:1" x14ac:dyDescent="0.3">
      <c r="A58" t="s">
        <v>3052</v>
      </c>
    </row>
    <row r="59" spans="1:1" x14ac:dyDescent="0.3">
      <c r="A59" t="s">
        <v>896</v>
      </c>
    </row>
    <row r="60" spans="1:1" x14ac:dyDescent="0.3">
      <c r="A60" t="s">
        <v>30</v>
      </c>
    </row>
    <row r="61" spans="1:1" x14ac:dyDescent="0.3">
      <c r="A61" t="s">
        <v>31</v>
      </c>
    </row>
    <row r="62" spans="1:1" x14ac:dyDescent="0.3">
      <c r="A62" t="s">
        <v>32</v>
      </c>
    </row>
    <row r="63" spans="1:1" x14ac:dyDescent="0.3">
      <c r="A63" t="s">
        <v>33</v>
      </c>
    </row>
    <row r="64" spans="1:1" x14ac:dyDescent="0.3">
      <c r="A64" t="s">
        <v>2850</v>
      </c>
    </row>
    <row r="65" spans="1:1" x14ac:dyDescent="0.3">
      <c r="A65" t="s">
        <v>769</v>
      </c>
    </row>
    <row r="66" spans="1:1" x14ac:dyDescent="0.3">
      <c r="A66" t="s">
        <v>386</v>
      </c>
    </row>
    <row r="67" spans="1:1" x14ac:dyDescent="0.3">
      <c r="A67" t="s">
        <v>586</v>
      </c>
    </row>
    <row r="68" spans="1:1" x14ac:dyDescent="0.3">
      <c r="A68" t="s">
        <v>34</v>
      </c>
    </row>
    <row r="69" spans="1:1" x14ac:dyDescent="0.3">
      <c r="A69" t="s">
        <v>1922</v>
      </c>
    </row>
    <row r="70" spans="1:1" x14ac:dyDescent="0.3">
      <c r="A70" t="s">
        <v>35</v>
      </c>
    </row>
    <row r="71" spans="1:1" x14ac:dyDescent="0.3">
      <c r="A71" t="s">
        <v>2920</v>
      </c>
    </row>
    <row r="72" spans="1:1" x14ac:dyDescent="0.3">
      <c r="A72" t="s">
        <v>2225</v>
      </c>
    </row>
    <row r="73" spans="1:1" x14ac:dyDescent="0.3">
      <c r="A73" t="s">
        <v>2448</v>
      </c>
    </row>
    <row r="74" spans="1:1" x14ac:dyDescent="0.3">
      <c r="A74" t="s">
        <v>36</v>
      </c>
    </row>
    <row r="75" spans="1:1" x14ac:dyDescent="0.3">
      <c r="A75" t="s">
        <v>37</v>
      </c>
    </row>
  </sheetData>
  <sortState xmlns:xlrd2="http://schemas.microsoft.com/office/spreadsheetml/2017/richdata2" ref="A2:A75">
    <sortCondition ref="A2"/>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C7AB1-6A5C-4C34-B842-755A804B11EB}">
  <sheetPr codeName="Feuil4"/>
  <dimension ref="A1:H179"/>
  <sheetViews>
    <sheetView topLeftCell="A120" workbookViewId="0">
      <selection activeCell="F142" sqref="F142"/>
    </sheetView>
  </sheetViews>
  <sheetFormatPr baseColWidth="10" defaultColWidth="11.44140625" defaultRowHeight="14.4" x14ac:dyDescent="0.3"/>
  <cols>
    <col min="2" max="2" width="15.44140625" bestFit="1" customWidth="1"/>
    <col min="3" max="3" width="25.5546875" bestFit="1" customWidth="1"/>
    <col min="4" max="4" width="15.44140625" bestFit="1" customWidth="1"/>
    <col min="5" max="5" width="48.44140625" bestFit="1" customWidth="1"/>
    <col min="6" max="6" width="27" bestFit="1" customWidth="1"/>
    <col min="7" max="7" width="6.5546875" bestFit="1" customWidth="1"/>
    <col min="8" max="8" width="4.44140625" bestFit="1" customWidth="1"/>
  </cols>
  <sheetData>
    <row r="1" spans="1:8" x14ac:dyDescent="0.3">
      <c r="A1" s="2" t="s">
        <v>53</v>
      </c>
      <c r="B1" t="s">
        <v>3774</v>
      </c>
      <c r="C1" t="s">
        <v>60</v>
      </c>
      <c r="D1" t="s">
        <v>61</v>
      </c>
      <c r="E1" t="s">
        <v>3775</v>
      </c>
      <c r="F1" t="s">
        <v>63</v>
      </c>
      <c r="G1" t="s">
        <v>55</v>
      </c>
      <c r="H1" t="s">
        <v>68</v>
      </c>
    </row>
    <row r="2" spans="1:8" x14ac:dyDescent="0.3">
      <c r="A2" s="3" t="s">
        <v>604</v>
      </c>
      <c r="B2" t="s">
        <v>144</v>
      </c>
      <c r="C2" t="s">
        <v>145</v>
      </c>
      <c r="D2" t="s">
        <v>146</v>
      </c>
      <c r="E2" t="s">
        <v>146</v>
      </c>
      <c r="F2" t="s">
        <v>605</v>
      </c>
      <c r="G2" t="s">
        <v>80</v>
      </c>
      <c r="H2">
        <v>0.2</v>
      </c>
    </row>
    <row r="3" spans="1:8" x14ac:dyDescent="0.3">
      <c r="A3" s="3" t="s">
        <v>810</v>
      </c>
      <c r="B3" t="s">
        <v>144</v>
      </c>
      <c r="C3" t="s">
        <v>145</v>
      </c>
      <c r="D3" t="s">
        <v>146</v>
      </c>
      <c r="E3" t="s">
        <v>812</v>
      </c>
      <c r="F3" t="s">
        <v>813</v>
      </c>
      <c r="G3" t="s">
        <v>80</v>
      </c>
      <c r="H3">
        <v>0.1</v>
      </c>
    </row>
    <row r="4" spans="1:8" x14ac:dyDescent="0.3">
      <c r="A4" s="3" t="s">
        <v>1669</v>
      </c>
      <c r="B4" t="s">
        <v>144</v>
      </c>
      <c r="C4" t="s">
        <v>145</v>
      </c>
      <c r="D4" t="s">
        <v>146</v>
      </c>
      <c r="E4" t="s">
        <v>1671</v>
      </c>
      <c r="F4" t="s">
        <v>813</v>
      </c>
      <c r="G4" t="s">
        <v>80</v>
      </c>
      <c r="H4">
        <v>0.1</v>
      </c>
    </row>
    <row r="5" spans="1:8" x14ac:dyDescent="0.3">
      <c r="A5" s="3" t="s">
        <v>3848</v>
      </c>
      <c r="B5" t="s">
        <v>144</v>
      </c>
      <c r="C5" t="s">
        <v>145</v>
      </c>
      <c r="D5" t="s">
        <v>3849</v>
      </c>
      <c r="E5" t="s">
        <v>931</v>
      </c>
      <c r="F5" t="s">
        <v>3849</v>
      </c>
      <c r="G5" t="s">
        <v>80</v>
      </c>
      <c r="H5">
        <v>0.2</v>
      </c>
    </row>
    <row r="6" spans="1:8" x14ac:dyDescent="0.3">
      <c r="A6" s="3" t="s">
        <v>251</v>
      </c>
      <c r="B6" t="s">
        <v>144</v>
      </c>
      <c r="C6" t="s">
        <v>145</v>
      </c>
      <c r="D6" t="s">
        <v>254</v>
      </c>
      <c r="E6" t="s">
        <v>255</v>
      </c>
      <c r="F6" t="s">
        <v>256</v>
      </c>
      <c r="G6" t="s">
        <v>80</v>
      </c>
      <c r="H6">
        <v>0.2</v>
      </c>
    </row>
    <row r="7" spans="1:8" x14ac:dyDescent="0.3">
      <c r="A7" s="3" t="s">
        <v>929</v>
      </c>
      <c r="B7" t="s">
        <v>144</v>
      </c>
      <c r="C7" t="s">
        <v>145</v>
      </c>
      <c r="D7" t="s">
        <v>930</v>
      </c>
      <c r="E7" t="s">
        <v>931</v>
      </c>
      <c r="F7" t="s">
        <v>930</v>
      </c>
      <c r="G7" t="s">
        <v>80</v>
      </c>
      <c r="H7">
        <v>0.2</v>
      </c>
    </row>
    <row r="8" spans="1:8" x14ac:dyDescent="0.3">
      <c r="A8" s="3" t="s">
        <v>3850</v>
      </c>
      <c r="B8" t="s">
        <v>144</v>
      </c>
      <c r="C8" t="s">
        <v>145</v>
      </c>
      <c r="D8" t="s">
        <v>1660</v>
      </c>
      <c r="E8" t="s">
        <v>3851</v>
      </c>
      <c r="F8" s="4" t="s">
        <v>3851</v>
      </c>
      <c r="G8" t="s">
        <v>80</v>
      </c>
      <c r="H8">
        <v>0.2</v>
      </c>
    </row>
    <row r="9" spans="1:8" x14ac:dyDescent="0.3">
      <c r="A9" s="3" t="s">
        <v>1659</v>
      </c>
      <c r="B9" t="s">
        <v>144</v>
      </c>
      <c r="C9" t="s">
        <v>145</v>
      </c>
      <c r="D9" t="s">
        <v>1660</v>
      </c>
      <c r="E9" t="s">
        <v>1661</v>
      </c>
      <c r="F9" t="s">
        <v>1662</v>
      </c>
      <c r="G9" t="s">
        <v>80</v>
      </c>
      <c r="H9">
        <v>0.2</v>
      </c>
    </row>
    <row r="10" spans="1:8" x14ac:dyDescent="0.3">
      <c r="A10" s="3" t="s">
        <v>3159</v>
      </c>
      <c r="B10" t="s">
        <v>144</v>
      </c>
      <c r="C10" t="s">
        <v>145</v>
      </c>
      <c r="D10" t="s">
        <v>146</v>
      </c>
      <c r="E10" t="s">
        <v>146</v>
      </c>
      <c r="F10" t="s">
        <v>3852</v>
      </c>
      <c r="G10" t="s">
        <v>80</v>
      </c>
      <c r="H10">
        <v>0.2</v>
      </c>
    </row>
    <row r="11" spans="1:8" x14ac:dyDescent="0.3">
      <c r="A11" s="3" t="s">
        <v>3119</v>
      </c>
      <c r="B11" t="s">
        <v>144</v>
      </c>
      <c r="C11" t="s">
        <v>145</v>
      </c>
      <c r="D11" t="s">
        <v>3120</v>
      </c>
      <c r="E11" t="s">
        <v>3120</v>
      </c>
      <c r="F11" t="s">
        <v>3121</v>
      </c>
      <c r="G11" t="s">
        <v>80</v>
      </c>
      <c r="H11">
        <v>0.2</v>
      </c>
    </row>
    <row r="12" spans="1:8" x14ac:dyDescent="0.3">
      <c r="A12" s="3" t="s">
        <v>2924</v>
      </c>
      <c r="B12" t="s">
        <v>124</v>
      </c>
      <c r="C12" t="s">
        <v>2925</v>
      </c>
      <c r="D12" t="s">
        <v>1660</v>
      </c>
      <c r="E12" t="s">
        <v>2926</v>
      </c>
      <c r="F12" t="s">
        <v>2926</v>
      </c>
      <c r="G12" t="s">
        <v>80</v>
      </c>
      <c r="H12">
        <v>0.2</v>
      </c>
    </row>
    <row r="13" spans="1:8" x14ac:dyDescent="0.3">
      <c r="A13" s="3" t="s">
        <v>130</v>
      </c>
      <c r="B13" t="s">
        <v>124</v>
      </c>
      <c r="C13" t="s">
        <v>125</v>
      </c>
      <c r="D13" t="s">
        <v>126</v>
      </c>
      <c r="E13" t="s">
        <v>131</v>
      </c>
      <c r="F13" t="s">
        <v>102</v>
      </c>
      <c r="G13" t="s">
        <v>80</v>
      </c>
      <c r="H13">
        <v>0.1</v>
      </c>
    </row>
    <row r="14" spans="1:8" x14ac:dyDescent="0.3">
      <c r="A14" s="3" t="s">
        <v>628</v>
      </c>
      <c r="B14" t="s">
        <v>124</v>
      </c>
      <c r="C14" t="s">
        <v>125</v>
      </c>
      <c r="D14" t="s">
        <v>629</v>
      </c>
      <c r="E14" t="s">
        <v>136</v>
      </c>
      <c r="F14" t="s">
        <v>102</v>
      </c>
      <c r="G14" t="s">
        <v>80</v>
      </c>
      <c r="H14">
        <v>0.1</v>
      </c>
    </row>
    <row r="15" spans="1:8" x14ac:dyDescent="0.3">
      <c r="A15" s="3" t="s">
        <v>174</v>
      </c>
      <c r="B15" t="s">
        <v>124</v>
      </c>
      <c r="C15" t="s">
        <v>125</v>
      </c>
      <c r="D15" t="s">
        <v>177</v>
      </c>
      <c r="E15" t="s">
        <v>136</v>
      </c>
      <c r="F15" t="s">
        <v>102</v>
      </c>
      <c r="G15" t="s">
        <v>80</v>
      </c>
      <c r="H15">
        <v>0.1</v>
      </c>
    </row>
    <row r="16" spans="1:8" x14ac:dyDescent="0.3">
      <c r="A16" s="3" t="s">
        <v>181</v>
      </c>
      <c r="B16" t="s">
        <v>183</v>
      </c>
      <c r="C16" t="s">
        <v>184</v>
      </c>
      <c r="D16" t="s">
        <v>185</v>
      </c>
      <c r="E16" t="s">
        <v>186</v>
      </c>
      <c r="F16" s="5" t="s">
        <v>102</v>
      </c>
      <c r="G16" t="s">
        <v>80</v>
      </c>
      <c r="H16">
        <v>0.1</v>
      </c>
    </row>
    <row r="17" spans="1:8" x14ac:dyDescent="0.3">
      <c r="A17" s="3" t="s">
        <v>134</v>
      </c>
      <c r="B17" t="s">
        <v>124</v>
      </c>
      <c r="C17" t="s">
        <v>125</v>
      </c>
      <c r="D17" t="s">
        <v>135</v>
      </c>
      <c r="E17" t="s">
        <v>136</v>
      </c>
      <c r="F17" t="s">
        <v>102</v>
      </c>
      <c r="G17" t="s">
        <v>80</v>
      </c>
      <c r="H17">
        <v>0.1</v>
      </c>
    </row>
    <row r="18" spans="1:8" x14ac:dyDescent="0.3">
      <c r="A18" s="3" t="s">
        <v>598</v>
      </c>
      <c r="B18" t="s">
        <v>183</v>
      </c>
      <c r="C18" t="s">
        <v>184</v>
      </c>
      <c r="D18" t="s">
        <v>492</v>
      </c>
      <c r="E18" t="s">
        <v>186</v>
      </c>
      <c r="F18" s="5" t="s">
        <v>102</v>
      </c>
      <c r="G18" t="s">
        <v>80</v>
      </c>
      <c r="H18">
        <v>0.1</v>
      </c>
    </row>
    <row r="19" spans="1:8" x14ac:dyDescent="0.3">
      <c r="A19" s="3" t="s">
        <v>1164</v>
      </c>
      <c r="B19" t="s">
        <v>124</v>
      </c>
      <c r="C19" t="s">
        <v>125</v>
      </c>
      <c r="D19" t="s">
        <v>126</v>
      </c>
      <c r="E19" t="s">
        <v>131</v>
      </c>
      <c r="F19" t="s">
        <v>1165</v>
      </c>
      <c r="G19" t="s">
        <v>80</v>
      </c>
      <c r="H19">
        <v>0.1</v>
      </c>
    </row>
    <row r="20" spans="1:8" x14ac:dyDescent="0.3">
      <c r="A20" s="3" t="s">
        <v>3829</v>
      </c>
      <c r="B20" s="6" t="s">
        <v>98</v>
      </c>
      <c r="C20" s="6" t="s">
        <v>3830</v>
      </c>
      <c r="D20" t="s">
        <v>185</v>
      </c>
      <c r="E20" t="s">
        <v>3831</v>
      </c>
      <c r="F20" t="s">
        <v>3832</v>
      </c>
      <c r="G20" t="s">
        <v>80</v>
      </c>
      <c r="H20">
        <v>0.2</v>
      </c>
    </row>
    <row r="21" spans="1:8" x14ac:dyDescent="0.3">
      <c r="A21" s="3" t="s">
        <v>3779</v>
      </c>
      <c r="B21" t="s">
        <v>1135</v>
      </c>
      <c r="C21" t="s">
        <v>3065</v>
      </c>
      <c r="D21" t="s">
        <v>114</v>
      </c>
      <c r="E21" t="s">
        <v>3780</v>
      </c>
      <c r="F21" s="5" t="s">
        <v>3781</v>
      </c>
      <c r="G21" t="s">
        <v>80</v>
      </c>
      <c r="H21">
        <v>0.2</v>
      </c>
    </row>
    <row r="22" spans="1:8" x14ac:dyDescent="0.3">
      <c r="A22" s="3" t="s">
        <v>527</v>
      </c>
      <c r="B22" t="s">
        <v>144</v>
      </c>
      <c r="C22" t="s">
        <v>145</v>
      </c>
      <c r="D22" t="s">
        <v>86</v>
      </c>
      <c r="E22" t="s">
        <v>528</v>
      </c>
      <c r="F22" t="s">
        <v>529</v>
      </c>
      <c r="G22" t="s">
        <v>80</v>
      </c>
      <c r="H22">
        <v>0.1</v>
      </c>
    </row>
    <row r="23" spans="1:8" x14ac:dyDescent="0.3">
      <c r="A23" s="3" t="s">
        <v>1899</v>
      </c>
      <c r="B23" t="s">
        <v>144</v>
      </c>
      <c r="C23" t="s">
        <v>145</v>
      </c>
      <c r="D23" t="s">
        <v>192</v>
      </c>
      <c r="E23" t="s">
        <v>1900</v>
      </c>
      <c r="F23" t="s">
        <v>102</v>
      </c>
      <c r="G23" t="s">
        <v>80</v>
      </c>
      <c r="H23">
        <v>0.1</v>
      </c>
    </row>
    <row r="24" spans="1:8" x14ac:dyDescent="0.3">
      <c r="A24" s="3" t="s">
        <v>800</v>
      </c>
      <c r="B24" t="s">
        <v>144</v>
      </c>
      <c r="C24" t="s">
        <v>145</v>
      </c>
      <c r="D24" t="s">
        <v>499</v>
      </c>
      <c r="E24" t="s">
        <v>801</v>
      </c>
      <c r="F24" t="s">
        <v>102</v>
      </c>
      <c r="G24" t="s">
        <v>80</v>
      </c>
      <c r="H24">
        <v>0.1</v>
      </c>
    </row>
    <row r="25" spans="1:8" x14ac:dyDescent="0.3">
      <c r="A25" s="3" t="s">
        <v>1090</v>
      </c>
      <c r="B25" t="s">
        <v>144</v>
      </c>
      <c r="C25" t="s">
        <v>145</v>
      </c>
      <c r="D25" t="s">
        <v>636</v>
      </c>
      <c r="E25" t="s">
        <v>1091</v>
      </c>
      <c r="F25" t="s">
        <v>102</v>
      </c>
      <c r="G25" t="s">
        <v>80</v>
      </c>
      <c r="H25">
        <v>0.1</v>
      </c>
    </row>
    <row r="26" spans="1:8" x14ac:dyDescent="0.3">
      <c r="A26" s="3" t="s">
        <v>911</v>
      </c>
      <c r="B26" t="s">
        <v>144</v>
      </c>
      <c r="C26" t="s">
        <v>145</v>
      </c>
      <c r="D26" t="s">
        <v>270</v>
      </c>
      <c r="E26" t="s">
        <v>912</v>
      </c>
      <c r="F26" t="s">
        <v>102</v>
      </c>
      <c r="G26" t="s">
        <v>80</v>
      </c>
      <c r="H26">
        <v>0.1</v>
      </c>
    </row>
    <row r="27" spans="1:8" x14ac:dyDescent="0.3">
      <c r="A27" s="3" t="s">
        <v>582</v>
      </c>
      <c r="B27" t="s">
        <v>144</v>
      </c>
      <c r="C27" t="s">
        <v>145</v>
      </c>
      <c r="D27" t="s">
        <v>328</v>
      </c>
      <c r="E27" t="s">
        <v>2528</v>
      </c>
      <c r="F27" t="s">
        <v>102</v>
      </c>
      <c r="G27" t="s">
        <v>80</v>
      </c>
      <c r="H27">
        <v>0.1</v>
      </c>
    </row>
    <row r="28" spans="1:8" x14ac:dyDescent="0.3">
      <c r="A28" s="3" t="s">
        <v>1513</v>
      </c>
      <c r="B28" t="s">
        <v>144</v>
      </c>
      <c r="C28" t="s">
        <v>145</v>
      </c>
      <c r="D28" t="s">
        <v>499</v>
      </c>
      <c r="E28" t="s">
        <v>1514</v>
      </c>
      <c r="F28" t="s">
        <v>529</v>
      </c>
      <c r="G28" t="s">
        <v>80</v>
      </c>
      <c r="H28">
        <v>0.1</v>
      </c>
    </row>
    <row r="29" spans="1:8" x14ac:dyDescent="0.3">
      <c r="A29" s="3" t="s">
        <v>334</v>
      </c>
      <c r="B29" t="s">
        <v>144</v>
      </c>
      <c r="C29" t="s">
        <v>145</v>
      </c>
      <c r="D29" t="s">
        <v>278</v>
      </c>
      <c r="E29" t="s">
        <v>335</v>
      </c>
      <c r="F29" t="s">
        <v>102</v>
      </c>
      <c r="G29" t="s">
        <v>80</v>
      </c>
      <c r="H29">
        <v>0.1</v>
      </c>
    </row>
    <row r="30" spans="1:8" x14ac:dyDescent="0.3">
      <c r="A30" s="3" t="s">
        <v>902</v>
      </c>
      <c r="B30" t="s">
        <v>144</v>
      </c>
      <c r="C30" t="s">
        <v>145</v>
      </c>
      <c r="D30" t="s">
        <v>192</v>
      </c>
      <c r="E30" t="s">
        <v>903</v>
      </c>
      <c r="F30" t="s">
        <v>102</v>
      </c>
      <c r="G30" t="s">
        <v>80</v>
      </c>
      <c r="H30">
        <v>0.1</v>
      </c>
    </row>
    <row r="31" spans="1:8" x14ac:dyDescent="0.3">
      <c r="A31" s="3" t="s">
        <v>1593</v>
      </c>
      <c r="B31" t="s">
        <v>144</v>
      </c>
      <c r="C31" t="s">
        <v>145</v>
      </c>
      <c r="D31" t="s">
        <v>192</v>
      </c>
      <c r="E31" t="s">
        <v>1976</v>
      </c>
      <c r="F31" t="s">
        <v>1977</v>
      </c>
      <c r="G31" t="s">
        <v>80</v>
      </c>
      <c r="H31">
        <v>0.1</v>
      </c>
    </row>
    <row r="32" spans="1:8" x14ac:dyDescent="0.3">
      <c r="A32" s="3" t="s">
        <v>512</v>
      </c>
      <c r="B32" s="6" t="s">
        <v>98</v>
      </c>
      <c r="C32" s="6" t="s">
        <v>99</v>
      </c>
      <c r="D32" t="s">
        <v>100</v>
      </c>
      <c r="E32" t="s">
        <v>101</v>
      </c>
      <c r="F32" t="s">
        <v>87</v>
      </c>
      <c r="G32" t="s">
        <v>80</v>
      </c>
      <c r="H32">
        <v>0.2</v>
      </c>
    </row>
    <row r="33" spans="1:8" x14ac:dyDescent="0.3">
      <c r="A33" s="3" t="s">
        <v>468</v>
      </c>
      <c r="B33" t="s">
        <v>144</v>
      </c>
      <c r="C33" t="s">
        <v>145</v>
      </c>
      <c r="D33" t="s">
        <v>278</v>
      </c>
      <c r="E33" t="s">
        <v>469</v>
      </c>
      <c r="F33" t="s">
        <v>87</v>
      </c>
      <c r="G33" t="s">
        <v>80</v>
      </c>
      <c r="H33">
        <v>0.2</v>
      </c>
    </row>
    <row r="34" spans="1:8" x14ac:dyDescent="0.3">
      <c r="A34" s="3" t="s">
        <v>460</v>
      </c>
      <c r="B34" t="s">
        <v>461</v>
      </c>
      <c r="C34" t="s">
        <v>145</v>
      </c>
      <c r="D34" t="s">
        <v>120</v>
      </c>
      <c r="E34" t="s">
        <v>343</v>
      </c>
      <c r="F34" s="5" t="s">
        <v>87</v>
      </c>
      <c r="G34" t="s">
        <v>80</v>
      </c>
      <c r="H34">
        <v>0.2</v>
      </c>
    </row>
    <row r="35" spans="1:8" x14ac:dyDescent="0.3">
      <c r="A35" s="3" t="s">
        <v>825</v>
      </c>
      <c r="B35" t="s">
        <v>244</v>
      </c>
      <c r="C35" t="s">
        <v>827</v>
      </c>
      <c r="D35" t="s">
        <v>629</v>
      </c>
      <c r="E35" t="s">
        <v>828</v>
      </c>
      <c r="F35" s="5" t="s">
        <v>87</v>
      </c>
      <c r="G35" t="s">
        <v>80</v>
      </c>
      <c r="H35">
        <v>0.2</v>
      </c>
    </row>
    <row r="36" spans="1:8" x14ac:dyDescent="0.3">
      <c r="A36" s="3" t="s">
        <v>2204</v>
      </c>
      <c r="B36" t="s">
        <v>144</v>
      </c>
      <c r="C36" t="s">
        <v>145</v>
      </c>
      <c r="D36" t="s">
        <v>499</v>
      </c>
      <c r="E36" t="s">
        <v>2205</v>
      </c>
      <c r="F36" t="s">
        <v>2206</v>
      </c>
      <c r="G36" t="s">
        <v>80</v>
      </c>
      <c r="H36">
        <v>0.2</v>
      </c>
    </row>
    <row r="37" spans="1:8" x14ac:dyDescent="0.3">
      <c r="A37" s="3" t="s">
        <v>2801</v>
      </c>
      <c r="B37" s="6" t="s">
        <v>634</v>
      </c>
      <c r="C37" s="6" t="s">
        <v>635</v>
      </c>
      <c r="D37" t="s">
        <v>636</v>
      </c>
      <c r="E37" t="s">
        <v>637</v>
      </c>
      <c r="F37" s="5" t="s">
        <v>87</v>
      </c>
      <c r="G37" t="s">
        <v>80</v>
      </c>
      <c r="H37">
        <v>0.2</v>
      </c>
    </row>
    <row r="38" spans="1:8" x14ac:dyDescent="0.3">
      <c r="A38" s="3" t="s">
        <v>1523</v>
      </c>
      <c r="B38" t="s">
        <v>144</v>
      </c>
      <c r="C38" t="s">
        <v>145</v>
      </c>
      <c r="D38" t="s">
        <v>120</v>
      </c>
      <c r="E38" t="s">
        <v>164</v>
      </c>
      <c r="F38" t="s">
        <v>1524</v>
      </c>
      <c r="G38" t="s">
        <v>80</v>
      </c>
      <c r="H38">
        <v>0.1</v>
      </c>
    </row>
    <row r="39" spans="1:8" x14ac:dyDescent="0.3">
      <c r="A39" s="3" t="s">
        <v>1436</v>
      </c>
      <c r="B39" t="s">
        <v>361</v>
      </c>
      <c r="C39" t="s">
        <v>1437</v>
      </c>
      <c r="D39" t="s">
        <v>114</v>
      </c>
      <c r="E39" t="s">
        <v>1437</v>
      </c>
      <c r="F39" s="5" t="s">
        <v>87</v>
      </c>
      <c r="G39" t="s">
        <v>80</v>
      </c>
      <c r="H39">
        <v>0.2</v>
      </c>
    </row>
    <row r="40" spans="1:8" x14ac:dyDescent="0.3">
      <c r="A40" s="3" t="s">
        <v>3819</v>
      </c>
      <c r="B40" s="6" t="s">
        <v>634</v>
      </c>
      <c r="C40" s="6" t="s">
        <v>635</v>
      </c>
      <c r="D40" t="s">
        <v>636</v>
      </c>
      <c r="E40" t="s">
        <v>637</v>
      </c>
      <c r="F40" s="5" t="s">
        <v>3790</v>
      </c>
      <c r="G40" t="s">
        <v>80</v>
      </c>
      <c r="H40">
        <v>0.2</v>
      </c>
    </row>
    <row r="41" spans="1:8" x14ac:dyDescent="0.3">
      <c r="A41" s="3" t="s">
        <v>3841</v>
      </c>
      <c r="B41" s="6" t="s">
        <v>98</v>
      </c>
      <c r="C41" s="6" t="s">
        <v>859</v>
      </c>
      <c r="D41" t="s">
        <v>100</v>
      </c>
      <c r="E41" t="s">
        <v>3906</v>
      </c>
      <c r="F41" s="5" t="s">
        <v>3842</v>
      </c>
      <c r="G41" t="s">
        <v>80</v>
      </c>
      <c r="H41">
        <v>0.2</v>
      </c>
    </row>
    <row r="42" spans="1:8" x14ac:dyDescent="0.3">
      <c r="A42" s="3" t="s">
        <v>2726</v>
      </c>
      <c r="B42" t="s">
        <v>183</v>
      </c>
      <c r="C42" t="s">
        <v>2727</v>
      </c>
      <c r="D42" t="s">
        <v>492</v>
      </c>
      <c r="E42" t="s">
        <v>2728</v>
      </c>
      <c r="F42" s="5" t="s">
        <v>271</v>
      </c>
      <c r="G42" t="s">
        <v>80</v>
      </c>
      <c r="H42">
        <v>0.2</v>
      </c>
    </row>
    <row r="43" spans="1:8" x14ac:dyDescent="0.3">
      <c r="A43" s="3" t="s">
        <v>3833</v>
      </c>
      <c r="B43" s="6" t="s">
        <v>98</v>
      </c>
      <c r="C43" s="6" t="s">
        <v>99</v>
      </c>
      <c r="D43" t="s">
        <v>100</v>
      </c>
      <c r="E43" t="s">
        <v>101</v>
      </c>
      <c r="F43" t="s">
        <v>151</v>
      </c>
      <c r="G43" t="s">
        <v>80</v>
      </c>
      <c r="H43">
        <v>0.2</v>
      </c>
    </row>
    <row r="44" spans="1:8" x14ac:dyDescent="0.3">
      <c r="A44" s="3" t="s">
        <v>3782</v>
      </c>
      <c r="B44" t="s">
        <v>1135</v>
      </c>
      <c r="C44" t="s">
        <v>3783</v>
      </c>
      <c r="D44" t="s">
        <v>100</v>
      </c>
      <c r="E44" t="s">
        <v>3784</v>
      </c>
      <c r="F44" s="5" t="s">
        <v>151</v>
      </c>
      <c r="G44" t="s">
        <v>80</v>
      </c>
      <c r="H44">
        <v>0.2</v>
      </c>
    </row>
    <row r="45" spans="1:8" x14ac:dyDescent="0.3">
      <c r="A45" s="3" t="s">
        <v>95</v>
      </c>
      <c r="B45" s="6" t="s">
        <v>98</v>
      </c>
      <c r="C45" s="6" t="s">
        <v>99</v>
      </c>
      <c r="D45" t="s">
        <v>100</v>
      </c>
      <c r="E45" t="s">
        <v>101</v>
      </c>
      <c r="F45" t="s">
        <v>102</v>
      </c>
      <c r="G45" t="s">
        <v>80</v>
      </c>
      <c r="H45">
        <v>0.1</v>
      </c>
    </row>
    <row r="46" spans="1:8" x14ac:dyDescent="0.3">
      <c r="A46" s="3" t="s">
        <v>3834</v>
      </c>
      <c r="B46" s="6" t="s">
        <v>98</v>
      </c>
      <c r="C46" s="6" t="s">
        <v>3830</v>
      </c>
      <c r="D46" t="s">
        <v>100</v>
      </c>
      <c r="E46" t="s">
        <v>3831</v>
      </c>
      <c r="F46" t="s">
        <v>3835</v>
      </c>
      <c r="G46" t="s">
        <v>80</v>
      </c>
      <c r="H46">
        <v>0.1</v>
      </c>
    </row>
    <row r="47" spans="1:8" x14ac:dyDescent="0.3">
      <c r="A47" s="3" t="s">
        <v>3785</v>
      </c>
      <c r="B47" t="s">
        <v>1135</v>
      </c>
      <c r="C47" t="s">
        <v>3783</v>
      </c>
      <c r="D47" t="s">
        <v>100</v>
      </c>
      <c r="E47" t="s">
        <v>3784</v>
      </c>
      <c r="F47" s="5" t="s">
        <v>271</v>
      </c>
      <c r="G47" t="s">
        <v>80</v>
      </c>
      <c r="H47">
        <v>0.2</v>
      </c>
    </row>
    <row r="48" spans="1:8" x14ac:dyDescent="0.3">
      <c r="A48" s="3" t="s">
        <v>2951</v>
      </c>
      <c r="B48" s="6" t="s">
        <v>98</v>
      </c>
      <c r="C48" s="6" t="s">
        <v>99</v>
      </c>
      <c r="D48" t="s">
        <v>100</v>
      </c>
      <c r="E48" t="s">
        <v>101</v>
      </c>
      <c r="F48" t="s">
        <v>271</v>
      </c>
      <c r="G48" t="s">
        <v>80</v>
      </c>
      <c r="H48">
        <v>0.2</v>
      </c>
    </row>
    <row r="49" spans="1:8" x14ac:dyDescent="0.3">
      <c r="A49" s="3" t="s">
        <v>543</v>
      </c>
      <c r="B49" t="s">
        <v>183</v>
      </c>
      <c r="C49" t="s">
        <v>544</v>
      </c>
      <c r="D49" t="s">
        <v>342</v>
      </c>
      <c r="E49" t="s">
        <v>544</v>
      </c>
      <c r="F49" s="5" t="s">
        <v>151</v>
      </c>
      <c r="G49" t="s">
        <v>80</v>
      </c>
      <c r="H49">
        <v>0.2</v>
      </c>
    </row>
    <row r="50" spans="1:8" x14ac:dyDescent="0.3">
      <c r="A50" s="3" t="s">
        <v>2455</v>
      </c>
      <c r="B50" t="s">
        <v>183</v>
      </c>
      <c r="C50" t="s">
        <v>2456</v>
      </c>
      <c r="D50" t="s">
        <v>342</v>
      </c>
      <c r="E50" t="s">
        <v>2456</v>
      </c>
      <c r="F50" t="s">
        <v>271</v>
      </c>
      <c r="G50" t="s">
        <v>80</v>
      </c>
      <c r="H50">
        <v>0.2</v>
      </c>
    </row>
    <row r="51" spans="1:8" x14ac:dyDescent="0.3">
      <c r="A51" s="3" t="s">
        <v>1035</v>
      </c>
      <c r="B51" t="s">
        <v>183</v>
      </c>
      <c r="C51" t="s">
        <v>544</v>
      </c>
      <c r="D51" t="s">
        <v>342</v>
      </c>
      <c r="E51" t="s">
        <v>544</v>
      </c>
      <c r="F51" s="5" t="s">
        <v>271</v>
      </c>
      <c r="G51" t="s">
        <v>80</v>
      </c>
      <c r="H51">
        <v>0.2</v>
      </c>
    </row>
    <row r="52" spans="1:8" x14ac:dyDescent="0.3">
      <c r="A52" s="3" t="s">
        <v>3805</v>
      </c>
      <c r="B52" t="s">
        <v>3806</v>
      </c>
      <c r="C52" t="s">
        <v>3807</v>
      </c>
      <c r="D52" t="s">
        <v>246</v>
      </c>
      <c r="E52" t="s">
        <v>3807</v>
      </c>
      <c r="F52" s="5" t="s">
        <v>151</v>
      </c>
      <c r="G52" t="s">
        <v>80</v>
      </c>
      <c r="H52">
        <v>0.2</v>
      </c>
    </row>
    <row r="53" spans="1:8" x14ac:dyDescent="0.3">
      <c r="A53" s="3" t="s">
        <v>240</v>
      </c>
      <c r="B53" t="s">
        <v>244</v>
      </c>
      <c r="C53" t="s">
        <v>245</v>
      </c>
      <c r="D53" t="s">
        <v>246</v>
      </c>
      <c r="E53" t="s">
        <v>247</v>
      </c>
      <c r="F53" s="5" t="s">
        <v>151</v>
      </c>
      <c r="G53" t="s">
        <v>80</v>
      </c>
      <c r="H53">
        <v>0.2</v>
      </c>
    </row>
    <row r="54" spans="1:8" x14ac:dyDescent="0.3">
      <c r="A54" s="3" t="s">
        <v>3620</v>
      </c>
      <c r="B54" t="s">
        <v>3621</v>
      </c>
      <c r="C54" t="s">
        <v>3622</v>
      </c>
      <c r="D54" t="s">
        <v>246</v>
      </c>
      <c r="E54" t="s">
        <v>637</v>
      </c>
      <c r="F54" s="5" t="s">
        <v>151</v>
      </c>
      <c r="G54" t="s">
        <v>80</v>
      </c>
      <c r="H54">
        <v>0.2</v>
      </c>
    </row>
    <row r="55" spans="1:8" x14ac:dyDescent="0.3">
      <c r="A55" s="3" t="s">
        <v>872</v>
      </c>
      <c r="B55" t="s">
        <v>124</v>
      </c>
      <c r="C55" t="s">
        <v>235</v>
      </c>
      <c r="D55" t="s">
        <v>246</v>
      </c>
      <c r="E55" t="s">
        <v>284</v>
      </c>
      <c r="F55" s="5" t="s">
        <v>873</v>
      </c>
      <c r="G55" t="s">
        <v>80</v>
      </c>
      <c r="H55">
        <v>0.2</v>
      </c>
    </row>
    <row r="56" spans="1:8" x14ac:dyDescent="0.3">
      <c r="A56" s="3" t="s">
        <v>819</v>
      </c>
      <c r="B56" s="6" t="s">
        <v>361</v>
      </c>
      <c r="C56" s="6" t="s">
        <v>820</v>
      </c>
      <c r="D56" t="s">
        <v>246</v>
      </c>
      <c r="E56" t="s">
        <v>821</v>
      </c>
      <c r="F56" s="5" t="s">
        <v>151</v>
      </c>
      <c r="G56" t="s">
        <v>80</v>
      </c>
      <c r="H56">
        <v>0.2</v>
      </c>
    </row>
    <row r="57" spans="1:8" x14ac:dyDescent="0.3">
      <c r="A57" s="3" t="s">
        <v>3802</v>
      </c>
      <c r="B57" t="s">
        <v>244</v>
      </c>
      <c r="C57" t="s">
        <v>245</v>
      </c>
      <c r="D57" t="s">
        <v>246</v>
      </c>
      <c r="E57" t="s">
        <v>247</v>
      </c>
      <c r="F57" s="5" t="s">
        <v>271</v>
      </c>
      <c r="G57" t="s">
        <v>80</v>
      </c>
      <c r="H57">
        <v>0.2</v>
      </c>
    </row>
    <row r="58" spans="1:8" x14ac:dyDescent="0.3">
      <c r="A58" s="3" t="s">
        <v>2831</v>
      </c>
      <c r="B58" t="s">
        <v>183</v>
      </c>
      <c r="C58" t="s">
        <v>2456</v>
      </c>
      <c r="D58" t="s">
        <v>342</v>
      </c>
      <c r="E58" t="s">
        <v>2456</v>
      </c>
      <c r="F58" t="s">
        <v>151</v>
      </c>
      <c r="G58" t="s">
        <v>80</v>
      </c>
      <c r="H58">
        <v>0.2</v>
      </c>
    </row>
    <row r="59" spans="1:8" x14ac:dyDescent="0.3">
      <c r="A59" s="3" t="s">
        <v>1740</v>
      </c>
      <c r="B59" t="s">
        <v>144</v>
      </c>
      <c r="C59" t="s">
        <v>145</v>
      </c>
      <c r="D59" t="s">
        <v>342</v>
      </c>
      <c r="E59" t="s">
        <v>1741</v>
      </c>
      <c r="F59" t="s">
        <v>87</v>
      </c>
      <c r="G59" t="s">
        <v>80</v>
      </c>
      <c r="H59">
        <v>0.2</v>
      </c>
    </row>
    <row r="60" spans="1:8" x14ac:dyDescent="0.3">
      <c r="A60" s="3" t="s">
        <v>3843</v>
      </c>
      <c r="B60" t="s">
        <v>3844</v>
      </c>
      <c r="C60" t="s">
        <v>3845</v>
      </c>
      <c r="D60" t="s">
        <v>342</v>
      </c>
      <c r="E60" t="s">
        <v>3846</v>
      </c>
      <c r="F60" t="s">
        <v>151</v>
      </c>
      <c r="G60" t="s">
        <v>80</v>
      </c>
      <c r="H60">
        <v>0.2</v>
      </c>
    </row>
    <row r="61" spans="1:8" x14ac:dyDescent="0.3">
      <c r="A61" s="3" t="s">
        <v>2129</v>
      </c>
      <c r="B61" t="s">
        <v>634</v>
      </c>
      <c r="C61" t="s">
        <v>2130</v>
      </c>
      <c r="D61" t="s">
        <v>342</v>
      </c>
      <c r="E61" t="s">
        <v>2130</v>
      </c>
      <c r="F61" s="5" t="s">
        <v>151</v>
      </c>
      <c r="G61" t="s">
        <v>80</v>
      </c>
      <c r="H61">
        <v>0.2</v>
      </c>
    </row>
    <row r="62" spans="1:8" x14ac:dyDescent="0.3">
      <c r="A62" s="3" t="s">
        <v>3847</v>
      </c>
      <c r="B62" t="s">
        <v>3844</v>
      </c>
      <c r="C62" t="s">
        <v>3845</v>
      </c>
      <c r="D62" t="s">
        <v>342</v>
      </c>
      <c r="E62" t="s">
        <v>3846</v>
      </c>
      <c r="F62" t="s">
        <v>271</v>
      </c>
      <c r="G62" t="s">
        <v>80</v>
      </c>
      <c r="H62">
        <v>0.2</v>
      </c>
    </row>
    <row r="63" spans="1:8" x14ac:dyDescent="0.3">
      <c r="A63" s="3" t="s">
        <v>360</v>
      </c>
      <c r="B63" s="6" t="s">
        <v>361</v>
      </c>
      <c r="C63" s="6" t="s">
        <v>362</v>
      </c>
      <c r="D63" t="s">
        <v>114</v>
      </c>
      <c r="E63" t="s">
        <v>363</v>
      </c>
      <c r="F63" s="5" t="s">
        <v>151</v>
      </c>
      <c r="G63" t="s">
        <v>80</v>
      </c>
      <c r="H63">
        <v>0.2</v>
      </c>
    </row>
    <row r="64" spans="1:8" x14ac:dyDescent="0.3">
      <c r="A64" s="3" t="s">
        <v>3803</v>
      </c>
      <c r="B64" t="s">
        <v>244</v>
      </c>
      <c r="C64" t="s">
        <v>827</v>
      </c>
      <c r="D64" t="s">
        <v>629</v>
      </c>
      <c r="E64" t="s">
        <v>828</v>
      </c>
      <c r="F64" s="5" t="s">
        <v>271</v>
      </c>
      <c r="G64" t="s">
        <v>80</v>
      </c>
      <c r="H64">
        <v>0.2</v>
      </c>
    </row>
    <row r="65" spans="1:8" x14ac:dyDescent="0.3">
      <c r="A65" s="3" t="s">
        <v>3093</v>
      </c>
      <c r="B65" t="s">
        <v>461</v>
      </c>
      <c r="C65" t="s">
        <v>1201</v>
      </c>
      <c r="D65" t="s">
        <v>120</v>
      </c>
      <c r="E65" t="s">
        <v>1201</v>
      </c>
      <c r="F65" s="5" t="s">
        <v>271</v>
      </c>
      <c r="G65" t="s">
        <v>80</v>
      </c>
      <c r="H65">
        <v>0.2</v>
      </c>
    </row>
    <row r="66" spans="1:8" x14ac:dyDescent="0.3">
      <c r="A66" s="3" t="s">
        <v>1200</v>
      </c>
      <c r="B66" t="s">
        <v>461</v>
      </c>
      <c r="C66" t="s">
        <v>1201</v>
      </c>
      <c r="D66" t="s">
        <v>120</v>
      </c>
      <c r="E66" t="s">
        <v>1201</v>
      </c>
      <c r="F66" s="5" t="s">
        <v>151</v>
      </c>
      <c r="G66" t="s">
        <v>80</v>
      </c>
      <c r="H66">
        <v>0.2</v>
      </c>
    </row>
    <row r="67" spans="1:8" x14ac:dyDescent="0.3">
      <c r="A67" s="3" t="s">
        <v>2351</v>
      </c>
      <c r="B67" t="s">
        <v>244</v>
      </c>
      <c r="C67" t="s">
        <v>2352</v>
      </c>
      <c r="D67" t="s">
        <v>629</v>
      </c>
      <c r="E67" t="s">
        <v>2352</v>
      </c>
      <c r="F67" s="5" t="s">
        <v>151</v>
      </c>
      <c r="G67" t="s">
        <v>80</v>
      </c>
      <c r="H67">
        <v>0.2</v>
      </c>
    </row>
    <row r="68" spans="1:8" x14ac:dyDescent="0.3">
      <c r="A68" s="3" t="s">
        <v>325</v>
      </c>
      <c r="B68" t="s">
        <v>98</v>
      </c>
      <c r="C68" t="s">
        <v>327</v>
      </c>
      <c r="D68" t="s">
        <v>328</v>
      </c>
      <c r="E68" t="s">
        <v>327</v>
      </c>
      <c r="F68" t="s">
        <v>330</v>
      </c>
      <c r="G68" t="s">
        <v>80</v>
      </c>
      <c r="H68">
        <v>0.2</v>
      </c>
    </row>
    <row r="69" spans="1:8" x14ac:dyDescent="0.3">
      <c r="A69" s="3" t="s">
        <v>3836</v>
      </c>
      <c r="B69" s="6" t="s">
        <v>98</v>
      </c>
      <c r="C69" s="6" t="s">
        <v>3830</v>
      </c>
      <c r="D69" t="s">
        <v>328</v>
      </c>
      <c r="E69" t="s">
        <v>3831</v>
      </c>
      <c r="F69" t="s">
        <v>3837</v>
      </c>
      <c r="G69" t="s">
        <v>80</v>
      </c>
      <c r="H69">
        <v>0.2</v>
      </c>
    </row>
    <row r="70" spans="1:8" x14ac:dyDescent="0.3">
      <c r="A70" s="3" t="s">
        <v>3820</v>
      </c>
      <c r="B70" s="6" t="s">
        <v>634</v>
      </c>
      <c r="C70" s="6" t="s">
        <v>3821</v>
      </c>
      <c r="D70" t="s">
        <v>636</v>
      </c>
      <c r="E70" t="s">
        <v>3822</v>
      </c>
      <c r="F70" t="s">
        <v>3823</v>
      </c>
      <c r="G70" t="s">
        <v>80</v>
      </c>
      <c r="H70">
        <v>0.2</v>
      </c>
    </row>
    <row r="71" spans="1:8" x14ac:dyDescent="0.3">
      <c r="A71" s="3" t="s">
        <v>3786</v>
      </c>
      <c r="B71" t="s">
        <v>1135</v>
      </c>
      <c r="C71" t="s">
        <v>3065</v>
      </c>
      <c r="D71" t="s">
        <v>114</v>
      </c>
      <c r="E71" t="s">
        <v>3780</v>
      </c>
      <c r="F71" s="5" t="s">
        <v>3787</v>
      </c>
      <c r="G71" t="s">
        <v>80</v>
      </c>
      <c r="H71">
        <v>0.2</v>
      </c>
    </row>
    <row r="72" spans="1:8" x14ac:dyDescent="0.3">
      <c r="A72" s="3" t="s">
        <v>3791</v>
      </c>
      <c r="B72" t="s">
        <v>183</v>
      </c>
      <c r="C72" t="s">
        <v>3792</v>
      </c>
      <c r="D72" t="s">
        <v>342</v>
      </c>
      <c r="E72" t="s">
        <v>3793</v>
      </c>
      <c r="F72" s="5" t="s">
        <v>3794</v>
      </c>
      <c r="G72" t="s">
        <v>80</v>
      </c>
      <c r="H72">
        <v>0.2</v>
      </c>
    </row>
    <row r="73" spans="1:8" x14ac:dyDescent="0.3">
      <c r="A73" s="3" t="s">
        <v>3795</v>
      </c>
      <c r="B73" t="s">
        <v>183</v>
      </c>
      <c r="C73" t="s">
        <v>3792</v>
      </c>
      <c r="D73" t="s">
        <v>492</v>
      </c>
      <c r="E73" t="s">
        <v>3793</v>
      </c>
      <c r="F73" s="5" t="s">
        <v>3796</v>
      </c>
      <c r="G73" t="s">
        <v>80</v>
      </c>
      <c r="H73">
        <v>0.2</v>
      </c>
    </row>
    <row r="74" spans="1:8" x14ac:dyDescent="0.3">
      <c r="A74" s="3" t="s">
        <v>3812</v>
      </c>
      <c r="B74" t="s">
        <v>361</v>
      </c>
      <c r="C74" t="s">
        <v>3813</v>
      </c>
      <c r="D74" t="s">
        <v>246</v>
      </c>
      <c r="E74" t="s">
        <v>3814</v>
      </c>
      <c r="F74" s="5" t="s">
        <v>271</v>
      </c>
      <c r="G74" t="s">
        <v>80</v>
      </c>
      <c r="H74">
        <v>0.2</v>
      </c>
    </row>
    <row r="75" spans="1:8" x14ac:dyDescent="0.3">
      <c r="A75" s="3" t="s">
        <v>3038</v>
      </c>
      <c r="B75" t="s">
        <v>98</v>
      </c>
      <c r="C75" t="s">
        <v>498</v>
      </c>
      <c r="D75" t="s">
        <v>328</v>
      </c>
      <c r="E75" t="s">
        <v>329</v>
      </c>
      <c r="F75" t="s">
        <v>151</v>
      </c>
      <c r="G75" t="s">
        <v>80</v>
      </c>
      <c r="H75">
        <v>0.2</v>
      </c>
    </row>
    <row r="76" spans="1:8" x14ac:dyDescent="0.3">
      <c r="A76" s="3" t="s">
        <v>3824</v>
      </c>
      <c r="B76" s="6" t="s">
        <v>634</v>
      </c>
      <c r="C76" s="6" t="s">
        <v>635</v>
      </c>
      <c r="D76" t="s">
        <v>636</v>
      </c>
      <c r="E76" t="s">
        <v>637</v>
      </c>
      <c r="F76" s="5" t="s">
        <v>271</v>
      </c>
      <c r="G76" t="s">
        <v>80</v>
      </c>
      <c r="H76">
        <v>0.2</v>
      </c>
    </row>
    <row r="77" spans="1:8" x14ac:dyDescent="0.3">
      <c r="A77" s="3" t="s">
        <v>3838</v>
      </c>
      <c r="B77" t="s">
        <v>98</v>
      </c>
      <c r="C77" t="s">
        <v>327</v>
      </c>
      <c r="D77" t="s">
        <v>328</v>
      </c>
      <c r="E77" t="s">
        <v>327</v>
      </c>
      <c r="F77" t="s">
        <v>271</v>
      </c>
      <c r="G77" t="s">
        <v>80</v>
      </c>
      <c r="H77">
        <v>0.2</v>
      </c>
    </row>
    <row r="78" spans="1:8" x14ac:dyDescent="0.3">
      <c r="A78" s="3" t="s">
        <v>1134</v>
      </c>
      <c r="B78" t="s">
        <v>1135</v>
      </c>
      <c r="C78" t="s">
        <v>1136</v>
      </c>
      <c r="D78" t="s">
        <v>135</v>
      </c>
      <c r="E78" t="s">
        <v>1137</v>
      </c>
      <c r="F78" s="5" t="s">
        <v>151</v>
      </c>
      <c r="G78" t="s">
        <v>80</v>
      </c>
      <c r="H78">
        <v>0.2</v>
      </c>
    </row>
    <row r="79" spans="1:8" x14ac:dyDescent="0.3">
      <c r="A79" s="3" t="s">
        <v>1288</v>
      </c>
      <c r="B79" t="s">
        <v>183</v>
      </c>
      <c r="C79" t="s">
        <v>544</v>
      </c>
      <c r="D79" t="s">
        <v>492</v>
      </c>
      <c r="E79" t="s">
        <v>544</v>
      </c>
      <c r="F79" s="5" t="s">
        <v>151</v>
      </c>
      <c r="G79" t="s">
        <v>80</v>
      </c>
      <c r="H79">
        <v>0.2</v>
      </c>
    </row>
    <row r="80" spans="1:8" x14ac:dyDescent="0.3">
      <c r="A80" s="3" t="s">
        <v>3799</v>
      </c>
      <c r="B80" t="s">
        <v>3800</v>
      </c>
      <c r="C80" t="s">
        <v>498</v>
      </c>
      <c r="D80" t="s">
        <v>636</v>
      </c>
      <c r="E80" t="s">
        <v>498</v>
      </c>
      <c r="F80" s="5" t="s">
        <v>3801</v>
      </c>
      <c r="G80" t="s">
        <v>80</v>
      </c>
      <c r="H80">
        <v>0.1</v>
      </c>
    </row>
    <row r="81" spans="1:8" x14ac:dyDescent="0.3">
      <c r="A81" s="3" t="s">
        <v>3788</v>
      </c>
      <c r="B81" t="s">
        <v>1135</v>
      </c>
      <c r="C81" t="s">
        <v>1136</v>
      </c>
      <c r="D81" t="s">
        <v>135</v>
      </c>
      <c r="E81" t="s">
        <v>1137</v>
      </c>
      <c r="F81" s="5" t="s">
        <v>271</v>
      </c>
      <c r="G81" t="s">
        <v>80</v>
      </c>
      <c r="H81">
        <v>0.2</v>
      </c>
    </row>
    <row r="82" spans="1:8" x14ac:dyDescent="0.3">
      <c r="A82" s="3" t="s">
        <v>3808</v>
      </c>
      <c r="B82" t="s">
        <v>3809</v>
      </c>
      <c r="C82" t="s">
        <v>3810</v>
      </c>
      <c r="D82" t="s">
        <v>636</v>
      </c>
      <c r="E82" t="s">
        <v>3810</v>
      </c>
      <c r="F82" t="s">
        <v>3811</v>
      </c>
      <c r="G82" t="s">
        <v>80</v>
      </c>
      <c r="H82">
        <v>0.1</v>
      </c>
    </row>
    <row r="83" spans="1:8" x14ac:dyDescent="0.3">
      <c r="A83" s="3" t="s">
        <v>3797</v>
      </c>
      <c r="B83" t="s">
        <v>183</v>
      </c>
      <c r="C83" t="s">
        <v>544</v>
      </c>
      <c r="D83" t="s">
        <v>492</v>
      </c>
      <c r="E83" t="s">
        <v>544</v>
      </c>
      <c r="F83" s="5" t="s">
        <v>3798</v>
      </c>
      <c r="G83" t="s">
        <v>80</v>
      </c>
      <c r="H83">
        <v>0.2</v>
      </c>
    </row>
    <row r="84" spans="1:8" x14ac:dyDescent="0.3">
      <c r="A84" s="3" t="s">
        <v>3804</v>
      </c>
      <c r="B84" t="s">
        <v>244</v>
      </c>
      <c r="C84" t="s">
        <v>827</v>
      </c>
      <c r="D84" t="s">
        <v>629</v>
      </c>
      <c r="E84" t="s">
        <v>828</v>
      </c>
      <c r="F84" s="5" t="s">
        <v>3509</v>
      </c>
      <c r="G84" t="s">
        <v>80</v>
      </c>
      <c r="H84">
        <v>0.2</v>
      </c>
    </row>
    <row r="85" spans="1:8" x14ac:dyDescent="0.3">
      <c r="A85" s="3" t="s">
        <v>633</v>
      </c>
      <c r="B85" s="6" t="s">
        <v>634</v>
      </c>
      <c r="C85" s="6" t="s">
        <v>635</v>
      </c>
      <c r="D85" t="s">
        <v>636</v>
      </c>
      <c r="E85" t="s">
        <v>637</v>
      </c>
      <c r="F85" s="5" t="s">
        <v>151</v>
      </c>
      <c r="G85" t="s">
        <v>80</v>
      </c>
      <c r="H85">
        <v>0.2</v>
      </c>
    </row>
    <row r="86" spans="1:8" x14ac:dyDescent="0.3">
      <c r="A86" s="3" t="s">
        <v>260</v>
      </c>
      <c r="B86" t="s">
        <v>84</v>
      </c>
      <c r="C86" t="s">
        <v>113</v>
      </c>
      <c r="D86" t="s">
        <v>86</v>
      </c>
      <c r="E86" t="s">
        <v>109</v>
      </c>
      <c r="F86" s="5" t="s">
        <v>109</v>
      </c>
      <c r="G86" t="s">
        <v>80</v>
      </c>
      <c r="H86">
        <v>0.1</v>
      </c>
    </row>
    <row r="87" spans="1:8" x14ac:dyDescent="0.3">
      <c r="A87" s="3" t="s">
        <v>123</v>
      </c>
      <c r="B87" t="s">
        <v>124</v>
      </c>
      <c r="C87" t="s">
        <v>125</v>
      </c>
      <c r="D87" t="s">
        <v>126</v>
      </c>
      <c r="E87" t="s">
        <v>109</v>
      </c>
      <c r="F87" s="5" t="s">
        <v>109</v>
      </c>
      <c r="G87" t="s">
        <v>80</v>
      </c>
      <c r="H87">
        <v>0.1</v>
      </c>
    </row>
    <row r="88" spans="1:8" x14ac:dyDescent="0.3">
      <c r="A88" s="3" t="s">
        <v>233</v>
      </c>
      <c r="B88" t="s">
        <v>124</v>
      </c>
      <c r="C88" t="s">
        <v>235</v>
      </c>
      <c r="D88" t="s">
        <v>177</v>
      </c>
      <c r="E88" t="s">
        <v>109</v>
      </c>
      <c r="F88" s="5" t="s">
        <v>109</v>
      </c>
      <c r="G88" t="s">
        <v>80</v>
      </c>
      <c r="H88">
        <v>0.1</v>
      </c>
    </row>
    <row r="89" spans="1:8" x14ac:dyDescent="0.3">
      <c r="A89" s="3" t="s">
        <v>413</v>
      </c>
      <c r="B89" t="s">
        <v>183</v>
      </c>
      <c r="C89" t="s">
        <v>184</v>
      </c>
      <c r="D89" t="s">
        <v>185</v>
      </c>
      <c r="E89" t="s">
        <v>109</v>
      </c>
      <c r="F89" s="5" t="s">
        <v>109</v>
      </c>
      <c r="G89" t="s">
        <v>80</v>
      </c>
      <c r="H89">
        <v>0.1</v>
      </c>
    </row>
    <row r="90" spans="1:8" x14ac:dyDescent="0.3">
      <c r="A90" s="3" t="s">
        <v>106</v>
      </c>
      <c r="B90" s="6" t="s">
        <v>98</v>
      </c>
      <c r="C90" s="6" t="s">
        <v>108</v>
      </c>
      <c r="D90" t="s">
        <v>100</v>
      </c>
      <c r="E90" t="s">
        <v>109</v>
      </c>
      <c r="F90" s="5" t="s">
        <v>109</v>
      </c>
      <c r="G90" t="s">
        <v>80</v>
      </c>
      <c r="H90">
        <v>0.1</v>
      </c>
    </row>
    <row r="91" spans="1:8" x14ac:dyDescent="0.3">
      <c r="A91" s="3" t="s">
        <v>1358</v>
      </c>
      <c r="B91" s="6" t="s">
        <v>98</v>
      </c>
      <c r="C91" s="6" t="s">
        <v>859</v>
      </c>
      <c r="D91" t="s">
        <v>100</v>
      </c>
      <c r="E91" t="s">
        <v>109</v>
      </c>
      <c r="F91" s="5" t="s">
        <v>109</v>
      </c>
      <c r="G91" t="s">
        <v>80</v>
      </c>
      <c r="H91">
        <v>0.2</v>
      </c>
    </row>
    <row r="92" spans="1:8" x14ac:dyDescent="0.3">
      <c r="A92" s="3" t="s">
        <v>3825</v>
      </c>
      <c r="B92" t="s">
        <v>634</v>
      </c>
      <c r="C92" t="s">
        <v>3826</v>
      </c>
      <c r="D92" t="s">
        <v>342</v>
      </c>
      <c r="E92" t="s">
        <v>3827</v>
      </c>
      <c r="F92" s="5" t="s">
        <v>3828</v>
      </c>
      <c r="G92" t="s">
        <v>80</v>
      </c>
      <c r="H92">
        <v>0.2</v>
      </c>
    </row>
    <row r="93" spans="1:8" x14ac:dyDescent="0.3">
      <c r="A93" s="3" t="s">
        <v>858</v>
      </c>
      <c r="B93" t="s">
        <v>98</v>
      </c>
      <c r="C93" t="s">
        <v>859</v>
      </c>
      <c r="D93" s="7" t="s">
        <v>100</v>
      </c>
      <c r="E93" t="s">
        <v>860</v>
      </c>
      <c r="F93" t="s">
        <v>87</v>
      </c>
      <c r="G93" t="s">
        <v>80</v>
      </c>
      <c r="H93">
        <v>0.2</v>
      </c>
    </row>
    <row r="94" spans="1:8" x14ac:dyDescent="0.3">
      <c r="A94" s="3" t="s">
        <v>2754</v>
      </c>
      <c r="B94" t="s">
        <v>98</v>
      </c>
      <c r="C94" t="s">
        <v>859</v>
      </c>
      <c r="D94" s="7" t="s">
        <v>100</v>
      </c>
      <c r="E94" t="s">
        <v>860</v>
      </c>
      <c r="F94" t="s">
        <v>2071</v>
      </c>
      <c r="G94" t="s">
        <v>2755</v>
      </c>
      <c r="H94">
        <v>0.2</v>
      </c>
    </row>
    <row r="95" spans="1:8" x14ac:dyDescent="0.3">
      <c r="A95" s="3" t="s">
        <v>3839</v>
      </c>
      <c r="B95" t="s">
        <v>98</v>
      </c>
      <c r="C95" t="s">
        <v>859</v>
      </c>
      <c r="D95" s="7" t="s">
        <v>100</v>
      </c>
      <c r="E95" t="s">
        <v>860</v>
      </c>
      <c r="F95" t="s">
        <v>3840</v>
      </c>
      <c r="G95" t="s">
        <v>3907</v>
      </c>
      <c r="H95">
        <v>0.2</v>
      </c>
    </row>
    <row r="96" spans="1:8" x14ac:dyDescent="0.3">
      <c r="A96" s="3" t="s">
        <v>3908</v>
      </c>
      <c r="B96" t="s">
        <v>144</v>
      </c>
      <c r="C96" t="s">
        <v>145</v>
      </c>
      <c r="D96" t="s">
        <v>192</v>
      </c>
      <c r="E96" t="s">
        <v>903</v>
      </c>
      <c r="F96" t="s">
        <v>529</v>
      </c>
      <c r="G96" t="s">
        <v>80</v>
      </c>
      <c r="H96">
        <v>0.2</v>
      </c>
    </row>
    <row r="97" spans="1:8" x14ac:dyDescent="0.3">
      <c r="A97" s="3" t="s">
        <v>3853</v>
      </c>
      <c r="B97" t="s">
        <v>144</v>
      </c>
      <c r="C97" t="s">
        <v>145</v>
      </c>
      <c r="D97" t="s">
        <v>3120</v>
      </c>
      <c r="E97" t="s">
        <v>3120</v>
      </c>
      <c r="F97" t="s">
        <v>3854</v>
      </c>
      <c r="G97" t="s">
        <v>80</v>
      </c>
      <c r="H97">
        <v>0.2</v>
      </c>
    </row>
    <row r="98" spans="1:8" x14ac:dyDescent="0.3">
      <c r="A98" s="3" t="s">
        <v>156</v>
      </c>
      <c r="B98" t="s">
        <v>144</v>
      </c>
      <c r="C98" t="s">
        <v>145</v>
      </c>
      <c r="D98" t="s">
        <v>146</v>
      </c>
      <c r="E98" t="s">
        <v>146</v>
      </c>
      <c r="F98" t="s">
        <v>157</v>
      </c>
      <c r="G98" t="s">
        <v>80</v>
      </c>
      <c r="H98">
        <v>0.2</v>
      </c>
    </row>
    <row r="99" spans="1:8" x14ac:dyDescent="0.3">
      <c r="A99" s="3" t="s">
        <v>610</v>
      </c>
      <c r="B99" t="s">
        <v>144</v>
      </c>
      <c r="C99" t="s">
        <v>145</v>
      </c>
      <c r="D99" t="s">
        <v>611</v>
      </c>
      <c r="E99" t="s">
        <v>612</v>
      </c>
      <c r="F99" t="s">
        <v>613</v>
      </c>
      <c r="G99" t="s">
        <v>80</v>
      </c>
      <c r="H99">
        <v>0.2</v>
      </c>
    </row>
    <row r="100" spans="1:8" x14ac:dyDescent="0.3">
      <c r="A100" s="3" t="s">
        <v>143</v>
      </c>
      <c r="B100" t="s">
        <v>144</v>
      </c>
      <c r="C100" t="s">
        <v>145</v>
      </c>
      <c r="D100" t="s">
        <v>146</v>
      </c>
      <c r="E100" t="s">
        <v>146</v>
      </c>
      <c r="F100" t="s">
        <v>147</v>
      </c>
      <c r="G100" t="s">
        <v>80</v>
      </c>
      <c r="H100">
        <v>0.2</v>
      </c>
    </row>
    <row r="101" spans="1:8" x14ac:dyDescent="0.3">
      <c r="A101" s="3" t="s">
        <v>3855</v>
      </c>
      <c r="B101" t="s">
        <v>144</v>
      </c>
      <c r="C101" t="s">
        <v>145</v>
      </c>
      <c r="D101" t="s">
        <v>146</v>
      </c>
      <c r="E101" t="s">
        <v>146</v>
      </c>
      <c r="F101" t="s">
        <v>3856</v>
      </c>
      <c r="G101" t="s">
        <v>80</v>
      </c>
      <c r="H101">
        <v>0.2</v>
      </c>
    </row>
    <row r="102" spans="1:8" x14ac:dyDescent="0.3">
      <c r="A102" s="3" t="s">
        <v>2033</v>
      </c>
      <c r="B102" t="s">
        <v>144</v>
      </c>
      <c r="C102" t="s">
        <v>145</v>
      </c>
      <c r="D102" t="s">
        <v>254</v>
      </c>
      <c r="E102" t="s">
        <v>255</v>
      </c>
      <c r="F102" t="s">
        <v>2035</v>
      </c>
      <c r="G102" t="s">
        <v>80</v>
      </c>
      <c r="H102">
        <v>0.2</v>
      </c>
    </row>
    <row r="103" spans="1:8" x14ac:dyDescent="0.3">
      <c r="A103" s="3" t="s">
        <v>3857</v>
      </c>
      <c r="B103" t="s">
        <v>144</v>
      </c>
      <c r="C103" t="s">
        <v>145</v>
      </c>
      <c r="D103" t="s">
        <v>146</v>
      </c>
      <c r="E103" t="s">
        <v>146</v>
      </c>
      <c r="F103" t="s">
        <v>3858</v>
      </c>
      <c r="G103" t="s">
        <v>80</v>
      </c>
      <c r="H103">
        <v>0.2</v>
      </c>
    </row>
    <row r="104" spans="1:8" x14ac:dyDescent="0.3">
      <c r="A104" s="3" t="s">
        <v>1546</v>
      </c>
      <c r="B104" t="s">
        <v>144</v>
      </c>
      <c r="C104" t="s">
        <v>145</v>
      </c>
      <c r="D104" t="s">
        <v>146</v>
      </c>
      <c r="E104" t="s">
        <v>146</v>
      </c>
      <c r="F104" t="s">
        <v>1547</v>
      </c>
      <c r="G104" t="s">
        <v>80</v>
      </c>
      <c r="H104">
        <v>0.2</v>
      </c>
    </row>
    <row r="105" spans="1:8" x14ac:dyDescent="0.3">
      <c r="A105" s="3" t="s">
        <v>3580</v>
      </c>
      <c r="B105" t="s">
        <v>144</v>
      </c>
      <c r="C105" t="s">
        <v>145</v>
      </c>
      <c r="D105" t="s">
        <v>146</v>
      </c>
      <c r="E105" t="s">
        <v>146</v>
      </c>
      <c r="F105" t="s">
        <v>3581</v>
      </c>
      <c r="G105" t="s">
        <v>80</v>
      </c>
      <c r="H105">
        <v>0.2</v>
      </c>
    </row>
    <row r="106" spans="1:8" x14ac:dyDescent="0.3">
      <c r="A106" s="3" t="s">
        <v>3859</v>
      </c>
      <c r="B106" t="s">
        <v>144</v>
      </c>
      <c r="C106" t="s">
        <v>145</v>
      </c>
      <c r="D106" t="s">
        <v>3120</v>
      </c>
      <c r="E106" t="s">
        <v>3120</v>
      </c>
      <c r="F106" t="s">
        <v>3860</v>
      </c>
      <c r="G106" t="s">
        <v>80</v>
      </c>
      <c r="H106">
        <v>0.2</v>
      </c>
    </row>
    <row r="107" spans="1:8" x14ac:dyDescent="0.3">
      <c r="A107" s="3" t="s">
        <v>3865</v>
      </c>
      <c r="B107" t="s">
        <v>144</v>
      </c>
      <c r="C107" t="s">
        <v>145</v>
      </c>
      <c r="D107" t="s">
        <v>3866</v>
      </c>
      <c r="E107" t="s">
        <v>3867</v>
      </c>
      <c r="F107" t="s">
        <v>3866</v>
      </c>
      <c r="G107" t="s">
        <v>80</v>
      </c>
      <c r="H107">
        <v>0.2</v>
      </c>
    </row>
    <row r="108" spans="1:8" x14ac:dyDescent="0.3">
      <c r="A108" s="3" t="s">
        <v>587</v>
      </c>
      <c r="B108" t="s">
        <v>144</v>
      </c>
      <c r="C108" t="s">
        <v>145</v>
      </c>
      <c r="D108" t="s">
        <v>203</v>
      </c>
      <c r="E108" t="s">
        <v>589</v>
      </c>
      <c r="F108" t="s">
        <v>589</v>
      </c>
      <c r="G108" t="s">
        <v>80</v>
      </c>
      <c r="H108">
        <v>0.2</v>
      </c>
    </row>
    <row r="109" spans="1:8" x14ac:dyDescent="0.3">
      <c r="A109" s="3">
        <v>1210</v>
      </c>
      <c r="B109" t="s">
        <v>144</v>
      </c>
      <c r="C109" t="s">
        <v>145</v>
      </c>
      <c r="D109" t="s">
        <v>203</v>
      </c>
      <c r="E109" t="s">
        <v>109</v>
      </c>
      <c r="F109" t="s">
        <v>109</v>
      </c>
      <c r="G109" t="s">
        <v>80</v>
      </c>
      <c r="H109">
        <v>0.2</v>
      </c>
    </row>
    <row r="110" spans="1:8" x14ac:dyDescent="0.3">
      <c r="A110" s="3" t="s">
        <v>2398</v>
      </c>
      <c r="B110" t="s">
        <v>144</v>
      </c>
      <c r="C110" t="s">
        <v>145</v>
      </c>
      <c r="D110" t="s">
        <v>203</v>
      </c>
      <c r="E110" t="s">
        <v>2399</v>
      </c>
      <c r="F110" t="s">
        <v>2399</v>
      </c>
      <c r="G110" t="s">
        <v>80</v>
      </c>
      <c r="H110">
        <v>0.2</v>
      </c>
    </row>
    <row r="111" spans="1:8" x14ac:dyDescent="0.3">
      <c r="A111" s="3" t="s">
        <v>3868</v>
      </c>
      <c r="B111" t="s">
        <v>144</v>
      </c>
      <c r="C111" t="s">
        <v>145</v>
      </c>
      <c r="D111" t="s">
        <v>203</v>
      </c>
      <c r="E111" t="s">
        <v>3869</v>
      </c>
      <c r="F111" t="s">
        <v>3869</v>
      </c>
      <c r="G111" t="s">
        <v>80</v>
      </c>
      <c r="H111">
        <v>0.2</v>
      </c>
    </row>
    <row r="112" spans="1:8" x14ac:dyDescent="0.3">
      <c r="A112" s="3" t="s">
        <v>3870</v>
      </c>
      <c r="B112" t="s">
        <v>144</v>
      </c>
      <c r="C112" t="s">
        <v>145</v>
      </c>
      <c r="D112" t="s">
        <v>203</v>
      </c>
      <c r="E112" t="s">
        <v>3871</v>
      </c>
      <c r="F112" t="s">
        <v>3871</v>
      </c>
      <c r="G112" t="s">
        <v>80</v>
      </c>
      <c r="H112">
        <v>0.2</v>
      </c>
    </row>
    <row r="113" spans="1:8" x14ac:dyDescent="0.3">
      <c r="A113" s="3" t="s">
        <v>3574</v>
      </c>
      <c r="B113" t="s">
        <v>144</v>
      </c>
      <c r="C113" t="s">
        <v>145</v>
      </c>
      <c r="D113" t="s">
        <v>203</v>
      </c>
      <c r="E113" t="s">
        <v>3575</v>
      </c>
      <c r="F113" t="s">
        <v>3575</v>
      </c>
      <c r="G113" t="s">
        <v>80</v>
      </c>
      <c r="H113">
        <v>0.2</v>
      </c>
    </row>
    <row r="114" spans="1:8" x14ac:dyDescent="0.3">
      <c r="A114" s="3" t="s">
        <v>2444</v>
      </c>
      <c r="B114" t="s">
        <v>144</v>
      </c>
      <c r="C114" t="s">
        <v>145</v>
      </c>
      <c r="D114" t="s">
        <v>203</v>
      </c>
      <c r="E114" t="s">
        <v>2445</v>
      </c>
      <c r="F114" t="s">
        <v>2445</v>
      </c>
      <c r="G114" t="s">
        <v>80</v>
      </c>
      <c r="H114">
        <v>0.2</v>
      </c>
    </row>
    <row r="115" spans="1:8" x14ac:dyDescent="0.3">
      <c r="A115" s="3" t="s">
        <v>1246</v>
      </c>
      <c r="B115" t="s">
        <v>144</v>
      </c>
      <c r="C115" t="s">
        <v>145</v>
      </c>
      <c r="D115" t="s">
        <v>203</v>
      </c>
      <c r="E115" t="s">
        <v>1247</v>
      </c>
      <c r="F115" t="s">
        <v>1247</v>
      </c>
      <c r="G115" t="s">
        <v>80</v>
      </c>
      <c r="H115">
        <v>0.2</v>
      </c>
    </row>
    <row r="116" spans="1:8" x14ac:dyDescent="0.3">
      <c r="A116" s="3" t="s">
        <v>548</v>
      </c>
      <c r="B116" t="s">
        <v>144</v>
      </c>
      <c r="C116" t="s">
        <v>145</v>
      </c>
      <c r="D116" t="s">
        <v>549</v>
      </c>
      <c r="E116" t="s">
        <v>549</v>
      </c>
      <c r="F116" t="s">
        <v>550</v>
      </c>
      <c r="G116" t="s">
        <v>80</v>
      </c>
      <c r="H116">
        <v>0.2</v>
      </c>
    </row>
    <row r="117" spans="1:8" x14ac:dyDescent="0.3">
      <c r="A117" s="3" t="s">
        <v>920</v>
      </c>
      <c r="B117" t="s">
        <v>144</v>
      </c>
      <c r="C117" t="s">
        <v>145</v>
      </c>
      <c r="D117" t="s">
        <v>225</v>
      </c>
      <c r="E117" t="s">
        <v>226</v>
      </c>
      <c r="F117" t="s">
        <v>921</v>
      </c>
      <c r="G117" t="s">
        <v>80</v>
      </c>
      <c r="H117">
        <v>0.2</v>
      </c>
    </row>
    <row r="118" spans="1:8" x14ac:dyDescent="0.3">
      <c r="A118" s="3" t="s">
        <v>222</v>
      </c>
      <c r="B118" t="s">
        <v>144</v>
      </c>
      <c r="C118" t="s">
        <v>145</v>
      </c>
      <c r="D118" t="s">
        <v>225</v>
      </c>
      <c r="E118" t="s">
        <v>226</v>
      </c>
      <c r="F118" t="s">
        <v>227</v>
      </c>
      <c r="G118" t="s">
        <v>223</v>
      </c>
      <c r="H118">
        <v>0.2</v>
      </c>
    </row>
    <row r="119" spans="1:8" x14ac:dyDescent="0.3">
      <c r="A119" s="3" t="s">
        <v>1400</v>
      </c>
      <c r="B119" t="s">
        <v>144</v>
      </c>
      <c r="C119" t="s">
        <v>145</v>
      </c>
      <c r="D119" t="s">
        <v>225</v>
      </c>
      <c r="E119" t="s">
        <v>226</v>
      </c>
      <c r="F119" t="s">
        <v>1401</v>
      </c>
      <c r="G119" t="s">
        <v>80</v>
      </c>
      <c r="H119">
        <v>0.2</v>
      </c>
    </row>
    <row r="120" spans="1:8" x14ac:dyDescent="0.3">
      <c r="A120" s="3" t="s">
        <v>152</v>
      </c>
      <c r="B120" t="s">
        <v>84</v>
      </c>
      <c r="C120" t="s">
        <v>113</v>
      </c>
      <c r="D120" t="s">
        <v>86</v>
      </c>
      <c r="E120" t="s">
        <v>115</v>
      </c>
      <c r="F120" t="s">
        <v>102</v>
      </c>
      <c r="G120" t="s">
        <v>80</v>
      </c>
      <c r="H120">
        <v>0.1</v>
      </c>
    </row>
    <row r="121" spans="1:8" x14ac:dyDescent="0.3">
      <c r="A121" s="3" t="s">
        <v>119</v>
      </c>
      <c r="B121" t="s">
        <v>84</v>
      </c>
      <c r="C121" t="s">
        <v>113</v>
      </c>
      <c r="D121" t="s">
        <v>120</v>
      </c>
      <c r="E121" t="s">
        <v>115</v>
      </c>
      <c r="F121" t="s">
        <v>102</v>
      </c>
      <c r="G121" t="s">
        <v>80</v>
      </c>
      <c r="H121">
        <v>0.1</v>
      </c>
    </row>
    <row r="122" spans="1:8" x14ac:dyDescent="0.3">
      <c r="A122" s="3" t="s">
        <v>112</v>
      </c>
      <c r="B122" t="s">
        <v>84</v>
      </c>
      <c r="C122" t="s">
        <v>113</v>
      </c>
      <c r="D122" t="s">
        <v>114</v>
      </c>
      <c r="E122" t="s">
        <v>115</v>
      </c>
      <c r="F122" t="s">
        <v>102</v>
      </c>
      <c r="G122" t="s">
        <v>80</v>
      </c>
      <c r="H122">
        <v>0.1</v>
      </c>
    </row>
    <row r="123" spans="1:8" x14ac:dyDescent="0.3">
      <c r="A123" s="3" t="s">
        <v>2819</v>
      </c>
      <c r="B123" t="s">
        <v>124</v>
      </c>
      <c r="C123" t="s">
        <v>125</v>
      </c>
      <c r="D123" t="s">
        <v>246</v>
      </c>
      <c r="E123" t="s">
        <v>131</v>
      </c>
      <c r="F123" t="s">
        <v>2820</v>
      </c>
      <c r="G123" t="s">
        <v>80</v>
      </c>
      <c r="H123">
        <v>0.2</v>
      </c>
    </row>
    <row r="124" spans="1:8" x14ac:dyDescent="0.3">
      <c r="A124" s="3" t="s">
        <v>1726</v>
      </c>
      <c r="B124" t="s">
        <v>124</v>
      </c>
      <c r="C124" t="s">
        <v>235</v>
      </c>
      <c r="D124" t="s">
        <v>246</v>
      </c>
      <c r="E124" t="s">
        <v>284</v>
      </c>
      <c r="F124" s="5" t="s">
        <v>1727</v>
      </c>
      <c r="G124" t="s">
        <v>80</v>
      </c>
      <c r="H124">
        <v>0.2</v>
      </c>
    </row>
    <row r="125" spans="1:8" x14ac:dyDescent="0.3">
      <c r="A125" s="3" t="s">
        <v>3365</v>
      </c>
      <c r="B125" t="s">
        <v>84</v>
      </c>
      <c r="C125" t="s">
        <v>3366</v>
      </c>
      <c r="D125" t="s">
        <v>114</v>
      </c>
      <c r="E125" t="s">
        <v>3367</v>
      </c>
      <c r="F125" t="s">
        <v>3368</v>
      </c>
      <c r="G125" t="s">
        <v>80</v>
      </c>
      <c r="H125">
        <v>0.2</v>
      </c>
    </row>
    <row r="126" spans="1:8" x14ac:dyDescent="0.3">
      <c r="A126" s="3" t="s">
        <v>1076</v>
      </c>
      <c r="B126" t="s">
        <v>144</v>
      </c>
      <c r="C126" t="s">
        <v>145</v>
      </c>
      <c r="D126" t="s">
        <v>120</v>
      </c>
      <c r="E126" t="s">
        <v>1077</v>
      </c>
      <c r="F126" t="s">
        <v>165</v>
      </c>
      <c r="G126" t="s">
        <v>80</v>
      </c>
      <c r="H126">
        <v>0.2</v>
      </c>
    </row>
    <row r="127" spans="1:8" x14ac:dyDescent="0.3">
      <c r="A127" s="3" t="s">
        <v>2763</v>
      </c>
      <c r="B127" t="s">
        <v>144</v>
      </c>
      <c r="C127" t="s">
        <v>145</v>
      </c>
      <c r="D127" t="s">
        <v>636</v>
      </c>
      <c r="E127" t="s">
        <v>2764</v>
      </c>
      <c r="F127" t="s">
        <v>271</v>
      </c>
      <c r="G127" t="s">
        <v>80</v>
      </c>
      <c r="H127">
        <v>0.2</v>
      </c>
    </row>
    <row r="128" spans="1:8" x14ac:dyDescent="0.3">
      <c r="A128" s="3" t="s">
        <v>882</v>
      </c>
      <c r="B128" t="s">
        <v>883</v>
      </c>
      <c r="C128" t="s">
        <v>744</v>
      </c>
      <c r="D128" t="s">
        <v>126</v>
      </c>
      <c r="E128" t="s">
        <v>744</v>
      </c>
      <c r="F128" t="s">
        <v>884</v>
      </c>
      <c r="G128" t="s">
        <v>80</v>
      </c>
      <c r="H128">
        <v>0.2</v>
      </c>
    </row>
    <row r="129" spans="1:8" x14ac:dyDescent="0.3">
      <c r="A129" s="3" t="s">
        <v>78</v>
      </c>
      <c r="B129" t="s">
        <v>84</v>
      </c>
      <c r="C129" t="s">
        <v>85</v>
      </c>
      <c r="D129" t="s">
        <v>86</v>
      </c>
      <c r="E129" t="s">
        <v>85</v>
      </c>
      <c r="F129" t="s">
        <v>87</v>
      </c>
      <c r="G129" t="s">
        <v>80</v>
      </c>
      <c r="H129">
        <v>0.2</v>
      </c>
    </row>
    <row r="130" spans="1:8" x14ac:dyDescent="0.3">
      <c r="A130" s="3" t="s">
        <v>496</v>
      </c>
      <c r="B130" t="s">
        <v>497</v>
      </c>
      <c r="C130" t="s">
        <v>498</v>
      </c>
      <c r="D130" t="s">
        <v>499</v>
      </c>
      <c r="E130" t="s">
        <v>498</v>
      </c>
      <c r="F130" s="5" t="s">
        <v>87</v>
      </c>
      <c r="G130" t="s">
        <v>80</v>
      </c>
      <c r="H130">
        <v>0.2</v>
      </c>
    </row>
    <row r="131" spans="1:8" x14ac:dyDescent="0.3">
      <c r="A131" s="3" t="s">
        <v>1447</v>
      </c>
      <c r="B131" t="s">
        <v>1135</v>
      </c>
      <c r="C131" t="s">
        <v>1136</v>
      </c>
      <c r="D131" t="s">
        <v>135</v>
      </c>
      <c r="E131" t="s">
        <v>1137</v>
      </c>
      <c r="F131" s="5" t="s">
        <v>87</v>
      </c>
      <c r="G131" t="s">
        <v>80</v>
      </c>
      <c r="H131">
        <v>0.2</v>
      </c>
    </row>
    <row r="132" spans="1:8" x14ac:dyDescent="0.3">
      <c r="A132" s="3" t="s">
        <v>3776</v>
      </c>
      <c r="B132" t="s">
        <v>124</v>
      </c>
      <c r="C132" t="s">
        <v>235</v>
      </c>
      <c r="D132" t="s">
        <v>177</v>
      </c>
      <c r="E132" t="s">
        <v>284</v>
      </c>
      <c r="F132" s="5" t="s">
        <v>87</v>
      </c>
      <c r="G132" t="s">
        <v>80</v>
      </c>
      <c r="H132">
        <v>0.2</v>
      </c>
    </row>
    <row r="133" spans="1:8" x14ac:dyDescent="0.3">
      <c r="A133" s="3" t="s">
        <v>473</v>
      </c>
      <c r="B133" t="s">
        <v>268</v>
      </c>
      <c r="C133" t="s">
        <v>269</v>
      </c>
      <c r="D133" t="s">
        <v>270</v>
      </c>
      <c r="E133" t="s">
        <v>269</v>
      </c>
      <c r="F133" t="s">
        <v>87</v>
      </c>
      <c r="G133" t="s">
        <v>80</v>
      </c>
      <c r="H133">
        <v>0.2</v>
      </c>
    </row>
    <row r="134" spans="1:8" x14ac:dyDescent="0.3">
      <c r="A134" s="3" t="s">
        <v>3634</v>
      </c>
      <c r="B134" t="s">
        <v>341</v>
      </c>
      <c r="C134" t="s">
        <v>145</v>
      </c>
      <c r="D134" t="s">
        <v>192</v>
      </c>
      <c r="E134" t="s">
        <v>343</v>
      </c>
      <c r="F134" t="s">
        <v>87</v>
      </c>
      <c r="G134" t="s">
        <v>80</v>
      </c>
      <c r="H134">
        <v>0.2</v>
      </c>
    </row>
    <row r="135" spans="1:8" x14ac:dyDescent="0.3">
      <c r="A135" s="3" t="s">
        <v>406</v>
      </c>
      <c r="B135" t="s">
        <v>407</v>
      </c>
      <c r="C135" t="s">
        <v>108</v>
      </c>
      <c r="D135" t="s">
        <v>100</v>
      </c>
      <c r="E135" t="s">
        <v>108</v>
      </c>
      <c r="F135" t="s">
        <v>408</v>
      </c>
      <c r="G135" t="s">
        <v>80</v>
      </c>
      <c r="H135">
        <v>0.2</v>
      </c>
    </row>
    <row r="136" spans="1:8" x14ac:dyDescent="0.3">
      <c r="A136" s="3" t="s">
        <v>490</v>
      </c>
      <c r="B136" t="s">
        <v>183</v>
      </c>
      <c r="C136" t="s">
        <v>491</v>
      </c>
      <c r="D136" t="s">
        <v>492</v>
      </c>
      <c r="E136" t="s">
        <v>491</v>
      </c>
      <c r="F136" s="5" t="s">
        <v>87</v>
      </c>
      <c r="G136" t="s">
        <v>80</v>
      </c>
      <c r="H136">
        <v>0.2</v>
      </c>
    </row>
    <row r="137" spans="1:8" x14ac:dyDescent="0.3">
      <c r="A137" s="3" t="s">
        <v>432</v>
      </c>
      <c r="B137" t="s">
        <v>144</v>
      </c>
      <c r="C137" t="s">
        <v>145</v>
      </c>
      <c r="D137" t="s">
        <v>434</v>
      </c>
      <c r="E137" t="s">
        <v>435</v>
      </c>
      <c r="F137" t="s">
        <v>436</v>
      </c>
      <c r="G137" t="s">
        <v>433</v>
      </c>
      <c r="H137">
        <v>0.1</v>
      </c>
    </row>
    <row r="138" spans="1:8" x14ac:dyDescent="0.3">
      <c r="A138" s="3" t="s">
        <v>3872</v>
      </c>
      <c r="B138" t="s">
        <v>144</v>
      </c>
      <c r="C138" t="s">
        <v>145</v>
      </c>
      <c r="D138" t="s">
        <v>434</v>
      </c>
      <c r="E138" t="s">
        <v>3873</v>
      </c>
      <c r="F138" t="s">
        <v>436</v>
      </c>
      <c r="G138" t="s">
        <v>433</v>
      </c>
      <c r="H138">
        <v>0.1</v>
      </c>
    </row>
    <row r="139" spans="1:8" x14ac:dyDescent="0.3">
      <c r="A139" s="3" t="s">
        <v>391</v>
      </c>
      <c r="B139" t="s">
        <v>124</v>
      </c>
      <c r="C139" t="s">
        <v>235</v>
      </c>
      <c r="D139" t="s">
        <v>177</v>
      </c>
      <c r="E139" t="s">
        <v>284</v>
      </c>
      <c r="F139" s="5" t="s">
        <v>392</v>
      </c>
      <c r="G139" t="s">
        <v>80</v>
      </c>
      <c r="H139">
        <v>0.1</v>
      </c>
    </row>
    <row r="140" spans="1:8" x14ac:dyDescent="0.3">
      <c r="A140" s="3" t="s">
        <v>1117</v>
      </c>
      <c r="B140" t="s">
        <v>1118</v>
      </c>
      <c r="C140" t="s">
        <v>1119</v>
      </c>
      <c r="D140" t="s">
        <v>100</v>
      </c>
      <c r="E140" t="s">
        <v>1120</v>
      </c>
      <c r="F140" t="s">
        <v>151</v>
      </c>
      <c r="G140" t="s">
        <v>80</v>
      </c>
      <c r="H140">
        <v>0.2</v>
      </c>
    </row>
    <row r="141" spans="1:8" x14ac:dyDescent="0.3">
      <c r="A141" s="3" t="s">
        <v>743</v>
      </c>
      <c r="B141" t="s">
        <v>407</v>
      </c>
      <c r="C141" t="s">
        <v>744</v>
      </c>
      <c r="D141" t="s">
        <v>100</v>
      </c>
      <c r="E141" t="s">
        <v>744</v>
      </c>
      <c r="F141" t="s">
        <v>151</v>
      </c>
      <c r="G141" t="s">
        <v>80</v>
      </c>
      <c r="H141">
        <v>0.2</v>
      </c>
    </row>
    <row r="142" spans="1:8" x14ac:dyDescent="0.3">
      <c r="A142" s="3" t="s">
        <v>2410</v>
      </c>
      <c r="B142" t="s">
        <v>1118</v>
      </c>
      <c r="C142" t="s">
        <v>1119</v>
      </c>
      <c r="D142" t="s">
        <v>100</v>
      </c>
      <c r="E142" t="s">
        <v>1120</v>
      </c>
      <c r="F142" t="s">
        <v>271</v>
      </c>
      <c r="G142" t="s">
        <v>80</v>
      </c>
      <c r="H142">
        <v>0.2</v>
      </c>
    </row>
    <row r="143" spans="1:8" x14ac:dyDescent="0.3">
      <c r="A143" s="3" t="s">
        <v>3876</v>
      </c>
      <c r="B143" t="s">
        <v>407</v>
      </c>
      <c r="C143" t="s">
        <v>744</v>
      </c>
      <c r="D143" t="s">
        <v>100</v>
      </c>
      <c r="E143" t="s">
        <v>744</v>
      </c>
      <c r="F143" t="s">
        <v>271</v>
      </c>
      <c r="G143" t="s">
        <v>80</v>
      </c>
      <c r="H143">
        <v>0.2</v>
      </c>
    </row>
    <row r="144" spans="1:8" x14ac:dyDescent="0.3">
      <c r="A144" s="3" t="s">
        <v>1142</v>
      </c>
      <c r="B144" t="s">
        <v>268</v>
      </c>
      <c r="C144" t="s">
        <v>1143</v>
      </c>
      <c r="D144" t="s">
        <v>342</v>
      </c>
      <c r="E144" t="s">
        <v>1143</v>
      </c>
      <c r="F144" t="s">
        <v>271</v>
      </c>
      <c r="G144" t="s">
        <v>80</v>
      </c>
      <c r="H144">
        <v>0.2</v>
      </c>
    </row>
    <row r="145" spans="1:8" x14ac:dyDescent="0.3">
      <c r="A145" s="3" t="s">
        <v>3882</v>
      </c>
      <c r="B145" t="s">
        <v>700</v>
      </c>
      <c r="C145" t="s">
        <v>3065</v>
      </c>
      <c r="D145" t="s">
        <v>246</v>
      </c>
      <c r="E145" t="s">
        <v>3066</v>
      </c>
      <c r="F145" t="s">
        <v>151</v>
      </c>
      <c r="G145" t="s">
        <v>80</v>
      </c>
      <c r="H145">
        <v>0.2</v>
      </c>
    </row>
    <row r="146" spans="1:8" x14ac:dyDescent="0.3">
      <c r="A146" s="3" t="s">
        <v>3777</v>
      </c>
      <c r="B146" t="s">
        <v>124</v>
      </c>
      <c r="C146" t="s">
        <v>235</v>
      </c>
      <c r="D146" t="s">
        <v>246</v>
      </c>
      <c r="E146" t="s">
        <v>284</v>
      </c>
      <c r="F146" s="5" t="s">
        <v>151</v>
      </c>
      <c r="G146" t="s">
        <v>80</v>
      </c>
      <c r="H146">
        <v>0.2</v>
      </c>
    </row>
    <row r="147" spans="1:8" x14ac:dyDescent="0.3">
      <c r="A147" s="3" t="s">
        <v>1987</v>
      </c>
      <c r="B147" t="s">
        <v>124</v>
      </c>
      <c r="C147" t="s">
        <v>235</v>
      </c>
      <c r="D147" t="s">
        <v>246</v>
      </c>
      <c r="E147" t="s">
        <v>284</v>
      </c>
      <c r="F147" s="5" t="s">
        <v>87</v>
      </c>
      <c r="G147" t="s">
        <v>80</v>
      </c>
      <c r="H147">
        <v>0.2</v>
      </c>
    </row>
    <row r="148" spans="1:8" x14ac:dyDescent="0.3">
      <c r="A148" s="3" t="s">
        <v>3218</v>
      </c>
      <c r="B148" t="s">
        <v>3219</v>
      </c>
      <c r="C148" t="s">
        <v>3220</v>
      </c>
      <c r="D148" t="s">
        <v>342</v>
      </c>
      <c r="E148" t="s">
        <v>3220</v>
      </c>
      <c r="F148" t="s">
        <v>151</v>
      </c>
      <c r="G148" t="s">
        <v>80</v>
      </c>
      <c r="H148">
        <v>0.2</v>
      </c>
    </row>
    <row r="149" spans="1:8" x14ac:dyDescent="0.3">
      <c r="A149" s="3" t="s">
        <v>340</v>
      </c>
      <c r="B149" t="s">
        <v>341</v>
      </c>
      <c r="C149" t="s">
        <v>145</v>
      </c>
      <c r="D149" t="s">
        <v>342</v>
      </c>
      <c r="E149" t="s">
        <v>343</v>
      </c>
      <c r="F149" t="s">
        <v>151</v>
      </c>
      <c r="G149" t="s">
        <v>80</v>
      </c>
      <c r="H149">
        <v>0.2</v>
      </c>
    </row>
    <row r="150" spans="1:8" x14ac:dyDescent="0.3">
      <c r="A150" s="3" t="s">
        <v>3064</v>
      </c>
      <c r="B150" t="s">
        <v>700</v>
      </c>
      <c r="C150" t="s">
        <v>3065</v>
      </c>
      <c r="D150" t="s">
        <v>246</v>
      </c>
      <c r="E150" t="s">
        <v>3066</v>
      </c>
      <c r="F150" t="s">
        <v>271</v>
      </c>
      <c r="G150" t="s">
        <v>80</v>
      </c>
      <c r="H150">
        <v>0.2</v>
      </c>
    </row>
    <row r="151" spans="1:8" x14ac:dyDescent="0.3">
      <c r="A151" s="3" t="s">
        <v>2540</v>
      </c>
      <c r="B151" t="s">
        <v>84</v>
      </c>
      <c r="C151" t="s">
        <v>2541</v>
      </c>
      <c r="D151" t="s">
        <v>86</v>
      </c>
      <c r="E151" t="s">
        <v>2542</v>
      </c>
      <c r="F151" t="s">
        <v>151</v>
      </c>
      <c r="G151" t="s">
        <v>80</v>
      </c>
      <c r="H151">
        <v>0.2</v>
      </c>
    </row>
    <row r="152" spans="1:8" x14ac:dyDescent="0.3">
      <c r="A152" s="3" t="s">
        <v>283</v>
      </c>
      <c r="B152" t="s">
        <v>124</v>
      </c>
      <c r="C152" t="s">
        <v>235</v>
      </c>
      <c r="D152" t="s">
        <v>177</v>
      </c>
      <c r="E152" t="s">
        <v>284</v>
      </c>
      <c r="F152" s="5" t="s">
        <v>151</v>
      </c>
      <c r="G152" t="s">
        <v>80</v>
      </c>
      <c r="H152">
        <v>0.2</v>
      </c>
    </row>
    <row r="153" spans="1:8" x14ac:dyDescent="0.3">
      <c r="A153" s="3" t="s">
        <v>523</v>
      </c>
      <c r="B153" t="s">
        <v>341</v>
      </c>
      <c r="C153" t="s">
        <v>145</v>
      </c>
      <c r="D153" t="s">
        <v>192</v>
      </c>
      <c r="E153" t="s">
        <v>343</v>
      </c>
      <c r="F153" t="s">
        <v>151</v>
      </c>
      <c r="G153" t="s">
        <v>80</v>
      </c>
      <c r="H153">
        <v>0.2</v>
      </c>
    </row>
    <row r="154" spans="1:8" x14ac:dyDescent="0.3">
      <c r="A154" s="3" t="s">
        <v>2380</v>
      </c>
      <c r="B154" t="s">
        <v>124</v>
      </c>
      <c r="C154" t="s">
        <v>235</v>
      </c>
      <c r="D154" t="s">
        <v>177</v>
      </c>
      <c r="E154" t="s">
        <v>284</v>
      </c>
      <c r="F154" s="5" t="s">
        <v>271</v>
      </c>
      <c r="G154" t="s">
        <v>80</v>
      </c>
      <c r="H154">
        <v>0.2</v>
      </c>
    </row>
    <row r="155" spans="1:8" x14ac:dyDescent="0.3">
      <c r="A155" s="3" t="s">
        <v>2583</v>
      </c>
      <c r="B155" t="s">
        <v>84</v>
      </c>
      <c r="C155" t="s">
        <v>2541</v>
      </c>
      <c r="D155" t="s">
        <v>86</v>
      </c>
      <c r="E155" t="s">
        <v>2542</v>
      </c>
      <c r="F155" t="s">
        <v>271</v>
      </c>
      <c r="G155" t="s">
        <v>80</v>
      </c>
      <c r="H155">
        <v>0.2</v>
      </c>
    </row>
    <row r="156" spans="1:8" x14ac:dyDescent="0.3">
      <c r="A156" s="3" t="s">
        <v>2721</v>
      </c>
      <c r="B156" t="s">
        <v>883</v>
      </c>
      <c r="C156" t="s">
        <v>2722</v>
      </c>
      <c r="D156" t="s">
        <v>126</v>
      </c>
      <c r="E156" t="s">
        <v>2722</v>
      </c>
      <c r="F156" t="s">
        <v>151</v>
      </c>
      <c r="G156" t="s">
        <v>80</v>
      </c>
      <c r="H156">
        <v>0.2</v>
      </c>
    </row>
    <row r="157" spans="1:8" x14ac:dyDescent="0.3">
      <c r="A157" s="3" t="s">
        <v>699</v>
      </c>
      <c r="B157" t="s">
        <v>700</v>
      </c>
      <c r="C157" t="s">
        <v>701</v>
      </c>
      <c r="D157" t="s">
        <v>114</v>
      </c>
      <c r="E157" t="s">
        <v>702</v>
      </c>
      <c r="F157" t="s">
        <v>151</v>
      </c>
      <c r="G157" t="s">
        <v>80</v>
      </c>
      <c r="H157">
        <v>0.2</v>
      </c>
    </row>
    <row r="158" spans="1:8" x14ac:dyDescent="0.3">
      <c r="A158" s="3" t="s">
        <v>3789</v>
      </c>
      <c r="B158" t="s">
        <v>1135</v>
      </c>
      <c r="C158" t="s">
        <v>1136</v>
      </c>
      <c r="D158" t="s">
        <v>135</v>
      </c>
      <c r="E158" t="s">
        <v>1137</v>
      </c>
      <c r="F158" s="5" t="s">
        <v>3790</v>
      </c>
      <c r="G158" t="s">
        <v>80</v>
      </c>
      <c r="H158">
        <v>0.2</v>
      </c>
    </row>
    <row r="159" spans="1:8" x14ac:dyDescent="0.3">
      <c r="A159" s="3" t="s">
        <v>2070</v>
      </c>
      <c r="B159" t="s">
        <v>84</v>
      </c>
      <c r="C159" t="s">
        <v>113</v>
      </c>
      <c r="D159" t="s">
        <v>120</v>
      </c>
      <c r="E159" t="s">
        <v>115</v>
      </c>
      <c r="F159" t="s">
        <v>2071</v>
      </c>
      <c r="G159" t="s">
        <v>80</v>
      </c>
      <c r="H159">
        <v>0.2</v>
      </c>
    </row>
    <row r="160" spans="1:8" x14ac:dyDescent="0.3">
      <c r="A160" s="3" t="s">
        <v>3880</v>
      </c>
      <c r="B160" t="s">
        <v>84</v>
      </c>
      <c r="C160" t="s">
        <v>145</v>
      </c>
      <c r="D160" t="s">
        <v>126</v>
      </c>
      <c r="E160" t="s">
        <v>3881</v>
      </c>
      <c r="F160" t="s">
        <v>87</v>
      </c>
      <c r="G160" t="s">
        <v>80</v>
      </c>
      <c r="H160">
        <v>0.2</v>
      </c>
    </row>
    <row r="161" spans="1:8" x14ac:dyDescent="0.3">
      <c r="A161" s="3" t="s">
        <v>3402</v>
      </c>
      <c r="B161" t="s">
        <v>341</v>
      </c>
      <c r="C161" t="s">
        <v>145</v>
      </c>
      <c r="D161" t="s">
        <v>342</v>
      </c>
      <c r="E161" t="s">
        <v>343</v>
      </c>
      <c r="F161" t="s">
        <v>271</v>
      </c>
      <c r="G161" t="s">
        <v>80</v>
      </c>
      <c r="H161">
        <v>0.2</v>
      </c>
    </row>
    <row r="162" spans="1:8" x14ac:dyDescent="0.3">
      <c r="A162" s="3" t="s">
        <v>3877</v>
      </c>
      <c r="B162" t="s">
        <v>407</v>
      </c>
      <c r="C162" t="s">
        <v>145</v>
      </c>
      <c r="D162" t="s">
        <v>185</v>
      </c>
      <c r="E162" t="s">
        <v>343</v>
      </c>
      <c r="F162" t="s">
        <v>151</v>
      </c>
      <c r="G162" t="s">
        <v>80</v>
      </c>
      <c r="H162">
        <v>0.2</v>
      </c>
    </row>
    <row r="163" spans="1:8" x14ac:dyDescent="0.3">
      <c r="A163" s="3" t="s">
        <v>1479</v>
      </c>
      <c r="B163" t="s">
        <v>1118</v>
      </c>
      <c r="C163" t="s">
        <v>1481</v>
      </c>
      <c r="D163" t="s">
        <v>135</v>
      </c>
      <c r="E163" t="s">
        <v>1482</v>
      </c>
      <c r="F163" t="s">
        <v>151</v>
      </c>
      <c r="G163" t="s">
        <v>80</v>
      </c>
      <c r="H163">
        <v>0.2</v>
      </c>
    </row>
    <row r="164" spans="1:8" x14ac:dyDescent="0.3">
      <c r="A164" s="3" t="s">
        <v>266</v>
      </c>
      <c r="B164" t="s">
        <v>268</v>
      </c>
      <c r="C164" t="s">
        <v>269</v>
      </c>
      <c r="D164" t="s">
        <v>270</v>
      </c>
      <c r="E164" t="s">
        <v>269</v>
      </c>
      <c r="F164" t="s">
        <v>271</v>
      </c>
      <c r="G164" t="s">
        <v>80</v>
      </c>
      <c r="H164">
        <v>0.2</v>
      </c>
    </row>
    <row r="165" spans="1:8" x14ac:dyDescent="0.3">
      <c r="A165" s="3" t="s">
        <v>3878</v>
      </c>
      <c r="B165" t="s">
        <v>407</v>
      </c>
      <c r="C165" t="s">
        <v>2456</v>
      </c>
      <c r="D165" t="s">
        <v>185</v>
      </c>
      <c r="E165" t="s">
        <v>2456</v>
      </c>
      <c r="F165" t="s">
        <v>271</v>
      </c>
      <c r="G165" t="s">
        <v>80</v>
      </c>
      <c r="H165">
        <v>0.2</v>
      </c>
    </row>
    <row r="166" spans="1:8" x14ac:dyDescent="0.3">
      <c r="A166" s="3" t="s">
        <v>516</v>
      </c>
      <c r="B166" t="s">
        <v>497</v>
      </c>
      <c r="C166" t="s">
        <v>498</v>
      </c>
      <c r="D166" t="s">
        <v>499</v>
      </c>
      <c r="E166" t="s">
        <v>498</v>
      </c>
      <c r="F166" s="5" t="s">
        <v>151</v>
      </c>
      <c r="G166" t="s">
        <v>80</v>
      </c>
      <c r="H166">
        <v>0.2</v>
      </c>
    </row>
    <row r="167" spans="1:8" x14ac:dyDescent="0.3">
      <c r="A167" s="3" t="s">
        <v>3778</v>
      </c>
      <c r="B167" t="s">
        <v>497</v>
      </c>
      <c r="C167" t="s">
        <v>498</v>
      </c>
      <c r="D167" t="s">
        <v>499</v>
      </c>
      <c r="E167" t="s">
        <v>498</v>
      </c>
      <c r="F167" s="5" t="s">
        <v>271</v>
      </c>
      <c r="G167" t="s">
        <v>80</v>
      </c>
      <c r="H167">
        <v>0.2</v>
      </c>
    </row>
    <row r="168" spans="1:8" x14ac:dyDescent="0.3">
      <c r="A168" s="3" t="s">
        <v>349</v>
      </c>
      <c r="B168" t="s">
        <v>144</v>
      </c>
      <c r="C168" t="s">
        <v>350</v>
      </c>
      <c r="D168" t="s">
        <v>278</v>
      </c>
      <c r="E168" t="s">
        <v>351</v>
      </c>
      <c r="F168" t="s">
        <v>271</v>
      </c>
      <c r="G168" t="s">
        <v>80</v>
      </c>
      <c r="H168">
        <v>0.2</v>
      </c>
    </row>
    <row r="169" spans="1:8" x14ac:dyDescent="0.3">
      <c r="A169" s="3" t="s">
        <v>3879</v>
      </c>
      <c r="B169" t="s">
        <v>1118</v>
      </c>
      <c r="C169" t="s">
        <v>1481</v>
      </c>
      <c r="D169" t="s">
        <v>135</v>
      </c>
      <c r="E169" t="s">
        <v>1482</v>
      </c>
      <c r="F169" t="s">
        <v>271</v>
      </c>
      <c r="G169" t="s">
        <v>80</v>
      </c>
      <c r="H169">
        <v>0.2</v>
      </c>
    </row>
    <row r="170" spans="1:8" x14ac:dyDescent="0.3">
      <c r="A170" s="3" t="s">
        <v>3874</v>
      </c>
      <c r="B170" t="s">
        <v>268</v>
      </c>
      <c r="C170" t="s">
        <v>1143</v>
      </c>
      <c r="D170" t="s">
        <v>342</v>
      </c>
      <c r="E170" t="s">
        <v>1143</v>
      </c>
      <c r="F170" t="s">
        <v>151</v>
      </c>
      <c r="G170" t="s">
        <v>80</v>
      </c>
      <c r="H170">
        <v>0.2</v>
      </c>
    </row>
    <row r="171" spans="1:8" x14ac:dyDescent="0.3">
      <c r="A171" s="3" t="s">
        <v>464</v>
      </c>
      <c r="B171" t="s">
        <v>144</v>
      </c>
      <c r="C171" t="s">
        <v>350</v>
      </c>
      <c r="D171" t="s">
        <v>278</v>
      </c>
      <c r="E171" t="s">
        <v>351</v>
      </c>
      <c r="F171" t="s">
        <v>151</v>
      </c>
      <c r="G171" t="s">
        <v>80</v>
      </c>
      <c r="H171">
        <v>0.2</v>
      </c>
    </row>
    <row r="172" spans="1:8" x14ac:dyDescent="0.3">
      <c r="A172" s="3" t="s">
        <v>276</v>
      </c>
      <c r="B172" t="s">
        <v>144</v>
      </c>
      <c r="C172" t="s">
        <v>277</v>
      </c>
      <c r="D172" t="s">
        <v>278</v>
      </c>
      <c r="E172" t="s">
        <v>279</v>
      </c>
      <c r="F172" t="s">
        <v>151</v>
      </c>
      <c r="G172" t="s">
        <v>80</v>
      </c>
      <c r="H172">
        <v>0.2</v>
      </c>
    </row>
    <row r="173" spans="1:8" x14ac:dyDescent="0.3">
      <c r="A173" s="3" t="s">
        <v>3875</v>
      </c>
      <c r="B173" t="s">
        <v>268</v>
      </c>
      <c r="C173" t="s">
        <v>269</v>
      </c>
      <c r="D173" t="s">
        <v>270</v>
      </c>
      <c r="E173" t="s">
        <v>269</v>
      </c>
      <c r="F173" t="s">
        <v>151</v>
      </c>
      <c r="G173" t="s">
        <v>80</v>
      </c>
      <c r="H173">
        <v>0.2</v>
      </c>
    </row>
    <row r="174" spans="1:8" x14ac:dyDescent="0.3">
      <c r="A174" s="3" t="s">
        <v>692</v>
      </c>
      <c r="B174" t="s">
        <v>144</v>
      </c>
      <c r="C174" t="s">
        <v>277</v>
      </c>
      <c r="D174" t="s">
        <v>278</v>
      </c>
      <c r="E174" t="s">
        <v>279</v>
      </c>
      <c r="F174" t="s">
        <v>693</v>
      </c>
      <c r="G174" t="s">
        <v>80</v>
      </c>
      <c r="H174">
        <v>0.1</v>
      </c>
    </row>
    <row r="175" spans="1:8" x14ac:dyDescent="0.3">
      <c r="A175" s="3" t="s">
        <v>2211</v>
      </c>
      <c r="B175" t="s">
        <v>84</v>
      </c>
      <c r="C175" t="s">
        <v>113</v>
      </c>
      <c r="D175" t="s">
        <v>120</v>
      </c>
      <c r="E175" t="s">
        <v>115</v>
      </c>
      <c r="F175" t="s">
        <v>271</v>
      </c>
      <c r="G175" t="s">
        <v>80</v>
      </c>
      <c r="H175">
        <v>0.2</v>
      </c>
    </row>
    <row r="176" spans="1:8" x14ac:dyDescent="0.3">
      <c r="A176" s="3" t="s">
        <v>3815</v>
      </c>
      <c r="B176" t="s">
        <v>3816</v>
      </c>
      <c r="C176" t="s">
        <v>3817</v>
      </c>
      <c r="D176" t="s">
        <v>100</v>
      </c>
      <c r="E176" t="s">
        <v>115</v>
      </c>
      <c r="F176" t="s">
        <v>3818</v>
      </c>
      <c r="G176" t="s">
        <v>3907</v>
      </c>
      <c r="H176">
        <v>0.2</v>
      </c>
    </row>
    <row r="177" spans="1:8" x14ac:dyDescent="0.3">
      <c r="A177" s="3" t="s">
        <v>190</v>
      </c>
      <c r="B177" t="s">
        <v>144</v>
      </c>
      <c r="C177" t="s">
        <v>145</v>
      </c>
      <c r="D177" t="s">
        <v>192</v>
      </c>
      <c r="E177" t="s">
        <v>193</v>
      </c>
      <c r="F177" t="s">
        <v>102</v>
      </c>
      <c r="G177" t="s">
        <v>80</v>
      </c>
      <c r="H177">
        <v>0.1</v>
      </c>
    </row>
    <row r="178" spans="1:8" x14ac:dyDescent="0.3">
      <c r="A178" s="3" t="s">
        <v>935</v>
      </c>
      <c r="B178" t="s">
        <v>144</v>
      </c>
      <c r="C178" t="s">
        <v>145</v>
      </c>
      <c r="D178" t="s">
        <v>936</v>
      </c>
      <c r="E178" t="s">
        <v>937</v>
      </c>
      <c r="F178" t="s">
        <v>937</v>
      </c>
      <c r="G178" t="s">
        <v>80</v>
      </c>
      <c r="H178">
        <v>0.2</v>
      </c>
    </row>
    <row r="179" spans="1:8" x14ac:dyDescent="0.3">
      <c r="A179" s="3" t="s">
        <v>3861</v>
      </c>
      <c r="B179" t="s">
        <v>144</v>
      </c>
      <c r="C179" t="s">
        <v>145</v>
      </c>
      <c r="D179" t="s">
        <v>147</v>
      </c>
      <c r="E179" t="s">
        <v>3862</v>
      </c>
      <c r="F179" t="s">
        <v>3863</v>
      </c>
      <c r="G179" t="s">
        <v>80</v>
      </c>
      <c r="H179">
        <v>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5C190-6E1B-413B-BFB8-707FDFBC722E}">
  <sheetPr codeName="Feuil5"/>
  <dimension ref="A1:A4"/>
  <sheetViews>
    <sheetView workbookViewId="0">
      <selection activeCell="L19" sqref="L19"/>
    </sheetView>
  </sheetViews>
  <sheetFormatPr baseColWidth="10" defaultColWidth="11.44140625" defaultRowHeight="14.4" x14ac:dyDescent="0.3"/>
  <sheetData>
    <row r="1" spans="1:1" x14ac:dyDescent="0.3">
      <c r="A1" s="2" t="s">
        <v>3909</v>
      </c>
    </row>
    <row r="2" spans="1:1" x14ac:dyDescent="0.3">
      <c r="A2" s="2" t="s">
        <v>96</v>
      </c>
    </row>
    <row r="3" spans="1:1" x14ac:dyDescent="0.3">
      <c r="A3" s="2" t="s">
        <v>79</v>
      </c>
    </row>
    <row r="4" spans="1:1" x14ac:dyDescent="0.3">
      <c r="A4" s="2" t="s">
        <v>853</v>
      </c>
    </row>
  </sheetData>
  <sortState xmlns:xlrd2="http://schemas.microsoft.com/office/spreadsheetml/2017/richdata2" ref="A2:A4">
    <sortCondition ref="A2"/>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C3D56-12DF-4D18-8436-764DD729EFE2}">
  <sheetPr codeName="Feuil6"/>
  <dimension ref="A1:D1123"/>
  <sheetViews>
    <sheetView topLeftCell="A556" workbookViewId="0">
      <selection activeCell="A571" activeCellId="3" sqref="A580:XFD580 A579:XFD579 A572:XFD572 A571:XFD571"/>
    </sheetView>
  </sheetViews>
  <sheetFormatPr baseColWidth="10" defaultColWidth="11.44140625" defaultRowHeight="14.4" x14ac:dyDescent="0.3"/>
  <cols>
    <col min="1" max="1" width="24.5546875" bestFit="1" customWidth="1"/>
    <col min="2" max="2" width="7.5546875" bestFit="1" customWidth="1"/>
    <col min="3" max="3" width="82" bestFit="1" customWidth="1"/>
    <col min="4" max="4" width="21" bestFit="1" customWidth="1"/>
  </cols>
  <sheetData>
    <row r="1" spans="1:4" x14ac:dyDescent="0.3">
      <c r="A1" t="s">
        <v>52</v>
      </c>
      <c r="B1" t="s">
        <v>3910</v>
      </c>
      <c r="C1" t="s">
        <v>56</v>
      </c>
    </row>
    <row r="2" spans="1:4" x14ac:dyDescent="0.3">
      <c r="A2" t="s">
        <v>3291</v>
      </c>
      <c r="B2" t="s">
        <v>96</v>
      </c>
      <c r="C2" t="s">
        <v>175</v>
      </c>
      <c r="D2" t="str">
        <f>A2&amp;"_"&amp;B2</f>
        <v>AAGROUP_Classe 2</v>
      </c>
    </row>
    <row r="3" spans="1:4" x14ac:dyDescent="0.3">
      <c r="A3" t="s">
        <v>3291</v>
      </c>
      <c r="B3" t="s">
        <v>96</v>
      </c>
      <c r="C3" t="s">
        <v>1422</v>
      </c>
      <c r="D3" t="str">
        <f t="shared" ref="D3:D33" si="0">A3&amp;"_"&amp;B3</f>
        <v>AAGROUP_Classe 2</v>
      </c>
    </row>
    <row r="4" spans="1:4" x14ac:dyDescent="0.3">
      <c r="A4" t="s">
        <v>3291</v>
      </c>
      <c r="B4" t="s">
        <v>96</v>
      </c>
      <c r="C4" t="s">
        <v>2054</v>
      </c>
      <c r="D4" t="str">
        <f t="shared" si="0"/>
        <v>AAGROUP_Classe 2</v>
      </c>
    </row>
    <row r="5" spans="1:4" x14ac:dyDescent="0.3">
      <c r="A5" t="s">
        <v>3291</v>
      </c>
      <c r="B5" t="s">
        <v>96</v>
      </c>
      <c r="C5" t="s">
        <v>1029</v>
      </c>
      <c r="D5" t="str">
        <f t="shared" si="0"/>
        <v>AAGROUP_Classe 2</v>
      </c>
    </row>
    <row r="6" spans="1:4" x14ac:dyDescent="0.3">
      <c r="A6" t="s">
        <v>3291</v>
      </c>
      <c r="B6" t="s">
        <v>96</v>
      </c>
      <c r="C6" t="s">
        <v>3911</v>
      </c>
      <c r="D6" t="str">
        <f t="shared" si="0"/>
        <v>AAGROUP_Classe 2</v>
      </c>
    </row>
    <row r="7" spans="1:4" x14ac:dyDescent="0.3">
      <c r="A7" t="s">
        <v>3291</v>
      </c>
      <c r="B7" t="s">
        <v>96</v>
      </c>
      <c r="C7" t="s">
        <v>97</v>
      </c>
      <c r="D7" t="str">
        <f t="shared" si="0"/>
        <v>AAGROUP_Classe 2</v>
      </c>
    </row>
    <row r="8" spans="1:4" x14ac:dyDescent="0.3">
      <c r="A8" t="s">
        <v>3291</v>
      </c>
      <c r="B8" t="s">
        <v>96</v>
      </c>
      <c r="C8" t="s">
        <v>320</v>
      </c>
      <c r="D8" t="str">
        <f t="shared" si="0"/>
        <v>AAGROUP_Classe 2</v>
      </c>
    </row>
    <row r="9" spans="1:4" x14ac:dyDescent="0.3">
      <c r="A9" t="s">
        <v>3291</v>
      </c>
      <c r="B9" t="s">
        <v>96</v>
      </c>
      <c r="C9" t="s">
        <v>169</v>
      </c>
      <c r="D9" t="str">
        <f t="shared" si="0"/>
        <v>AAGROUP_Classe 2</v>
      </c>
    </row>
    <row r="10" spans="1:4" x14ac:dyDescent="0.3">
      <c r="A10" t="s">
        <v>3291</v>
      </c>
      <c r="B10" t="s">
        <v>96</v>
      </c>
      <c r="C10" t="s">
        <v>294</v>
      </c>
      <c r="D10" t="str">
        <f t="shared" si="0"/>
        <v>AAGROUP_Classe 2</v>
      </c>
    </row>
    <row r="11" spans="1:4" x14ac:dyDescent="0.3">
      <c r="A11" t="s">
        <v>3291</v>
      </c>
      <c r="B11" t="s">
        <v>96</v>
      </c>
      <c r="C11" t="s">
        <v>288</v>
      </c>
      <c r="D11" t="str">
        <f t="shared" si="0"/>
        <v>AAGROUP_Classe 2</v>
      </c>
    </row>
    <row r="12" spans="1:4" x14ac:dyDescent="0.3">
      <c r="A12" t="s">
        <v>3291</v>
      </c>
      <c r="B12" t="s">
        <v>96</v>
      </c>
      <c r="C12" t="s">
        <v>1308</v>
      </c>
      <c r="D12" t="str">
        <f t="shared" si="0"/>
        <v>AAGROUP_Classe 2</v>
      </c>
    </row>
    <row r="13" spans="1:4" x14ac:dyDescent="0.3">
      <c r="A13" t="s">
        <v>3291</v>
      </c>
      <c r="B13" t="s">
        <v>96</v>
      </c>
      <c r="C13" t="s">
        <v>201</v>
      </c>
      <c r="D13" t="str">
        <f t="shared" si="0"/>
        <v>AAGROUP_Classe 2</v>
      </c>
    </row>
    <row r="14" spans="1:4" x14ac:dyDescent="0.3">
      <c r="A14" t="s">
        <v>3291</v>
      </c>
      <c r="B14" t="s">
        <v>96</v>
      </c>
      <c r="C14" t="s">
        <v>107</v>
      </c>
      <c r="D14" t="str">
        <f t="shared" si="0"/>
        <v>AAGROUP_Classe 2</v>
      </c>
    </row>
    <row r="15" spans="1:4" x14ac:dyDescent="0.3">
      <c r="A15" t="s">
        <v>3291</v>
      </c>
      <c r="B15" t="s">
        <v>96</v>
      </c>
      <c r="C15" t="s">
        <v>1869</v>
      </c>
      <c r="D15" t="str">
        <f t="shared" si="0"/>
        <v>AAGROUP_Classe 2</v>
      </c>
    </row>
    <row r="16" spans="1:4" x14ac:dyDescent="0.3">
      <c r="A16" t="s">
        <v>3291</v>
      </c>
      <c r="B16" t="s">
        <v>96</v>
      </c>
      <c r="C16" t="s">
        <v>3298</v>
      </c>
      <c r="D16" t="str">
        <f t="shared" si="0"/>
        <v>AAGROUP_Classe 2</v>
      </c>
    </row>
    <row r="17" spans="1:4" x14ac:dyDescent="0.3">
      <c r="A17" t="s">
        <v>3291</v>
      </c>
      <c r="B17" t="s">
        <v>96</v>
      </c>
      <c r="C17" t="s">
        <v>657</v>
      </c>
    </row>
    <row r="18" spans="1:4" x14ac:dyDescent="0.3">
      <c r="A18" t="s">
        <v>3291</v>
      </c>
      <c r="B18" t="s">
        <v>96</v>
      </c>
      <c r="C18" t="s">
        <v>507</v>
      </c>
      <c r="D18" t="str">
        <f t="shared" si="0"/>
        <v>AAGROUP_Classe 2</v>
      </c>
    </row>
    <row r="19" spans="1:4" x14ac:dyDescent="0.3">
      <c r="A19" t="s">
        <v>3291</v>
      </c>
      <c r="B19" t="s">
        <v>96</v>
      </c>
      <c r="C19" t="s">
        <v>1698</v>
      </c>
      <c r="D19" t="str">
        <f t="shared" si="0"/>
        <v>AAGROUP_Classe 2</v>
      </c>
    </row>
    <row r="20" spans="1:4" x14ac:dyDescent="0.3">
      <c r="A20" t="s">
        <v>3291</v>
      </c>
      <c r="B20" t="s">
        <v>96</v>
      </c>
      <c r="C20" t="s">
        <v>681</v>
      </c>
      <c r="D20" t="str">
        <f t="shared" si="0"/>
        <v>AAGROUP_Classe 2</v>
      </c>
    </row>
    <row r="21" spans="1:4" x14ac:dyDescent="0.3">
      <c r="A21" t="s">
        <v>3291</v>
      </c>
      <c r="B21" t="s">
        <v>96</v>
      </c>
      <c r="C21" t="s">
        <v>1827</v>
      </c>
      <c r="D21" t="str">
        <f t="shared" si="0"/>
        <v>AAGROUP_Classe 2</v>
      </c>
    </row>
    <row r="22" spans="1:4" x14ac:dyDescent="0.3">
      <c r="A22" t="s">
        <v>3291</v>
      </c>
      <c r="B22" t="s">
        <v>96</v>
      </c>
      <c r="C22" t="s">
        <v>3912</v>
      </c>
      <c r="D22" t="str">
        <f t="shared" si="0"/>
        <v>AAGROUP_Classe 2</v>
      </c>
    </row>
    <row r="23" spans="1:4" x14ac:dyDescent="0.3">
      <c r="A23" t="s">
        <v>3291</v>
      </c>
      <c r="B23" t="s">
        <v>96</v>
      </c>
      <c r="C23" t="s">
        <v>3913</v>
      </c>
      <c r="D23" t="str">
        <f t="shared" si="0"/>
        <v>AAGROUP_Classe 2</v>
      </c>
    </row>
    <row r="24" spans="1:4" x14ac:dyDescent="0.3">
      <c r="A24" t="s">
        <v>3291</v>
      </c>
      <c r="B24" t="s">
        <v>96</v>
      </c>
      <c r="C24" t="s">
        <v>1927</v>
      </c>
      <c r="D24" t="str">
        <f t="shared" si="0"/>
        <v>AAGROUP_Classe 2</v>
      </c>
    </row>
    <row r="25" spans="1:4" x14ac:dyDescent="0.3">
      <c r="A25" t="s">
        <v>3291</v>
      </c>
      <c r="B25" t="s">
        <v>96</v>
      </c>
      <c r="C25" t="s">
        <v>989</v>
      </c>
      <c r="D25" t="str">
        <f t="shared" si="0"/>
        <v>AAGROUP_Classe 2</v>
      </c>
    </row>
    <row r="26" spans="1:4" x14ac:dyDescent="0.3">
      <c r="A26" t="s">
        <v>3291</v>
      </c>
      <c r="B26" t="s">
        <v>96</v>
      </c>
      <c r="C26" t="s">
        <v>976</v>
      </c>
      <c r="D26" t="str">
        <f t="shared" si="0"/>
        <v>AAGROUP_Classe 2</v>
      </c>
    </row>
    <row r="27" spans="1:4" x14ac:dyDescent="0.3">
      <c r="A27" t="s">
        <v>3291</v>
      </c>
      <c r="B27" t="s">
        <v>96</v>
      </c>
      <c r="C27" t="s">
        <v>983</v>
      </c>
      <c r="D27" t="str">
        <f t="shared" si="0"/>
        <v>AAGROUP_Classe 2</v>
      </c>
    </row>
    <row r="28" spans="1:4" x14ac:dyDescent="0.3">
      <c r="A28" t="s">
        <v>3291</v>
      </c>
      <c r="B28" t="s">
        <v>79</v>
      </c>
      <c r="C28" t="s">
        <v>3914</v>
      </c>
      <c r="D28" t="str">
        <f t="shared" si="0"/>
        <v>AAGROUP_Classe 6</v>
      </c>
    </row>
    <row r="29" spans="1:4" x14ac:dyDescent="0.3">
      <c r="A29" t="s">
        <v>3291</v>
      </c>
      <c r="B29" t="s">
        <v>79</v>
      </c>
      <c r="C29" t="s">
        <v>2261</v>
      </c>
      <c r="D29" t="str">
        <f t="shared" si="0"/>
        <v>AAGROUP_Classe 6</v>
      </c>
    </row>
    <row r="30" spans="1:4" x14ac:dyDescent="0.3">
      <c r="A30" t="s">
        <v>3291</v>
      </c>
      <c r="B30" t="s">
        <v>79</v>
      </c>
      <c r="C30" t="s">
        <v>182</v>
      </c>
      <c r="D30" t="str">
        <f t="shared" si="0"/>
        <v>AAGROUP_Classe 6</v>
      </c>
    </row>
    <row r="31" spans="1:4" x14ac:dyDescent="0.3">
      <c r="A31" t="s">
        <v>3291</v>
      </c>
      <c r="B31" t="s">
        <v>79</v>
      </c>
      <c r="C31" t="s">
        <v>81</v>
      </c>
      <c r="D31" t="str">
        <f t="shared" si="0"/>
        <v>AAGROUP_Classe 6</v>
      </c>
    </row>
    <row r="32" spans="1:4" x14ac:dyDescent="0.3">
      <c r="A32" t="s">
        <v>3291</v>
      </c>
      <c r="B32" t="s">
        <v>79</v>
      </c>
      <c r="C32" t="s">
        <v>241</v>
      </c>
      <c r="D32" t="str">
        <f t="shared" si="0"/>
        <v>AAGROUP_Classe 6</v>
      </c>
    </row>
    <row r="33" spans="1:4" x14ac:dyDescent="0.3">
      <c r="A33" t="s">
        <v>3291</v>
      </c>
      <c r="B33" t="s">
        <v>79</v>
      </c>
      <c r="C33" t="s">
        <v>1169</v>
      </c>
      <c r="D33" t="str">
        <f t="shared" si="0"/>
        <v>AAGROUP_Classe 6</v>
      </c>
    </row>
    <row r="34" spans="1:4" x14ac:dyDescent="0.3">
      <c r="A34" t="s">
        <v>3291</v>
      </c>
      <c r="B34" t="s">
        <v>79</v>
      </c>
      <c r="C34" t="s">
        <v>533</v>
      </c>
    </row>
    <row r="35" spans="1:4" x14ac:dyDescent="0.3">
      <c r="A35" t="s">
        <v>3291</v>
      </c>
      <c r="B35" t="s">
        <v>79</v>
      </c>
      <c r="C35" t="s">
        <v>163</v>
      </c>
    </row>
    <row r="36" spans="1:4" x14ac:dyDescent="0.3">
      <c r="A36" t="s">
        <v>3291</v>
      </c>
      <c r="B36" t="s">
        <v>79</v>
      </c>
      <c r="C36" t="s">
        <v>3915</v>
      </c>
    </row>
    <row r="37" spans="1:4" x14ac:dyDescent="0.3">
      <c r="A37" t="s">
        <v>3291</v>
      </c>
      <c r="B37" t="s">
        <v>853</v>
      </c>
      <c r="C37" t="s">
        <v>854</v>
      </c>
    </row>
    <row r="38" spans="1:4" x14ac:dyDescent="0.3">
      <c r="A38" t="s">
        <v>1</v>
      </c>
      <c r="B38" s="2" t="s">
        <v>96</v>
      </c>
      <c r="C38" s="12" t="s">
        <v>288</v>
      </c>
    </row>
    <row r="39" spans="1:4" x14ac:dyDescent="0.3">
      <c r="A39" t="s">
        <v>1</v>
      </c>
      <c r="B39" s="2" t="s">
        <v>79</v>
      </c>
      <c r="C39" s="2" t="s">
        <v>182</v>
      </c>
    </row>
    <row r="40" spans="1:4" x14ac:dyDescent="0.3">
      <c r="A40" t="s">
        <v>1</v>
      </c>
      <c r="B40" s="2" t="s">
        <v>79</v>
      </c>
      <c r="C40" s="2" t="s">
        <v>81</v>
      </c>
    </row>
    <row r="41" spans="1:4" x14ac:dyDescent="0.3">
      <c r="A41" t="s">
        <v>3</v>
      </c>
      <c r="B41" s="2" t="s">
        <v>79</v>
      </c>
      <c r="C41" s="12" t="s">
        <v>163</v>
      </c>
    </row>
    <row r="42" spans="1:4" x14ac:dyDescent="0.3">
      <c r="A42" t="s">
        <v>5</v>
      </c>
      <c r="B42" s="2" t="s">
        <v>96</v>
      </c>
      <c r="C42" s="12" t="s">
        <v>288</v>
      </c>
    </row>
    <row r="43" spans="1:4" x14ac:dyDescent="0.3">
      <c r="A43" t="s">
        <v>5</v>
      </c>
      <c r="B43" s="2" t="s">
        <v>96</v>
      </c>
      <c r="C43" s="2" t="s">
        <v>1869</v>
      </c>
    </row>
    <row r="44" spans="1:4" x14ac:dyDescent="0.3">
      <c r="A44" t="s">
        <v>5</v>
      </c>
      <c r="B44" s="2" t="s">
        <v>96</v>
      </c>
      <c r="C44" s="12" t="s">
        <v>3298</v>
      </c>
    </row>
    <row r="45" spans="1:4" x14ac:dyDescent="0.3">
      <c r="A45" t="s">
        <v>5</v>
      </c>
      <c r="B45" s="2" t="s">
        <v>79</v>
      </c>
      <c r="C45" s="2" t="s">
        <v>182</v>
      </c>
    </row>
    <row r="46" spans="1:4" x14ac:dyDescent="0.3">
      <c r="A46" t="s">
        <v>5</v>
      </c>
      <c r="B46" s="2" t="s">
        <v>79</v>
      </c>
      <c r="C46" s="2" t="s">
        <v>81</v>
      </c>
    </row>
    <row r="47" spans="1:4" x14ac:dyDescent="0.3">
      <c r="A47" t="s">
        <v>1542</v>
      </c>
      <c r="B47" t="s">
        <v>96</v>
      </c>
      <c r="C47" t="s">
        <v>175</v>
      </c>
    </row>
    <row r="48" spans="1:4" x14ac:dyDescent="0.3">
      <c r="A48" t="s">
        <v>1542</v>
      </c>
      <c r="B48" t="s">
        <v>96</v>
      </c>
      <c r="C48" t="s">
        <v>1422</v>
      </c>
    </row>
    <row r="49" spans="1:3" x14ac:dyDescent="0.3">
      <c r="A49" t="s">
        <v>1542</v>
      </c>
      <c r="B49" t="s">
        <v>96</v>
      </c>
      <c r="C49" t="s">
        <v>2054</v>
      </c>
    </row>
    <row r="50" spans="1:3" x14ac:dyDescent="0.3">
      <c r="A50" t="s">
        <v>1542</v>
      </c>
      <c r="B50" t="s">
        <v>96</v>
      </c>
      <c r="C50" t="s">
        <v>1029</v>
      </c>
    </row>
    <row r="51" spans="1:3" x14ac:dyDescent="0.3">
      <c r="A51" t="s">
        <v>1542</v>
      </c>
      <c r="B51" t="s">
        <v>96</v>
      </c>
      <c r="C51" t="s">
        <v>3911</v>
      </c>
    </row>
    <row r="52" spans="1:3" x14ac:dyDescent="0.3">
      <c r="A52" t="s">
        <v>1542</v>
      </c>
      <c r="B52" t="s">
        <v>96</v>
      </c>
      <c r="C52" t="s">
        <v>97</v>
      </c>
    </row>
    <row r="53" spans="1:3" x14ac:dyDescent="0.3">
      <c r="A53" t="s">
        <v>1542</v>
      </c>
      <c r="B53" t="s">
        <v>96</v>
      </c>
      <c r="C53" t="s">
        <v>320</v>
      </c>
    </row>
    <row r="54" spans="1:3" x14ac:dyDescent="0.3">
      <c r="A54" t="s">
        <v>1542</v>
      </c>
      <c r="B54" t="s">
        <v>96</v>
      </c>
      <c r="C54" t="s">
        <v>169</v>
      </c>
    </row>
    <row r="55" spans="1:3" x14ac:dyDescent="0.3">
      <c r="A55" t="s">
        <v>1542</v>
      </c>
      <c r="B55" t="s">
        <v>96</v>
      </c>
      <c r="C55" t="s">
        <v>294</v>
      </c>
    </row>
    <row r="56" spans="1:3" x14ac:dyDescent="0.3">
      <c r="A56" t="s">
        <v>1542</v>
      </c>
      <c r="B56" t="s">
        <v>96</v>
      </c>
      <c r="C56" t="s">
        <v>288</v>
      </c>
    </row>
    <row r="57" spans="1:3" x14ac:dyDescent="0.3">
      <c r="A57" t="s">
        <v>1542</v>
      </c>
      <c r="B57" t="s">
        <v>96</v>
      </c>
      <c r="C57" t="s">
        <v>1308</v>
      </c>
    </row>
    <row r="58" spans="1:3" x14ac:dyDescent="0.3">
      <c r="A58" t="s">
        <v>1542</v>
      </c>
      <c r="B58" t="s">
        <v>96</v>
      </c>
      <c r="C58" t="s">
        <v>201</v>
      </c>
    </row>
    <row r="59" spans="1:3" x14ac:dyDescent="0.3">
      <c r="A59" t="s">
        <v>1542</v>
      </c>
      <c r="B59" t="s">
        <v>96</v>
      </c>
      <c r="C59" t="s">
        <v>107</v>
      </c>
    </row>
    <row r="60" spans="1:3" x14ac:dyDescent="0.3">
      <c r="A60" t="s">
        <v>1542</v>
      </c>
      <c r="B60" t="s">
        <v>96</v>
      </c>
      <c r="C60" t="s">
        <v>1869</v>
      </c>
    </row>
    <row r="61" spans="1:3" x14ac:dyDescent="0.3">
      <c r="A61" t="s">
        <v>1542</v>
      </c>
      <c r="B61" t="s">
        <v>96</v>
      </c>
      <c r="C61" t="s">
        <v>3298</v>
      </c>
    </row>
    <row r="62" spans="1:3" x14ac:dyDescent="0.3">
      <c r="A62" t="s">
        <v>1542</v>
      </c>
      <c r="B62" t="s">
        <v>96</v>
      </c>
      <c r="C62" t="s">
        <v>657</v>
      </c>
    </row>
    <row r="63" spans="1:3" x14ac:dyDescent="0.3">
      <c r="A63" t="s">
        <v>1542</v>
      </c>
      <c r="B63" t="s">
        <v>96</v>
      </c>
      <c r="C63" t="s">
        <v>507</v>
      </c>
    </row>
    <row r="64" spans="1:3" x14ac:dyDescent="0.3">
      <c r="A64" t="s">
        <v>1542</v>
      </c>
      <c r="B64" t="s">
        <v>96</v>
      </c>
      <c r="C64" t="s">
        <v>681</v>
      </c>
    </row>
    <row r="65" spans="1:3" x14ac:dyDescent="0.3">
      <c r="A65" t="s">
        <v>1542</v>
      </c>
      <c r="B65" t="s">
        <v>96</v>
      </c>
      <c r="C65" t="s">
        <v>3912</v>
      </c>
    </row>
    <row r="66" spans="1:3" x14ac:dyDescent="0.3">
      <c r="A66" t="s">
        <v>1542</v>
      </c>
      <c r="B66" t="s">
        <v>96</v>
      </c>
      <c r="C66" t="s">
        <v>3913</v>
      </c>
    </row>
    <row r="67" spans="1:3" x14ac:dyDescent="0.3">
      <c r="A67" t="s">
        <v>1542</v>
      </c>
      <c r="B67" t="s">
        <v>96</v>
      </c>
      <c r="C67" t="s">
        <v>989</v>
      </c>
    </row>
    <row r="68" spans="1:3" x14ac:dyDescent="0.3">
      <c r="A68" t="s">
        <v>1542</v>
      </c>
      <c r="B68" t="s">
        <v>96</v>
      </c>
      <c r="C68" t="s">
        <v>976</v>
      </c>
    </row>
    <row r="69" spans="1:3" x14ac:dyDescent="0.3">
      <c r="A69" t="s">
        <v>1542</v>
      </c>
      <c r="B69" t="s">
        <v>96</v>
      </c>
      <c r="C69" t="s">
        <v>983</v>
      </c>
    </row>
    <row r="70" spans="1:3" x14ac:dyDescent="0.3">
      <c r="A70" t="s">
        <v>1542</v>
      </c>
      <c r="B70" t="s">
        <v>79</v>
      </c>
      <c r="C70" t="s">
        <v>182</v>
      </c>
    </row>
    <row r="71" spans="1:3" x14ac:dyDescent="0.3">
      <c r="A71" t="s">
        <v>1542</v>
      </c>
      <c r="B71" t="s">
        <v>79</v>
      </c>
      <c r="C71" t="s">
        <v>81</v>
      </c>
    </row>
    <row r="72" spans="1:3" x14ac:dyDescent="0.3">
      <c r="A72" t="s">
        <v>1542</v>
      </c>
      <c r="B72" t="s">
        <v>79</v>
      </c>
      <c r="C72" t="s">
        <v>241</v>
      </c>
    </row>
    <row r="73" spans="1:3" x14ac:dyDescent="0.3">
      <c r="A73" t="s">
        <v>1542</v>
      </c>
      <c r="B73" t="s">
        <v>79</v>
      </c>
      <c r="C73" t="s">
        <v>1169</v>
      </c>
    </row>
    <row r="74" spans="1:3" x14ac:dyDescent="0.3">
      <c r="A74" t="s">
        <v>1542</v>
      </c>
      <c r="B74" t="s">
        <v>79</v>
      </c>
      <c r="C74" t="s">
        <v>163</v>
      </c>
    </row>
    <row r="75" spans="1:3" x14ac:dyDescent="0.3">
      <c r="A75" t="s">
        <v>7</v>
      </c>
      <c r="B75" s="2" t="s">
        <v>79</v>
      </c>
      <c r="C75" s="12" t="s">
        <v>241</v>
      </c>
    </row>
    <row r="76" spans="1:3" x14ac:dyDescent="0.3">
      <c r="A76" t="s">
        <v>9</v>
      </c>
      <c r="B76" s="2" t="s">
        <v>79</v>
      </c>
      <c r="C76" s="12" t="s">
        <v>163</v>
      </c>
    </row>
    <row r="77" spans="1:3" x14ac:dyDescent="0.3">
      <c r="A77" t="s">
        <v>11</v>
      </c>
      <c r="B77" s="2" t="s">
        <v>96</v>
      </c>
      <c r="C77" s="2" t="s">
        <v>320</v>
      </c>
    </row>
    <row r="78" spans="1:3" x14ac:dyDescent="0.3">
      <c r="A78" t="s">
        <v>11</v>
      </c>
      <c r="B78" s="2" t="s">
        <v>96</v>
      </c>
      <c r="C78" s="2" t="s">
        <v>169</v>
      </c>
    </row>
    <row r="79" spans="1:3" x14ac:dyDescent="0.3">
      <c r="A79" t="s">
        <v>11</v>
      </c>
      <c r="B79" s="2" t="s">
        <v>96</v>
      </c>
      <c r="C79" s="2" t="s">
        <v>1869</v>
      </c>
    </row>
    <row r="80" spans="1:3" x14ac:dyDescent="0.3">
      <c r="A80" t="s">
        <v>11</v>
      </c>
      <c r="B80" s="2" t="s">
        <v>96</v>
      </c>
      <c r="C80" s="2" t="s">
        <v>3298</v>
      </c>
    </row>
    <row r="81" spans="1:3" x14ac:dyDescent="0.3">
      <c r="A81" t="s">
        <v>11</v>
      </c>
      <c r="B81" s="2" t="s">
        <v>96</v>
      </c>
      <c r="C81" s="2" t="s">
        <v>3912</v>
      </c>
    </row>
    <row r="82" spans="1:3" x14ac:dyDescent="0.3">
      <c r="A82" t="s">
        <v>11</v>
      </c>
      <c r="B82" s="2" t="s">
        <v>79</v>
      </c>
      <c r="C82" s="2" t="s">
        <v>182</v>
      </c>
    </row>
    <row r="83" spans="1:3" x14ac:dyDescent="0.3">
      <c r="A83" t="s">
        <v>11</v>
      </c>
      <c r="B83" s="2" t="s">
        <v>79</v>
      </c>
      <c r="C83" s="2" t="s">
        <v>81</v>
      </c>
    </row>
    <row r="84" spans="1:3" x14ac:dyDescent="0.3">
      <c r="A84" t="s">
        <v>2471</v>
      </c>
      <c r="B84" t="s">
        <v>96</v>
      </c>
      <c r="C84" t="s">
        <v>175</v>
      </c>
    </row>
    <row r="85" spans="1:3" x14ac:dyDescent="0.3">
      <c r="A85" t="s">
        <v>2471</v>
      </c>
      <c r="B85" t="s">
        <v>96</v>
      </c>
      <c r="C85" t="s">
        <v>1422</v>
      </c>
    </row>
    <row r="86" spans="1:3" x14ac:dyDescent="0.3">
      <c r="A86" t="s">
        <v>2471</v>
      </c>
      <c r="B86" t="s">
        <v>96</v>
      </c>
      <c r="C86" t="s">
        <v>2054</v>
      </c>
    </row>
    <row r="87" spans="1:3" x14ac:dyDescent="0.3">
      <c r="A87" t="s">
        <v>2471</v>
      </c>
      <c r="B87" t="s">
        <v>96</v>
      </c>
      <c r="C87" t="s">
        <v>1029</v>
      </c>
    </row>
    <row r="88" spans="1:3" x14ac:dyDescent="0.3">
      <c r="A88" t="s">
        <v>2471</v>
      </c>
      <c r="B88" t="s">
        <v>96</v>
      </c>
      <c r="C88" t="s">
        <v>3911</v>
      </c>
    </row>
    <row r="89" spans="1:3" x14ac:dyDescent="0.3">
      <c r="A89" t="s">
        <v>2471</v>
      </c>
      <c r="B89" t="s">
        <v>96</v>
      </c>
      <c r="C89" t="s">
        <v>97</v>
      </c>
    </row>
    <row r="90" spans="1:3" x14ac:dyDescent="0.3">
      <c r="A90" t="s">
        <v>2471</v>
      </c>
      <c r="B90" t="s">
        <v>96</v>
      </c>
      <c r="C90" t="s">
        <v>320</v>
      </c>
    </row>
    <row r="91" spans="1:3" x14ac:dyDescent="0.3">
      <c r="A91" t="s">
        <v>2471</v>
      </c>
      <c r="B91" t="s">
        <v>96</v>
      </c>
      <c r="C91" t="s">
        <v>169</v>
      </c>
    </row>
    <row r="92" spans="1:3" x14ac:dyDescent="0.3">
      <c r="A92" t="s">
        <v>2471</v>
      </c>
      <c r="B92" t="s">
        <v>96</v>
      </c>
      <c r="C92" t="s">
        <v>294</v>
      </c>
    </row>
    <row r="93" spans="1:3" x14ac:dyDescent="0.3">
      <c r="A93" t="s">
        <v>2471</v>
      </c>
      <c r="B93" t="s">
        <v>96</v>
      </c>
      <c r="C93" t="s">
        <v>288</v>
      </c>
    </row>
    <row r="94" spans="1:3" x14ac:dyDescent="0.3">
      <c r="A94" t="s">
        <v>2471</v>
      </c>
      <c r="B94" t="s">
        <v>96</v>
      </c>
      <c r="C94" t="s">
        <v>1308</v>
      </c>
    </row>
    <row r="95" spans="1:3" x14ac:dyDescent="0.3">
      <c r="A95" t="s">
        <v>2471</v>
      </c>
      <c r="B95" t="s">
        <v>96</v>
      </c>
      <c r="C95" t="s">
        <v>201</v>
      </c>
    </row>
    <row r="96" spans="1:3" x14ac:dyDescent="0.3">
      <c r="A96" t="s">
        <v>2471</v>
      </c>
      <c r="B96" t="s">
        <v>96</v>
      </c>
      <c r="C96" t="s">
        <v>107</v>
      </c>
    </row>
    <row r="97" spans="1:3" x14ac:dyDescent="0.3">
      <c r="A97" t="s">
        <v>2471</v>
      </c>
      <c r="B97" t="s">
        <v>96</v>
      </c>
      <c r="C97" t="s">
        <v>1869</v>
      </c>
    </row>
    <row r="98" spans="1:3" x14ac:dyDescent="0.3">
      <c r="A98" t="s">
        <v>2471</v>
      </c>
      <c r="B98" t="s">
        <v>96</v>
      </c>
      <c r="C98" t="s">
        <v>3298</v>
      </c>
    </row>
    <row r="99" spans="1:3" x14ac:dyDescent="0.3">
      <c r="A99" t="s">
        <v>2471</v>
      </c>
      <c r="B99" t="s">
        <v>96</v>
      </c>
      <c r="C99" t="s">
        <v>657</v>
      </c>
    </row>
    <row r="100" spans="1:3" x14ac:dyDescent="0.3">
      <c r="A100" t="s">
        <v>2471</v>
      </c>
      <c r="B100" t="s">
        <v>96</v>
      </c>
      <c r="C100" t="s">
        <v>507</v>
      </c>
    </row>
    <row r="101" spans="1:3" x14ac:dyDescent="0.3">
      <c r="A101" t="s">
        <v>2471</v>
      </c>
      <c r="B101" t="s">
        <v>96</v>
      </c>
      <c r="C101" t="s">
        <v>1698</v>
      </c>
    </row>
    <row r="102" spans="1:3" x14ac:dyDescent="0.3">
      <c r="A102" t="s">
        <v>2471</v>
      </c>
      <c r="B102" t="s">
        <v>96</v>
      </c>
      <c r="C102" t="s">
        <v>681</v>
      </c>
    </row>
    <row r="103" spans="1:3" x14ac:dyDescent="0.3">
      <c r="A103" t="s">
        <v>2471</v>
      </c>
      <c r="B103" t="s">
        <v>96</v>
      </c>
      <c r="C103" t="s">
        <v>1827</v>
      </c>
    </row>
    <row r="104" spans="1:3" x14ac:dyDescent="0.3">
      <c r="A104" t="s">
        <v>2471</v>
      </c>
      <c r="B104" t="s">
        <v>96</v>
      </c>
      <c r="C104" t="s">
        <v>3912</v>
      </c>
    </row>
    <row r="105" spans="1:3" x14ac:dyDescent="0.3">
      <c r="A105" t="s">
        <v>2471</v>
      </c>
      <c r="B105" t="s">
        <v>96</v>
      </c>
      <c r="C105" t="s">
        <v>3913</v>
      </c>
    </row>
    <row r="106" spans="1:3" x14ac:dyDescent="0.3">
      <c r="A106" t="s">
        <v>2471</v>
      </c>
      <c r="B106" t="s">
        <v>96</v>
      </c>
      <c r="C106" t="s">
        <v>1927</v>
      </c>
    </row>
    <row r="107" spans="1:3" x14ac:dyDescent="0.3">
      <c r="A107" t="s">
        <v>2471</v>
      </c>
      <c r="B107" t="s">
        <v>96</v>
      </c>
      <c r="C107" t="s">
        <v>989</v>
      </c>
    </row>
    <row r="108" spans="1:3" x14ac:dyDescent="0.3">
      <c r="A108" t="s">
        <v>2471</v>
      </c>
      <c r="B108" t="s">
        <v>96</v>
      </c>
      <c r="C108" t="s">
        <v>976</v>
      </c>
    </row>
    <row r="109" spans="1:3" x14ac:dyDescent="0.3">
      <c r="A109" t="s">
        <v>2471</v>
      </c>
      <c r="B109" t="s">
        <v>96</v>
      </c>
      <c r="C109" t="s">
        <v>983</v>
      </c>
    </row>
    <row r="110" spans="1:3" x14ac:dyDescent="0.3">
      <c r="A110" t="s">
        <v>2471</v>
      </c>
      <c r="B110" t="s">
        <v>79</v>
      </c>
      <c r="C110" t="s">
        <v>182</v>
      </c>
    </row>
    <row r="111" spans="1:3" x14ac:dyDescent="0.3">
      <c r="A111" t="s">
        <v>2471</v>
      </c>
      <c r="B111" t="s">
        <v>79</v>
      </c>
      <c r="C111" t="s">
        <v>81</v>
      </c>
    </row>
    <row r="112" spans="1:3" x14ac:dyDescent="0.3">
      <c r="A112" t="s">
        <v>2471</v>
      </c>
      <c r="B112" t="s">
        <v>79</v>
      </c>
      <c r="C112" t="s">
        <v>241</v>
      </c>
    </row>
    <row r="113" spans="1:3" x14ac:dyDescent="0.3">
      <c r="A113" t="s">
        <v>2471</v>
      </c>
      <c r="B113" t="s">
        <v>79</v>
      </c>
      <c r="C113" t="s">
        <v>163</v>
      </c>
    </row>
    <row r="114" spans="1:3" x14ac:dyDescent="0.3">
      <c r="A114" t="s">
        <v>1697</v>
      </c>
      <c r="B114" t="s">
        <v>96</v>
      </c>
      <c r="C114" t="s">
        <v>175</v>
      </c>
    </row>
    <row r="115" spans="1:3" x14ac:dyDescent="0.3">
      <c r="A115" t="s">
        <v>1697</v>
      </c>
      <c r="B115" t="s">
        <v>96</v>
      </c>
      <c r="C115" t="s">
        <v>1422</v>
      </c>
    </row>
    <row r="116" spans="1:3" x14ac:dyDescent="0.3">
      <c r="A116" t="s">
        <v>1697</v>
      </c>
      <c r="B116" t="s">
        <v>96</v>
      </c>
      <c r="C116" t="s">
        <v>2054</v>
      </c>
    </row>
    <row r="117" spans="1:3" x14ac:dyDescent="0.3">
      <c r="A117" t="s">
        <v>1697</v>
      </c>
      <c r="B117" t="s">
        <v>96</v>
      </c>
      <c r="C117" t="s">
        <v>1029</v>
      </c>
    </row>
    <row r="118" spans="1:3" x14ac:dyDescent="0.3">
      <c r="A118" t="s">
        <v>1697</v>
      </c>
      <c r="B118" t="s">
        <v>96</v>
      </c>
      <c r="C118" t="s">
        <v>3911</v>
      </c>
    </row>
    <row r="119" spans="1:3" x14ac:dyDescent="0.3">
      <c r="A119" t="s">
        <v>1697</v>
      </c>
      <c r="B119" t="s">
        <v>96</v>
      </c>
      <c r="C119" t="s">
        <v>97</v>
      </c>
    </row>
    <row r="120" spans="1:3" x14ac:dyDescent="0.3">
      <c r="A120" t="s">
        <v>1697</v>
      </c>
      <c r="B120" t="s">
        <v>96</v>
      </c>
      <c r="C120" t="s">
        <v>320</v>
      </c>
    </row>
    <row r="121" spans="1:3" x14ac:dyDescent="0.3">
      <c r="A121" t="s">
        <v>1697</v>
      </c>
      <c r="B121" t="s">
        <v>96</v>
      </c>
      <c r="C121" t="s">
        <v>169</v>
      </c>
    </row>
    <row r="122" spans="1:3" x14ac:dyDescent="0.3">
      <c r="A122" t="s">
        <v>1697</v>
      </c>
      <c r="B122" t="s">
        <v>96</v>
      </c>
      <c r="C122" t="s">
        <v>294</v>
      </c>
    </row>
    <row r="123" spans="1:3" x14ac:dyDescent="0.3">
      <c r="A123" t="s">
        <v>1697</v>
      </c>
      <c r="B123" t="s">
        <v>96</v>
      </c>
      <c r="C123" t="s">
        <v>288</v>
      </c>
    </row>
    <row r="124" spans="1:3" x14ac:dyDescent="0.3">
      <c r="A124" t="s">
        <v>1697</v>
      </c>
      <c r="B124" t="s">
        <v>96</v>
      </c>
      <c r="C124" t="s">
        <v>1308</v>
      </c>
    </row>
    <row r="125" spans="1:3" x14ac:dyDescent="0.3">
      <c r="A125" t="s">
        <v>1697</v>
      </c>
      <c r="B125" t="s">
        <v>96</v>
      </c>
      <c r="C125" t="s">
        <v>201</v>
      </c>
    </row>
    <row r="126" spans="1:3" x14ac:dyDescent="0.3">
      <c r="A126" t="s">
        <v>1697</v>
      </c>
      <c r="B126" t="s">
        <v>96</v>
      </c>
      <c r="C126" t="s">
        <v>107</v>
      </c>
    </row>
    <row r="127" spans="1:3" x14ac:dyDescent="0.3">
      <c r="A127" t="s">
        <v>1697</v>
      </c>
      <c r="B127" t="s">
        <v>96</v>
      </c>
      <c r="C127" t="s">
        <v>1869</v>
      </c>
    </row>
    <row r="128" spans="1:3" x14ac:dyDescent="0.3">
      <c r="A128" t="s">
        <v>1697</v>
      </c>
      <c r="B128" t="s">
        <v>96</v>
      </c>
      <c r="C128" t="s">
        <v>3298</v>
      </c>
    </row>
    <row r="129" spans="1:3" x14ac:dyDescent="0.3">
      <c r="A129" t="s">
        <v>1697</v>
      </c>
      <c r="B129" t="s">
        <v>96</v>
      </c>
      <c r="C129" t="s">
        <v>657</v>
      </c>
    </row>
    <row r="130" spans="1:3" x14ac:dyDescent="0.3">
      <c r="A130" t="s">
        <v>1697</v>
      </c>
      <c r="B130" t="s">
        <v>96</v>
      </c>
      <c r="C130" t="s">
        <v>507</v>
      </c>
    </row>
    <row r="131" spans="1:3" x14ac:dyDescent="0.3">
      <c r="A131" t="s">
        <v>1697</v>
      </c>
      <c r="B131" t="s">
        <v>96</v>
      </c>
      <c r="C131" t="s">
        <v>1698</v>
      </c>
    </row>
    <row r="132" spans="1:3" x14ac:dyDescent="0.3">
      <c r="A132" t="s">
        <v>1697</v>
      </c>
      <c r="B132" t="s">
        <v>96</v>
      </c>
      <c r="C132" t="s">
        <v>681</v>
      </c>
    </row>
    <row r="133" spans="1:3" x14ac:dyDescent="0.3">
      <c r="A133" t="s">
        <v>1697</v>
      </c>
      <c r="B133" t="s">
        <v>96</v>
      </c>
      <c r="C133" t="s">
        <v>3912</v>
      </c>
    </row>
    <row r="134" spans="1:3" x14ac:dyDescent="0.3">
      <c r="A134" t="s">
        <v>1697</v>
      </c>
      <c r="B134" t="s">
        <v>96</v>
      </c>
      <c r="C134" t="s">
        <v>3913</v>
      </c>
    </row>
    <row r="135" spans="1:3" x14ac:dyDescent="0.3">
      <c r="A135" t="s">
        <v>1697</v>
      </c>
      <c r="B135" t="s">
        <v>96</v>
      </c>
      <c r="C135" t="s">
        <v>989</v>
      </c>
    </row>
    <row r="136" spans="1:3" x14ac:dyDescent="0.3">
      <c r="A136" t="s">
        <v>1697</v>
      </c>
      <c r="B136" t="s">
        <v>96</v>
      </c>
      <c r="C136" t="s">
        <v>976</v>
      </c>
    </row>
    <row r="137" spans="1:3" x14ac:dyDescent="0.3">
      <c r="A137" t="s">
        <v>1697</v>
      </c>
      <c r="B137" t="s">
        <v>96</v>
      </c>
      <c r="C137" t="s">
        <v>983</v>
      </c>
    </row>
    <row r="138" spans="1:3" x14ac:dyDescent="0.3">
      <c r="A138" t="s">
        <v>1697</v>
      </c>
      <c r="B138" t="s">
        <v>79</v>
      </c>
      <c r="C138" t="s">
        <v>182</v>
      </c>
    </row>
    <row r="139" spans="1:3" x14ac:dyDescent="0.3">
      <c r="A139" t="s">
        <v>1697</v>
      </c>
      <c r="B139" t="s">
        <v>79</v>
      </c>
      <c r="C139" t="s">
        <v>81</v>
      </c>
    </row>
    <row r="140" spans="1:3" x14ac:dyDescent="0.3">
      <c r="A140" t="s">
        <v>1697</v>
      </c>
      <c r="B140" t="s">
        <v>79</v>
      </c>
      <c r="C140" t="s">
        <v>241</v>
      </c>
    </row>
    <row r="141" spans="1:3" x14ac:dyDescent="0.3">
      <c r="A141" t="s">
        <v>1697</v>
      </c>
      <c r="B141" t="s">
        <v>79</v>
      </c>
      <c r="C141" t="s">
        <v>1169</v>
      </c>
    </row>
    <row r="142" spans="1:3" x14ac:dyDescent="0.3">
      <c r="A142" t="s">
        <v>1697</v>
      </c>
      <c r="B142" t="s">
        <v>79</v>
      </c>
      <c r="C142" t="s">
        <v>163</v>
      </c>
    </row>
    <row r="143" spans="1:3" x14ac:dyDescent="0.3">
      <c r="A143" t="s">
        <v>676</v>
      </c>
      <c r="B143" s="2" t="s">
        <v>79</v>
      </c>
      <c r="C143" s="12" t="s">
        <v>241</v>
      </c>
    </row>
    <row r="144" spans="1:3" x14ac:dyDescent="0.3">
      <c r="A144" t="s">
        <v>13</v>
      </c>
      <c r="B144" s="2" t="s">
        <v>96</v>
      </c>
      <c r="C144" s="13" t="s">
        <v>681</v>
      </c>
    </row>
    <row r="145" spans="1:3" x14ac:dyDescent="0.3">
      <c r="A145" t="s">
        <v>13</v>
      </c>
      <c r="B145" s="2" t="s">
        <v>79</v>
      </c>
      <c r="C145" s="2" t="s">
        <v>182</v>
      </c>
    </row>
    <row r="146" spans="1:3" x14ac:dyDescent="0.3">
      <c r="A146" t="s">
        <v>13</v>
      </c>
      <c r="B146" s="2" t="s">
        <v>79</v>
      </c>
      <c r="C146" s="2" t="s">
        <v>81</v>
      </c>
    </row>
    <row r="147" spans="1:3" x14ac:dyDescent="0.3">
      <c r="A147" t="s">
        <v>1334</v>
      </c>
      <c r="B147" t="s">
        <v>96</v>
      </c>
      <c r="C147" t="s">
        <v>175</v>
      </c>
    </row>
    <row r="148" spans="1:3" x14ac:dyDescent="0.3">
      <c r="A148" t="s">
        <v>1334</v>
      </c>
      <c r="B148" t="s">
        <v>96</v>
      </c>
      <c r="C148" t="s">
        <v>1422</v>
      </c>
    </row>
    <row r="149" spans="1:3" x14ac:dyDescent="0.3">
      <c r="A149" t="s">
        <v>1334</v>
      </c>
      <c r="B149" t="s">
        <v>96</v>
      </c>
      <c r="C149" t="s">
        <v>2054</v>
      </c>
    </row>
    <row r="150" spans="1:3" x14ac:dyDescent="0.3">
      <c r="A150" t="s">
        <v>1334</v>
      </c>
      <c r="B150" t="s">
        <v>96</v>
      </c>
      <c r="C150" t="s">
        <v>1029</v>
      </c>
    </row>
    <row r="151" spans="1:3" x14ac:dyDescent="0.3">
      <c r="A151" t="s">
        <v>1334</v>
      </c>
      <c r="B151" t="s">
        <v>96</v>
      </c>
      <c r="C151" t="s">
        <v>3911</v>
      </c>
    </row>
    <row r="152" spans="1:3" x14ac:dyDescent="0.3">
      <c r="A152" t="s">
        <v>1334</v>
      </c>
      <c r="B152" t="s">
        <v>96</v>
      </c>
      <c r="C152" t="s">
        <v>97</v>
      </c>
    </row>
    <row r="153" spans="1:3" x14ac:dyDescent="0.3">
      <c r="A153" t="s">
        <v>1334</v>
      </c>
      <c r="B153" t="s">
        <v>96</v>
      </c>
      <c r="C153" t="s">
        <v>320</v>
      </c>
    </row>
    <row r="154" spans="1:3" x14ac:dyDescent="0.3">
      <c r="A154" t="s">
        <v>1334</v>
      </c>
      <c r="B154" t="s">
        <v>96</v>
      </c>
      <c r="C154" t="s">
        <v>169</v>
      </c>
    </row>
    <row r="155" spans="1:3" x14ac:dyDescent="0.3">
      <c r="A155" t="s">
        <v>1334</v>
      </c>
      <c r="B155" t="s">
        <v>96</v>
      </c>
      <c r="C155" t="s">
        <v>294</v>
      </c>
    </row>
    <row r="156" spans="1:3" x14ac:dyDescent="0.3">
      <c r="A156" t="s">
        <v>1334</v>
      </c>
      <c r="B156" t="s">
        <v>96</v>
      </c>
      <c r="C156" t="s">
        <v>288</v>
      </c>
    </row>
    <row r="157" spans="1:3" x14ac:dyDescent="0.3">
      <c r="A157" t="s">
        <v>1334</v>
      </c>
      <c r="B157" t="s">
        <v>96</v>
      </c>
      <c r="C157" t="s">
        <v>1308</v>
      </c>
    </row>
    <row r="158" spans="1:3" x14ac:dyDescent="0.3">
      <c r="A158" t="s">
        <v>1334</v>
      </c>
      <c r="B158" t="s">
        <v>96</v>
      </c>
      <c r="C158" t="s">
        <v>201</v>
      </c>
    </row>
    <row r="159" spans="1:3" x14ac:dyDescent="0.3">
      <c r="A159" t="s">
        <v>1334</v>
      </c>
      <c r="B159" t="s">
        <v>96</v>
      </c>
      <c r="C159" t="s">
        <v>107</v>
      </c>
    </row>
    <row r="160" spans="1:3" x14ac:dyDescent="0.3">
      <c r="A160" t="s">
        <v>1334</v>
      </c>
      <c r="B160" t="s">
        <v>96</v>
      </c>
      <c r="C160" t="s">
        <v>1869</v>
      </c>
    </row>
    <row r="161" spans="1:3" x14ac:dyDescent="0.3">
      <c r="A161" t="s">
        <v>1334</v>
      </c>
      <c r="B161" t="s">
        <v>96</v>
      </c>
      <c r="C161" t="s">
        <v>3298</v>
      </c>
    </row>
    <row r="162" spans="1:3" x14ac:dyDescent="0.3">
      <c r="A162" t="s">
        <v>1334</v>
      </c>
      <c r="B162" t="s">
        <v>96</v>
      </c>
      <c r="C162" t="s">
        <v>657</v>
      </c>
    </row>
    <row r="163" spans="1:3" x14ac:dyDescent="0.3">
      <c r="A163" t="s">
        <v>1334</v>
      </c>
      <c r="B163" t="s">
        <v>96</v>
      </c>
      <c r="C163" t="s">
        <v>507</v>
      </c>
    </row>
    <row r="164" spans="1:3" x14ac:dyDescent="0.3">
      <c r="A164" t="s">
        <v>1334</v>
      </c>
      <c r="B164" t="s">
        <v>96</v>
      </c>
      <c r="C164" t="s">
        <v>1698</v>
      </c>
    </row>
    <row r="165" spans="1:3" x14ac:dyDescent="0.3">
      <c r="A165" t="s">
        <v>1334</v>
      </c>
      <c r="B165" t="s">
        <v>96</v>
      </c>
      <c r="C165" t="s">
        <v>681</v>
      </c>
    </row>
    <row r="166" spans="1:3" x14ac:dyDescent="0.3">
      <c r="A166" t="s">
        <v>1334</v>
      </c>
      <c r="B166" t="s">
        <v>96</v>
      </c>
      <c r="C166" t="s">
        <v>1827</v>
      </c>
    </row>
    <row r="167" spans="1:3" x14ac:dyDescent="0.3">
      <c r="A167" t="s">
        <v>1334</v>
      </c>
      <c r="B167" t="s">
        <v>96</v>
      </c>
      <c r="C167" t="s">
        <v>3912</v>
      </c>
    </row>
    <row r="168" spans="1:3" x14ac:dyDescent="0.3">
      <c r="A168" t="s">
        <v>1334</v>
      </c>
      <c r="B168" t="s">
        <v>96</v>
      </c>
      <c r="C168" t="s">
        <v>3913</v>
      </c>
    </row>
    <row r="169" spans="1:3" x14ac:dyDescent="0.3">
      <c r="A169" t="s">
        <v>1334</v>
      </c>
      <c r="B169" t="s">
        <v>96</v>
      </c>
      <c r="C169" t="s">
        <v>1927</v>
      </c>
    </row>
    <row r="170" spans="1:3" x14ac:dyDescent="0.3">
      <c r="A170" t="s">
        <v>1334</v>
      </c>
      <c r="B170" t="s">
        <v>96</v>
      </c>
      <c r="C170" t="s">
        <v>989</v>
      </c>
    </row>
    <row r="171" spans="1:3" x14ac:dyDescent="0.3">
      <c r="A171" t="s">
        <v>1334</v>
      </c>
      <c r="B171" t="s">
        <v>96</v>
      </c>
      <c r="C171" t="s">
        <v>976</v>
      </c>
    </row>
    <row r="172" spans="1:3" x14ac:dyDescent="0.3">
      <c r="A172" t="s">
        <v>1334</v>
      </c>
      <c r="B172" t="s">
        <v>96</v>
      </c>
      <c r="C172" t="s">
        <v>983</v>
      </c>
    </row>
    <row r="173" spans="1:3" x14ac:dyDescent="0.3">
      <c r="A173" t="s">
        <v>1334</v>
      </c>
      <c r="B173" t="s">
        <v>79</v>
      </c>
      <c r="C173" t="s">
        <v>182</v>
      </c>
    </row>
    <row r="174" spans="1:3" x14ac:dyDescent="0.3">
      <c r="A174" t="s">
        <v>1334</v>
      </c>
      <c r="B174" t="s">
        <v>79</v>
      </c>
      <c r="C174" t="s">
        <v>81</v>
      </c>
    </row>
    <row r="175" spans="1:3" x14ac:dyDescent="0.3">
      <c r="A175" t="s">
        <v>1334</v>
      </c>
      <c r="B175" t="s">
        <v>79</v>
      </c>
      <c r="C175" t="s">
        <v>241</v>
      </c>
    </row>
    <row r="176" spans="1:3" x14ac:dyDescent="0.3">
      <c r="A176" t="s">
        <v>1334</v>
      </c>
      <c r="B176" t="s">
        <v>79</v>
      </c>
      <c r="C176" t="s">
        <v>1169</v>
      </c>
    </row>
    <row r="177" spans="1:3" x14ac:dyDescent="0.3">
      <c r="A177" t="s">
        <v>1334</v>
      </c>
      <c r="B177" t="s">
        <v>79</v>
      </c>
      <c r="C177" t="s">
        <v>163</v>
      </c>
    </row>
    <row r="178" spans="1:3" x14ac:dyDescent="0.3">
      <c r="A178" t="s">
        <v>2141</v>
      </c>
      <c r="B178" t="s">
        <v>96</v>
      </c>
      <c r="C178" t="s">
        <v>175</v>
      </c>
    </row>
    <row r="179" spans="1:3" x14ac:dyDescent="0.3">
      <c r="A179" t="s">
        <v>2141</v>
      </c>
      <c r="B179" t="s">
        <v>96</v>
      </c>
      <c r="C179" t="s">
        <v>1422</v>
      </c>
    </row>
    <row r="180" spans="1:3" x14ac:dyDescent="0.3">
      <c r="A180" t="s">
        <v>2141</v>
      </c>
      <c r="B180" t="s">
        <v>96</v>
      </c>
      <c r="C180" t="s">
        <v>2054</v>
      </c>
    </row>
    <row r="181" spans="1:3" x14ac:dyDescent="0.3">
      <c r="A181" t="s">
        <v>2141</v>
      </c>
      <c r="B181" t="s">
        <v>96</v>
      </c>
      <c r="C181" t="s">
        <v>1029</v>
      </c>
    </row>
    <row r="182" spans="1:3" x14ac:dyDescent="0.3">
      <c r="A182" t="s">
        <v>2141</v>
      </c>
      <c r="B182" t="s">
        <v>96</v>
      </c>
      <c r="C182" t="s">
        <v>3911</v>
      </c>
    </row>
    <row r="183" spans="1:3" x14ac:dyDescent="0.3">
      <c r="A183" t="s">
        <v>2141</v>
      </c>
      <c r="B183" t="s">
        <v>96</v>
      </c>
      <c r="C183" t="s">
        <v>97</v>
      </c>
    </row>
    <row r="184" spans="1:3" x14ac:dyDescent="0.3">
      <c r="A184" t="s">
        <v>2141</v>
      </c>
      <c r="B184" t="s">
        <v>96</v>
      </c>
      <c r="C184" t="s">
        <v>320</v>
      </c>
    </row>
    <row r="185" spans="1:3" x14ac:dyDescent="0.3">
      <c r="A185" t="s">
        <v>2141</v>
      </c>
      <c r="B185" t="s">
        <v>96</v>
      </c>
      <c r="C185" t="s">
        <v>169</v>
      </c>
    </row>
    <row r="186" spans="1:3" x14ac:dyDescent="0.3">
      <c r="A186" t="s">
        <v>2141</v>
      </c>
      <c r="B186" t="s">
        <v>96</v>
      </c>
      <c r="C186" t="s">
        <v>294</v>
      </c>
    </row>
    <row r="187" spans="1:3" x14ac:dyDescent="0.3">
      <c r="A187" t="s">
        <v>2141</v>
      </c>
      <c r="B187" t="s">
        <v>96</v>
      </c>
      <c r="C187" t="s">
        <v>288</v>
      </c>
    </row>
    <row r="188" spans="1:3" x14ac:dyDescent="0.3">
      <c r="A188" t="s">
        <v>2141</v>
      </c>
      <c r="B188" t="s">
        <v>96</v>
      </c>
      <c r="C188" t="s">
        <v>1308</v>
      </c>
    </row>
    <row r="189" spans="1:3" x14ac:dyDescent="0.3">
      <c r="A189" t="s">
        <v>2141</v>
      </c>
      <c r="B189" t="s">
        <v>96</v>
      </c>
      <c r="C189" t="s">
        <v>201</v>
      </c>
    </row>
    <row r="190" spans="1:3" x14ac:dyDescent="0.3">
      <c r="A190" t="s">
        <v>2141</v>
      </c>
      <c r="B190" t="s">
        <v>96</v>
      </c>
      <c r="C190" t="s">
        <v>107</v>
      </c>
    </row>
    <row r="191" spans="1:3" x14ac:dyDescent="0.3">
      <c r="A191" t="s">
        <v>2141</v>
      </c>
      <c r="B191" t="s">
        <v>96</v>
      </c>
      <c r="C191" t="s">
        <v>1869</v>
      </c>
    </row>
    <row r="192" spans="1:3" x14ac:dyDescent="0.3">
      <c r="A192" t="s">
        <v>2141</v>
      </c>
      <c r="B192" t="s">
        <v>96</v>
      </c>
      <c r="C192" t="s">
        <v>3298</v>
      </c>
    </row>
    <row r="193" spans="1:3" x14ac:dyDescent="0.3">
      <c r="A193" t="s">
        <v>2141</v>
      </c>
      <c r="B193" t="s">
        <v>96</v>
      </c>
      <c r="C193" t="s">
        <v>657</v>
      </c>
    </row>
    <row r="194" spans="1:3" x14ac:dyDescent="0.3">
      <c r="A194" t="s">
        <v>2141</v>
      </c>
      <c r="B194" t="s">
        <v>96</v>
      </c>
      <c r="C194" t="s">
        <v>507</v>
      </c>
    </row>
    <row r="195" spans="1:3" x14ac:dyDescent="0.3">
      <c r="A195" t="s">
        <v>2141</v>
      </c>
      <c r="B195" t="s">
        <v>96</v>
      </c>
      <c r="C195" t="s">
        <v>1698</v>
      </c>
    </row>
    <row r="196" spans="1:3" x14ac:dyDescent="0.3">
      <c r="A196" t="s">
        <v>2141</v>
      </c>
      <c r="B196" t="s">
        <v>96</v>
      </c>
      <c r="C196" t="s">
        <v>681</v>
      </c>
    </row>
    <row r="197" spans="1:3" x14ac:dyDescent="0.3">
      <c r="A197" t="s">
        <v>2141</v>
      </c>
      <c r="B197" t="s">
        <v>96</v>
      </c>
      <c r="C197" t="s">
        <v>1827</v>
      </c>
    </row>
    <row r="198" spans="1:3" x14ac:dyDescent="0.3">
      <c r="A198" t="s">
        <v>2141</v>
      </c>
      <c r="B198" t="s">
        <v>96</v>
      </c>
      <c r="C198" t="s">
        <v>3912</v>
      </c>
    </row>
    <row r="199" spans="1:3" x14ac:dyDescent="0.3">
      <c r="A199" t="s">
        <v>2141</v>
      </c>
      <c r="B199" t="s">
        <v>96</v>
      </c>
      <c r="C199" t="s">
        <v>3913</v>
      </c>
    </row>
    <row r="200" spans="1:3" x14ac:dyDescent="0.3">
      <c r="A200" t="s">
        <v>2141</v>
      </c>
      <c r="B200" t="s">
        <v>96</v>
      </c>
      <c r="C200" t="s">
        <v>1927</v>
      </c>
    </row>
    <row r="201" spans="1:3" x14ac:dyDescent="0.3">
      <c r="A201" t="s">
        <v>2141</v>
      </c>
      <c r="B201" t="s">
        <v>96</v>
      </c>
      <c r="C201" t="s">
        <v>989</v>
      </c>
    </row>
    <row r="202" spans="1:3" x14ac:dyDescent="0.3">
      <c r="A202" t="s">
        <v>2141</v>
      </c>
      <c r="B202" t="s">
        <v>96</v>
      </c>
      <c r="C202" t="s">
        <v>976</v>
      </c>
    </row>
    <row r="203" spans="1:3" x14ac:dyDescent="0.3">
      <c r="A203" t="s">
        <v>2141</v>
      </c>
      <c r="B203" t="s">
        <v>96</v>
      </c>
      <c r="C203" t="s">
        <v>983</v>
      </c>
    </row>
    <row r="204" spans="1:3" x14ac:dyDescent="0.3">
      <c r="A204" t="s">
        <v>2141</v>
      </c>
      <c r="B204" t="s">
        <v>79</v>
      </c>
      <c r="C204" t="s">
        <v>182</v>
      </c>
    </row>
    <row r="205" spans="1:3" x14ac:dyDescent="0.3">
      <c r="A205" t="s">
        <v>2141</v>
      </c>
      <c r="B205" t="s">
        <v>79</v>
      </c>
      <c r="C205" t="s">
        <v>81</v>
      </c>
    </row>
    <row r="206" spans="1:3" x14ac:dyDescent="0.3">
      <c r="A206" t="s">
        <v>2141</v>
      </c>
      <c r="B206" t="s">
        <v>79</v>
      </c>
      <c r="C206" t="s">
        <v>241</v>
      </c>
    </row>
    <row r="207" spans="1:3" x14ac:dyDescent="0.3">
      <c r="A207" t="s">
        <v>2141</v>
      </c>
      <c r="B207" t="s">
        <v>79</v>
      </c>
      <c r="C207" t="s">
        <v>1169</v>
      </c>
    </row>
    <row r="208" spans="1:3" x14ac:dyDescent="0.3">
      <c r="A208" t="s">
        <v>2141</v>
      </c>
      <c r="B208" t="s">
        <v>79</v>
      </c>
      <c r="C208" t="s">
        <v>163</v>
      </c>
    </row>
    <row r="209" spans="1:3" x14ac:dyDescent="0.3">
      <c r="A209" t="s">
        <v>15</v>
      </c>
      <c r="B209" s="2" t="s">
        <v>96</v>
      </c>
      <c r="C209" s="12" t="s">
        <v>2054</v>
      </c>
    </row>
    <row r="210" spans="1:3" x14ac:dyDescent="0.3">
      <c r="A210" t="s">
        <v>15</v>
      </c>
      <c r="B210" s="2" t="s">
        <v>96</v>
      </c>
      <c r="C210" s="12" t="s">
        <v>1029</v>
      </c>
    </row>
    <row r="211" spans="1:3" x14ac:dyDescent="0.3">
      <c r="A211" t="s">
        <v>15</v>
      </c>
      <c r="B211" s="2" t="s">
        <v>96</v>
      </c>
      <c r="C211" s="12" t="s">
        <v>97</v>
      </c>
    </row>
    <row r="212" spans="1:3" x14ac:dyDescent="0.3">
      <c r="A212" t="s">
        <v>15</v>
      </c>
      <c r="B212" s="2" t="s">
        <v>96</v>
      </c>
      <c r="C212" s="12" t="s">
        <v>288</v>
      </c>
    </row>
    <row r="213" spans="1:3" x14ac:dyDescent="0.3">
      <c r="A213" t="s">
        <v>15</v>
      </c>
      <c r="B213" s="2" t="s">
        <v>96</v>
      </c>
      <c r="C213" s="12" t="s">
        <v>107</v>
      </c>
    </row>
    <row r="214" spans="1:3" x14ac:dyDescent="0.3">
      <c r="A214" t="s">
        <v>15</v>
      </c>
      <c r="B214" s="2" t="s">
        <v>96</v>
      </c>
      <c r="C214" s="2" t="s">
        <v>1869</v>
      </c>
    </row>
    <row r="215" spans="1:3" x14ac:dyDescent="0.3">
      <c r="A215" t="s">
        <v>15</v>
      </c>
      <c r="B215" s="2" t="s">
        <v>96</v>
      </c>
      <c r="C215" s="12" t="s">
        <v>3298</v>
      </c>
    </row>
    <row r="216" spans="1:3" x14ac:dyDescent="0.3">
      <c r="A216" t="s">
        <v>15</v>
      </c>
      <c r="B216" s="2" t="s">
        <v>96</v>
      </c>
      <c r="C216" s="12" t="s">
        <v>3913</v>
      </c>
    </row>
    <row r="217" spans="1:3" x14ac:dyDescent="0.3">
      <c r="A217" t="s">
        <v>15</v>
      </c>
      <c r="B217" s="2" t="s">
        <v>79</v>
      </c>
      <c r="C217" s="2" t="s">
        <v>182</v>
      </c>
    </row>
    <row r="218" spans="1:3" x14ac:dyDescent="0.3">
      <c r="A218" t="s">
        <v>15</v>
      </c>
      <c r="B218" s="2" t="s">
        <v>79</v>
      </c>
      <c r="C218" s="2" t="s">
        <v>81</v>
      </c>
    </row>
    <row r="219" spans="1:3" x14ac:dyDescent="0.3">
      <c r="A219" t="s">
        <v>1412</v>
      </c>
      <c r="B219" t="s">
        <v>96</v>
      </c>
      <c r="C219" t="s">
        <v>175</v>
      </c>
    </row>
    <row r="220" spans="1:3" x14ac:dyDescent="0.3">
      <c r="A220" t="s">
        <v>1412</v>
      </c>
      <c r="B220" t="s">
        <v>96</v>
      </c>
      <c r="C220" t="s">
        <v>1422</v>
      </c>
    </row>
    <row r="221" spans="1:3" x14ac:dyDescent="0.3">
      <c r="A221" t="s">
        <v>1412</v>
      </c>
      <c r="B221" t="s">
        <v>96</v>
      </c>
      <c r="C221" t="s">
        <v>2054</v>
      </c>
    </row>
    <row r="222" spans="1:3" x14ac:dyDescent="0.3">
      <c r="A222" t="s">
        <v>1412</v>
      </c>
      <c r="B222" t="s">
        <v>96</v>
      </c>
      <c r="C222" t="s">
        <v>1029</v>
      </c>
    </row>
    <row r="223" spans="1:3" x14ac:dyDescent="0.3">
      <c r="A223" t="s">
        <v>1412</v>
      </c>
      <c r="B223" t="s">
        <v>96</v>
      </c>
      <c r="C223" t="s">
        <v>3911</v>
      </c>
    </row>
    <row r="224" spans="1:3" x14ac:dyDescent="0.3">
      <c r="A224" t="s">
        <v>1412</v>
      </c>
      <c r="B224" t="s">
        <v>96</v>
      </c>
      <c r="C224" t="s">
        <v>97</v>
      </c>
    </row>
    <row r="225" spans="1:3" x14ac:dyDescent="0.3">
      <c r="A225" t="s">
        <v>1412</v>
      </c>
      <c r="B225" t="s">
        <v>96</v>
      </c>
      <c r="C225" t="s">
        <v>320</v>
      </c>
    </row>
    <row r="226" spans="1:3" x14ac:dyDescent="0.3">
      <c r="A226" t="s">
        <v>1412</v>
      </c>
      <c r="B226" t="s">
        <v>96</v>
      </c>
      <c r="C226" t="s">
        <v>169</v>
      </c>
    </row>
    <row r="227" spans="1:3" x14ac:dyDescent="0.3">
      <c r="A227" t="s">
        <v>1412</v>
      </c>
      <c r="B227" t="s">
        <v>96</v>
      </c>
      <c r="C227" t="s">
        <v>294</v>
      </c>
    </row>
    <row r="228" spans="1:3" x14ac:dyDescent="0.3">
      <c r="A228" t="s">
        <v>1412</v>
      </c>
      <c r="B228" t="s">
        <v>96</v>
      </c>
      <c r="C228" t="s">
        <v>288</v>
      </c>
    </row>
    <row r="229" spans="1:3" x14ac:dyDescent="0.3">
      <c r="A229" t="s">
        <v>1412</v>
      </c>
      <c r="B229" t="s">
        <v>96</v>
      </c>
      <c r="C229" t="s">
        <v>1308</v>
      </c>
    </row>
    <row r="230" spans="1:3" x14ac:dyDescent="0.3">
      <c r="A230" t="s">
        <v>1412</v>
      </c>
      <c r="B230" t="s">
        <v>96</v>
      </c>
      <c r="C230" t="s">
        <v>201</v>
      </c>
    </row>
    <row r="231" spans="1:3" x14ac:dyDescent="0.3">
      <c r="A231" t="s">
        <v>1412</v>
      </c>
      <c r="B231" t="s">
        <v>96</v>
      </c>
      <c r="C231" t="s">
        <v>107</v>
      </c>
    </row>
    <row r="232" spans="1:3" x14ac:dyDescent="0.3">
      <c r="A232" t="s">
        <v>1412</v>
      </c>
      <c r="B232" t="s">
        <v>96</v>
      </c>
      <c r="C232" t="s">
        <v>1869</v>
      </c>
    </row>
    <row r="233" spans="1:3" x14ac:dyDescent="0.3">
      <c r="A233" t="s">
        <v>1412</v>
      </c>
      <c r="B233" t="s">
        <v>96</v>
      </c>
      <c r="C233" t="s">
        <v>3298</v>
      </c>
    </row>
    <row r="234" spans="1:3" x14ac:dyDescent="0.3">
      <c r="A234" t="s">
        <v>1412</v>
      </c>
      <c r="B234" t="s">
        <v>96</v>
      </c>
      <c r="C234" t="s">
        <v>657</v>
      </c>
    </row>
    <row r="235" spans="1:3" x14ac:dyDescent="0.3">
      <c r="A235" t="s">
        <v>1412</v>
      </c>
      <c r="B235" t="s">
        <v>96</v>
      </c>
      <c r="C235" t="s">
        <v>507</v>
      </c>
    </row>
    <row r="236" spans="1:3" x14ac:dyDescent="0.3">
      <c r="A236" t="s">
        <v>1412</v>
      </c>
      <c r="B236" t="s">
        <v>96</v>
      </c>
      <c r="C236" t="s">
        <v>681</v>
      </c>
    </row>
    <row r="237" spans="1:3" x14ac:dyDescent="0.3">
      <c r="A237" t="s">
        <v>1412</v>
      </c>
      <c r="B237" t="s">
        <v>96</v>
      </c>
      <c r="C237" t="s">
        <v>3912</v>
      </c>
    </row>
    <row r="238" spans="1:3" x14ac:dyDescent="0.3">
      <c r="A238" t="s">
        <v>1412</v>
      </c>
      <c r="B238" t="s">
        <v>96</v>
      </c>
      <c r="C238" t="s">
        <v>3913</v>
      </c>
    </row>
    <row r="239" spans="1:3" x14ac:dyDescent="0.3">
      <c r="A239" t="s">
        <v>1412</v>
      </c>
      <c r="B239" t="s">
        <v>96</v>
      </c>
      <c r="C239" t="s">
        <v>989</v>
      </c>
    </row>
    <row r="240" spans="1:3" x14ac:dyDescent="0.3">
      <c r="A240" t="s">
        <v>1412</v>
      </c>
      <c r="B240" t="s">
        <v>96</v>
      </c>
      <c r="C240" t="s">
        <v>976</v>
      </c>
    </row>
    <row r="241" spans="1:3" x14ac:dyDescent="0.3">
      <c r="A241" t="s">
        <v>1412</v>
      </c>
      <c r="B241" t="s">
        <v>96</v>
      </c>
      <c r="C241" t="s">
        <v>983</v>
      </c>
    </row>
    <row r="242" spans="1:3" x14ac:dyDescent="0.3">
      <c r="A242" t="s">
        <v>1412</v>
      </c>
      <c r="B242" t="s">
        <v>79</v>
      </c>
      <c r="C242" t="s">
        <v>182</v>
      </c>
    </row>
    <row r="243" spans="1:3" x14ac:dyDescent="0.3">
      <c r="A243" t="s">
        <v>1412</v>
      </c>
      <c r="B243" t="s">
        <v>79</v>
      </c>
      <c r="C243" t="s">
        <v>81</v>
      </c>
    </row>
    <row r="244" spans="1:3" x14ac:dyDescent="0.3">
      <c r="A244" t="s">
        <v>2932</v>
      </c>
      <c r="B244" t="s">
        <v>96</v>
      </c>
      <c r="C244" t="s">
        <v>175</v>
      </c>
    </row>
    <row r="245" spans="1:3" x14ac:dyDescent="0.3">
      <c r="A245" t="s">
        <v>2932</v>
      </c>
      <c r="B245" t="s">
        <v>96</v>
      </c>
      <c r="C245" t="s">
        <v>1422</v>
      </c>
    </row>
    <row r="246" spans="1:3" x14ac:dyDescent="0.3">
      <c r="A246" t="s">
        <v>2932</v>
      </c>
      <c r="B246" t="s">
        <v>96</v>
      </c>
      <c r="C246" t="s">
        <v>2054</v>
      </c>
    </row>
    <row r="247" spans="1:3" x14ac:dyDescent="0.3">
      <c r="A247" t="s">
        <v>2932</v>
      </c>
      <c r="B247" t="s">
        <v>96</v>
      </c>
      <c r="C247" t="s">
        <v>1029</v>
      </c>
    </row>
    <row r="248" spans="1:3" x14ac:dyDescent="0.3">
      <c r="A248" t="s">
        <v>2932</v>
      </c>
      <c r="B248" t="s">
        <v>96</v>
      </c>
      <c r="C248" t="s">
        <v>3911</v>
      </c>
    </row>
    <row r="249" spans="1:3" x14ac:dyDescent="0.3">
      <c r="A249" t="s">
        <v>2932</v>
      </c>
      <c r="B249" t="s">
        <v>96</v>
      </c>
      <c r="C249" t="s">
        <v>97</v>
      </c>
    </row>
    <row r="250" spans="1:3" x14ac:dyDescent="0.3">
      <c r="A250" t="s">
        <v>2932</v>
      </c>
      <c r="B250" t="s">
        <v>96</v>
      </c>
      <c r="C250" t="s">
        <v>320</v>
      </c>
    </row>
    <row r="251" spans="1:3" x14ac:dyDescent="0.3">
      <c r="A251" t="s">
        <v>2932</v>
      </c>
      <c r="B251" t="s">
        <v>96</v>
      </c>
      <c r="C251" t="s">
        <v>169</v>
      </c>
    </row>
    <row r="252" spans="1:3" x14ac:dyDescent="0.3">
      <c r="A252" t="s">
        <v>2932</v>
      </c>
      <c r="B252" t="s">
        <v>96</v>
      </c>
      <c r="C252" t="s">
        <v>294</v>
      </c>
    </row>
    <row r="253" spans="1:3" x14ac:dyDescent="0.3">
      <c r="A253" t="s">
        <v>2932</v>
      </c>
      <c r="B253" t="s">
        <v>96</v>
      </c>
      <c r="C253" t="s">
        <v>288</v>
      </c>
    </row>
    <row r="254" spans="1:3" x14ac:dyDescent="0.3">
      <c r="A254" t="s">
        <v>2932</v>
      </c>
      <c r="B254" t="s">
        <v>96</v>
      </c>
      <c r="C254" t="s">
        <v>1308</v>
      </c>
    </row>
    <row r="255" spans="1:3" x14ac:dyDescent="0.3">
      <c r="A255" t="s">
        <v>2932</v>
      </c>
      <c r="B255" t="s">
        <v>96</v>
      </c>
      <c r="C255" t="s">
        <v>201</v>
      </c>
    </row>
    <row r="256" spans="1:3" x14ac:dyDescent="0.3">
      <c r="A256" t="s">
        <v>2932</v>
      </c>
      <c r="B256" t="s">
        <v>96</v>
      </c>
      <c r="C256" t="s">
        <v>107</v>
      </c>
    </row>
    <row r="257" spans="1:3" x14ac:dyDescent="0.3">
      <c r="A257" t="s">
        <v>2932</v>
      </c>
      <c r="B257" t="s">
        <v>96</v>
      </c>
      <c r="C257" t="s">
        <v>1869</v>
      </c>
    </row>
    <row r="258" spans="1:3" x14ac:dyDescent="0.3">
      <c r="A258" t="s">
        <v>2932</v>
      </c>
      <c r="B258" t="s">
        <v>96</v>
      </c>
      <c r="C258" t="s">
        <v>3298</v>
      </c>
    </row>
    <row r="259" spans="1:3" x14ac:dyDescent="0.3">
      <c r="A259" t="s">
        <v>2932</v>
      </c>
      <c r="B259" t="s">
        <v>96</v>
      </c>
      <c r="C259" t="s">
        <v>657</v>
      </c>
    </row>
    <row r="260" spans="1:3" x14ac:dyDescent="0.3">
      <c r="A260" t="s">
        <v>2932</v>
      </c>
      <c r="B260" t="s">
        <v>96</v>
      </c>
      <c r="C260" t="s">
        <v>507</v>
      </c>
    </row>
    <row r="261" spans="1:3" x14ac:dyDescent="0.3">
      <c r="A261" t="s">
        <v>2932</v>
      </c>
      <c r="B261" t="s">
        <v>96</v>
      </c>
      <c r="C261" t="s">
        <v>1698</v>
      </c>
    </row>
    <row r="262" spans="1:3" x14ac:dyDescent="0.3">
      <c r="A262" t="s">
        <v>2932</v>
      </c>
      <c r="B262" t="s">
        <v>96</v>
      </c>
      <c r="C262" t="s">
        <v>681</v>
      </c>
    </row>
    <row r="263" spans="1:3" x14ac:dyDescent="0.3">
      <c r="A263" t="s">
        <v>2932</v>
      </c>
      <c r="B263" t="s">
        <v>96</v>
      </c>
      <c r="C263" t="s">
        <v>1827</v>
      </c>
    </row>
    <row r="264" spans="1:3" x14ac:dyDescent="0.3">
      <c r="A264" t="s">
        <v>2932</v>
      </c>
      <c r="B264" t="s">
        <v>96</v>
      </c>
      <c r="C264" t="s">
        <v>3912</v>
      </c>
    </row>
    <row r="265" spans="1:3" x14ac:dyDescent="0.3">
      <c r="A265" t="s">
        <v>2932</v>
      </c>
      <c r="B265" t="s">
        <v>96</v>
      </c>
      <c r="C265" t="s">
        <v>3913</v>
      </c>
    </row>
    <row r="266" spans="1:3" x14ac:dyDescent="0.3">
      <c r="A266" t="s">
        <v>2932</v>
      </c>
      <c r="B266" t="s">
        <v>96</v>
      </c>
      <c r="C266" t="s">
        <v>1927</v>
      </c>
    </row>
    <row r="267" spans="1:3" x14ac:dyDescent="0.3">
      <c r="A267" t="s">
        <v>2932</v>
      </c>
      <c r="B267" t="s">
        <v>96</v>
      </c>
      <c r="C267" t="s">
        <v>989</v>
      </c>
    </row>
    <row r="268" spans="1:3" x14ac:dyDescent="0.3">
      <c r="A268" t="s">
        <v>2932</v>
      </c>
      <c r="B268" t="s">
        <v>96</v>
      </c>
      <c r="C268" t="s">
        <v>976</v>
      </c>
    </row>
    <row r="269" spans="1:3" x14ac:dyDescent="0.3">
      <c r="A269" t="s">
        <v>2932</v>
      </c>
      <c r="B269" t="s">
        <v>96</v>
      </c>
      <c r="C269" t="s">
        <v>983</v>
      </c>
    </row>
    <row r="270" spans="1:3" x14ac:dyDescent="0.3">
      <c r="A270" t="s">
        <v>2932</v>
      </c>
      <c r="B270" t="s">
        <v>79</v>
      </c>
      <c r="C270" t="s">
        <v>3914</v>
      </c>
    </row>
    <row r="271" spans="1:3" x14ac:dyDescent="0.3">
      <c r="A271" t="s">
        <v>2932</v>
      </c>
      <c r="B271" t="s">
        <v>79</v>
      </c>
      <c r="C271" t="s">
        <v>2261</v>
      </c>
    </row>
    <row r="272" spans="1:3" x14ac:dyDescent="0.3">
      <c r="A272" t="s">
        <v>2932</v>
      </c>
      <c r="B272" t="s">
        <v>79</v>
      </c>
      <c r="C272" t="s">
        <v>182</v>
      </c>
    </row>
    <row r="273" spans="1:3" x14ac:dyDescent="0.3">
      <c r="A273" t="s">
        <v>2932</v>
      </c>
      <c r="B273" t="s">
        <v>79</v>
      </c>
      <c r="C273" t="s">
        <v>81</v>
      </c>
    </row>
    <row r="274" spans="1:3" x14ac:dyDescent="0.3">
      <c r="A274" t="s">
        <v>2932</v>
      </c>
      <c r="B274" t="s">
        <v>79</v>
      </c>
      <c r="C274" t="s">
        <v>241</v>
      </c>
    </row>
    <row r="275" spans="1:3" x14ac:dyDescent="0.3">
      <c r="A275" t="s">
        <v>2932</v>
      </c>
      <c r="B275" t="s">
        <v>79</v>
      </c>
      <c r="C275" t="s">
        <v>1169</v>
      </c>
    </row>
    <row r="276" spans="1:3" x14ac:dyDescent="0.3">
      <c r="A276" t="s">
        <v>2932</v>
      </c>
      <c r="B276" t="s">
        <v>79</v>
      </c>
      <c r="C276" t="s">
        <v>533</v>
      </c>
    </row>
    <row r="277" spans="1:3" x14ac:dyDescent="0.3">
      <c r="A277" t="s">
        <v>2932</v>
      </c>
      <c r="B277" t="s">
        <v>79</v>
      </c>
      <c r="C277" t="s">
        <v>163</v>
      </c>
    </row>
    <row r="278" spans="1:3" x14ac:dyDescent="0.3">
      <c r="A278" t="s">
        <v>2932</v>
      </c>
      <c r="B278" t="s">
        <v>79</v>
      </c>
      <c r="C278" t="s">
        <v>3915</v>
      </c>
    </row>
    <row r="279" spans="1:3" x14ac:dyDescent="0.3">
      <c r="A279" t="s">
        <v>2932</v>
      </c>
      <c r="B279" t="s">
        <v>853</v>
      </c>
      <c r="C279" t="s">
        <v>854</v>
      </c>
    </row>
    <row r="280" spans="1:3" x14ac:dyDescent="0.3">
      <c r="A280" t="s">
        <v>17</v>
      </c>
      <c r="B280" s="2" t="s">
        <v>96</v>
      </c>
      <c r="C280" s="12" t="s">
        <v>2054</v>
      </c>
    </row>
    <row r="281" spans="1:3" x14ac:dyDescent="0.3">
      <c r="A281" t="s">
        <v>17</v>
      </c>
      <c r="B281" s="2" t="s">
        <v>79</v>
      </c>
      <c r="C281" s="12" t="s">
        <v>241</v>
      </c>
    </row>
    <row r="282" spans="1:3" x14ac:dyDescent="0.3">
      <c r="A282" t="s">
        <v>151</v>
      </c>
      <c r="B282" t="s">
        <v>79</v>
      </c>
      <c r="C282" t="s">
        <v>182</v>
      </c>
    </row>
    <row r="283" spans="1:3" x14ac:dyDescent="0.3">
      <c r="A283" t="s">
        <v>151</v>
      </c>
      <c r="B283" t="s">
        <v>79</v>
      </c>
      <c r="C283" t="s">
        <v>81</v>
      </c>
    </row>
    <row r="284" spans="1:3" x14ac:dyDescent="0.3">
      <c r="A284" t="s">
        <v>19</v>
      </c>
      <c r="B284" s="2" t="s">
        <v>96</v>
      </c>
      <c r="C284" s="12" t="s">
        <v>320</v>
      </c>
    </row>
    <row r="285" spans="1:3" x14ac:dyDescent="0.3">
      <c r="A285" t="s">
        <v>19</v>
      </c>
      <c r="B285" s="2" t="s">
        <v>79</v>
      </c>
      <c r="C285" s="2" t="s">
        <v>182</v>
      </c>
    </row>
    <row r="286" spans="1:3" x14ac:dyDescent="0.3">
      <c r="A286" t="s">
        <v>19</v>
      </c>
      <c r="B286" s="2" t="s">
        <v>79</v>
      </c>
      <c r="C286" s="2" t="s">
        <v>81</v>
      </c>
    </row>
    <row r="287" spans="1:3" x14ac:dyDescent="0.3">
      <c r="A287" t="s">
        <v>1631</v>
      </c>
      <c r="B287" t="s">
        <v>96</v>
      </c>
      <c r="C287" t="s">
        <v>175</v>
      </c>
    </row>
    <row r="288" spans="1:3" x14ac:dyDescent="0.3">
      <c r="A288" t="s">
        <v>1631</v>
      </c>
      <c r="B288" t="s">
        <v>96</v>
      </c>
      <c r="C288" t="s">
        <v>1422</v>
      </c>
    </row>
    <row r="289" spans="1:3" x14ac:dyDescent="0.3">
      <c r="A289" t="s">
        <v>1631</v>
      </c>
      <c r="B289" t="s">
        <v>96</v>
      </c>
      <c r="C289" t="s">
        <v>2054</v>
      </c>
    </row>
    <row r="290" spans="1:3" x14ac:dyDescent="0.3">
      <c r="A290" t="s">
        <v>1631</v>
      </c>
      <c r="B290" t="s">
        <v>96</v>
      </c>
      <c r="C290" t="s">
        <v>1029</v>
      </c>
    </row>
    <row r="291" spans="1:3" x14ac:dyDescent="0.3">
      <c r="A291" t="s">
        <v>1631</v>
      </c>
      <c r="B291" t="s">
        <v>96</v>
      </c>
      <c r="C291" t="s">
        <v>3911</v>
      </c>
    </row>
    <row r="292" spans="1:3" x14ac:dyDescent="0.3">
      <c r="A292" t="s">
        <v>1631</v>
      </c>
      <c r="B292" t="s">
        <v>96</v>
      </c>
      <c r="C292" t="s">
        <v>97</v>
      </c>
    </row>
    <row r="293" spans="1:3" x14ac:dyDescent="0.3">
      <c r="A293" t="s">
        <v>1631</v>
      </c>
      <c r="B293" t="s">
        <v>96</v>
      </c>
      <c r="C293" t="s">
        <v>320</v>
      </c>
    </row>
    <row r="294" spans="1:3" x14ac:dyDescent="0.3">
      <c r="A294" t="s">
        <v>1631</v>
      </c>
      <c r="B294" t="s">
        <v>96</v>
      </c>
      <c r="C294" t="s">
        <v>169</v>
      </c>
    </row>
    <row r="295" spans="1:3" x14ac:dyDescent="0.3">
      <c r="A295" t="s">
        <v>1631</v>
      </c>
      <c r="B295" t="s">
        <v>96</v>
      </c>
      <c r="C295" t="s">
        <v>294</v>
      </c>
    </row>
    <row r="296" spans="1:3" x14ac:dyDescent="0.3">
      <c r="A296" t="s">
        <v>1631</v>
      </c>
      <c r="B296" t="s">
        <v>96</v>
      </c>
      <c r="C296" t="s">
        <v>288</v>
      </c>
    </row>
    <row r="297" spans="1:3" x14ac:dyDescent="0.3">
      <c r="A297" t="s">
        <v>1631</v>
      </c>
      <c r="B297" t="s">
        <v>96</v>
      </c>
      <c r="C297" t="s">
        <v>1308</v>
      </c>
    </row>
    <row r="298" spans="1:3" x14ac:dyDescent="0.3">
      <c r="A298" t="s">
        <v>1631</v>
      </c>
      <c r="B298" t="s">
        <v>96</v>
      </c>
      <c r="C298" t="s">
        <v>201</v>
      </c>
    </row>
    <row r="299" spans="1:3" x14ac:dyDescent="0.3">
      <c r="A299" t="s">
        <v>1631</v>
      </c>
      <c r="B299" t="s">
        <v>96</v>
      </c>
      <c r="C299" t="s">
        <v>107</v>
      </c>
    </row>
    <row r="300" spans="1:3" x14ac:dyDescent="0.3">
      <c r="A300" t="s">
        <v>1631</v>
      </c>
      <c r="B300" t="s">
        <v>96</v>
      </c>
      <c r="C300" t="s">
        <v>1869</v>
      </c>
    </row>
    <row r="301" spans="1:3" x14ac:dyDescent="0.3">
      <c r="A301" t="s">
        <v>1631</v>
      </c>
      <c r="B301" t="s">
        <v>96</v>
      </c>
      <c r="C301" t="s">
        <v>3298</v>
      </c>
    </row>
    <row r="302" spans="1:3" x14ac:dyDescent="0.3">
      <c r="A302" t="s">
        <v>1631</v>
      </c>
      <c r="B302" t="s">
        <v>96</v>
      </c>
      <c r="C302" t="s">
        <v>657</v>
      </c>
    </row>
    <row r="303" spans="1:3" x14ac:dyDescent="0.3">
      <c r="A303" t="s">
        <v>1631</v>
      </c>
      <c r="B303" t="s">
        <v>96</v>
      </c>
      <c r="C303" t="s">
        <v>507</v>
      </c>
    </row>
    <row r="304" spans="1:3" x14ac:dyDescent="0.3">
      <c r="A304" t="s">
        <v>1631</v>
      </c>
      <c r="B304" t="s">
        <v>96</v>
      </c>
      <c r="C304" t="s">
        <v>681</v>
      </c>
    </row>
    <row r="305" spans="1:3" x14ac:dyDescent="0.3">
      <c r="A305" t="s">
        <v>1631</v>
      </c>
      <c r="B305" t="s">
        <v>96</v>
      </c>
      <c r="C305" t="s">
        <v>3912</v>
      </c>
    </row>
    <row r="306" spans="1:3" x14ac:dyDescent="0.3">
      <c r="A306" t="s">
        <v>1631</v>
      </c>
      <c r="B306" t="s">
        <v>96</v>
      </c>
      <c r="C306" t="s">
        <v>3913</v>
      </c>
    </row>
    <row r="307" spans="1:3" x14ac:dyDescent="0.3">
      <c r="A307" t="s">
        <v>1631</v>
      </c>
      <c r="B307" t="s">
        <v>96</v>
      </c>
      <c r="C307" t="s">
        <v>989</v>
      </c>
    </row>
    <row r="308" spans="1:3" x14ac:dyDescent="0.3">
      <c r="A308" t="s">
        <v>1631</v>
      </c>
      <c r="B308" t="s">
        <v>96</v>
      </c>
      <c r="C308" t="s">
        <v>976</v>
      </c>
    </row>
    <row r="309" spans="1:3" x14ac:dyDescent="0.3">
      <c r="A309" t="s">
        <v>1631</v>
      </c>
      <c r="B309" t="s">
        <v>96</v>
      </c>
      <c r="C309" t="s">
        <v>983</v>
      </c>
    </row>
    <row r="310" spans="1:3" x14ac:dyDescent="0.3">
      <c r="A310" t="s">
        <v>1631</v>
      </c>
      <c r="B310" t="s">
        <v>79</v>
      </c>
      <c r="C310" t="s">
        <v>182</v>
      </c>
    </row>
    <row r="311" spans="1:3" x14ac:dyDescent="0.3">
      <c r="A311" t="s">
        <v>1631</v>
      </c>
      <c r="B311" t="s">
        <v>79</v>
      </c>
      <c r="C311" t="s">
        <v>81</v>
      </c>
    </row>
    <row r="312" spans="1:3" x14ac:dyDescent="0.3">
      <c r="A312" t="s">
        <v>1631</v>
      </c>
      <c r="B312" t="s">
        <v>79</v>
      </c>
      <c r="C312" t="s">
        <v>241</v>
      </c>
    </row>
    <row r="313" spans="1:3" x14ac:dyDescent="0.3">
      <c r="A313" t="s">
        <v>1631</v>
      </c>
      <c r="B313" t="s">
        <v>79</v>
      </c>
      <c r="C313" t="s">
        <v>1169</v>
      </c>
    </row>
    <row r="314" spans="1:3" x14ac:dyDescent="0.3">
      <c r="A314" t="s">
        <v>1631</v>
      </c>
      <c r="B314" t="s">
        <v>79</v>
      </c>
      <c r="C314" t="s">
        <v>163</v>
      </c>
    </row>
    <row r="315" spans="1:3" x14ac:dyDescent="0.3">
      <c r="A315" t="s">
        <v>919</v>
      </c>
      <c r="B315" t="s">
        <v>96</v>
      </c>
      <c r="C315" t="s">
        <v>175</v>
      </c>
    </row>
    <row r="316" spans="1:3" x14ac:dyDescent="0.3">
      <c r="A316" t="s">
        <v>919</v>
      </c>
      <c r="B316" t="s">
        <v>96</v>
      </c>
      <c r="C316" t="s">
        <v>1422</v>
      </c>
    </row>
    <row r="317" spans="1:3" x14ac:dyDescent="0.3">
      <c r="A317" t="s">
        <v>919</v>
      </c>
      <c r="B317" t="s">
        <v>96</v>
      </c>
      <c r="C317" t="s">
        <v>2054</v>
      </c>
    </row>
    <row r="318" spans="1:3" x14ac:dyDescent="0.3">
      <c r="A318" t="s">
        <v>919</v>
      </c>
      <c r="B318" t="s">
        <v>96</v>
      </c>
      <c r="C318" t="s">
        <v>1029</v>
      </c>
    </row>
    <row r="319" spans="1:3" x14ac:dyDescent="0.3">
      <c r="A319" t="s">
        <v>919</v>
      </c>
      <c r="B319" t="s">
        <v>96</v>
      </c>
      <c r="C319" t="s">
        <v>3911</v>
      </c>
    </row>
    <row r="320" spans="1:3" x14ac:dyDescent="0.3">
      <c r="A320" t="s">
        <v>919</v>
      </c>
      <c r="B320" t="s">
        <v>96</v>
      </c>
      <c r="C320" t="s">
        <v>97</v>
      </c>
    </row>
    <row r="321" spans="1:3" x14ac:dyDescent="0.3">
      <c r="A321" t="s">
        <v>919</v>
      </c>
      <c r="B321" t="s">
        <v>96</v>
      </c>
      <c r="C321" t="s">
        <v>320</v>
      </c>
    </row>
    <row r="322" spans="1:3" x14ac:dyDescent="0.3">
      <c r="A322" t="s">
        <v>919</v>
      </c>
      <c r="B322" t="s">
        <v>96</v>
      </c>
      <c r="C322" t="s">
        <v>169</v>
      </c>
    </row>
    <row r="323" spans="1:3" x14ac:dyDescent="0.3">
      <c r="A323" t="s">
        <v>919</v>
      </c>
      <c r="B323" t="s">
        <v>96</v>
      </c>
      <c r="C323" t="s">
        <v>294</v>
      </c>
    </row>
    <row r="324" spans="1:3" x14ac:dyDescent="0.3">
      <c r="A324" t="s">
        <v>919</v>
      </c>
      <c r="B324" t="s">
        <v>96</v>
      </c>
      <c r="C324" t="s">
        <v>288</v>
      </c>
    </row>
    <row r="325" spans="1:3" x14ac:dyDescent="0.3">
      <c r="A325" t="s">
        <v>919</v>
      </c>
      <c r="B325" t="s">
        <v>96</v>
      </c>
      <c r="C325" t="s">
        <v>1308</v>
      </c>
    </row>
    <row r="326" spans="1:3" x14ac:dyDescent="0.3">
      <c r="A326" t="s">
        <v>919</v>
      </c>
      <c r="B326" t="s">
        <v>96</v>
      </c>
      <c r="C326" t="s">
        <v>201</v>
      </c>
    </row>
    <row r="327" spans="1:3" x14ac:dyDescent="0.3">
      <c r="A327" t="s">
        <v>919</v>
      </c>
      <c r="B327" t="s">
        <v>96</v>
      </c>
      <c r="C327" t="s">
        <v>107</v>
      </c>
    </row>
    <row r="328" spans="1:3" x14ac:dyDescent="0.3">
      <c r="A328" t="s">
        <v>919</v>
      </c>
      <c r="B328" t="s">
        <v>96</v>
      </c>
      <c r="C328" t="s">
        <v>1869</v>
      </c>
    </row>
    <row r="329" spans="1:3" x14ac:dyDescent="0.3">
      <c r="A329" t="s">
        <v>919</v>
      </c>
      <c r="B329" t="s">
        <v>96</v>
      </c>
      <c r="C329" t="s">
        <v>3298</v>
      </c>
    </row>
    <row r="330" spans="1:3" x14ac:dyDescent="0.3">
      <c r="A330" t="s">
        <v>919</v>
      </c>
      <c r="B330" t="s">
        <v>96</v>
      </c>
      <c r="C330" t="s">
        <v>657</v>
      </c>
    </row>
    <row r="331" spans="1:3" x14ac:dyDescent="0.3">
      <c r="A331" t="s">
        <v>919</v>
      </c>
      <c r="B331" t="s">
        <v>96</v>
      </c>
      <c r="C331" t="s">
        <v>507</v>
      </c>
    </row>
    <row r="332" spans="1:3" x14ac:dyDescent="0.3">
      <c r="A332" t="s">
        <v>919</v>
      </c>
      <c r="B332" t="s">
        <v>96</v>
      </c>
      <c r="C332" t="s">
        <v>681</v>
      </c>
    </row>
    <row r="333" spans="1:3" x14ac:dyDescent="0.3">
      <c r="A333" t="s">
        <v>919</v>
      </c>
      <c r="B333" t="s">
        <v>96</v>
      </c>
      <c r="C333" t="s">
        <v>3912</v>
      </c>
    </row>
    <row r="334" spans="1:3" x14ac:dyDescent="0.3">
      <c r="A334" t="s">
        <v>919</v>
      </c>
      <c r="B334" t="s">
        <v>96</v>
      </c>
      <c r="C334" t="s">
        <v>3913</v>
      </c>
    </row>
    <row r="335" spans="1:3" x14ac:dyDescent="0.3">
      <c r="A335" t="s">
        <v>919</v>
      </c>
      <c r="B335" t="s">
        <v>79</v>
      </c>
      <c r="C335" t="s">
        <v>182</v>
      </c>
    </row>
    <row r="336" spans="1:3" x14ac:dyDescent="0.3">
      <c r="A336" t="s">
        <v>919</v>
      </c>
      <c r="B336" t="s">
        <v>79</v>
      </c>
      <c r="C336" t="s">
        <v>81</v>
      </c>
    </row>
    <row r="337" spans="1:3" x14ac:dyDescent="0.3">
      <c r="A337" t="s">
        <v>919</v>
      </c>
      <c r="B337" t="s">
        <v>79</v>
      </c>
      <c r="C337" t="s">
        <v>241</v>
      </c>
    </row>
    <row r="338" spans="1:3" x14ac:dyDescent="0.3">
      <c r="A338" t="s">
        <v>919</v>
      </c>
      <c r="B338" t="s">
        <v>79</v>
      </c>
      <c r="C338" t="s">
        <v>1169</v>
      </c>
    </row>
    <row r="339" spans="1:3" x14ac:dyDescent="0.3">
      <c r="A339" t="s">
        <v>919</v>
      </c>
      <c r="B339" t="s">
        <v>79</v>
      </c>
      <c r="C339" t="s">
        <v>163</v>
      </c>
    </row>
    <row r="340" spans="1:3" x14ac:dyDescent="0.3">
      <c r="A340" t="s">
        <v>901</v>
      </c>
      <c r="B340" t="s">
        <v>79</v>
      </c>
      <c r="C340" t="s">
        <v>182</v>
      </c>
    </row>
    <row r="341" spans="1:3" x14ac:dyDescent="0.3">
      <c r="A341" t="s">
        <v>901</v>
      </c>
      <c r="B341" t="s">
        <v>79</v>
      </c>
      <c r="C341" t="s">
        <v>81</v>
      </c>
    </row>
    <row r="342" spans="1:3" x14ac:dyDescent="0.3">
      <c r="A342" t="s">
        <v>901</v>
      </c>
      <c r="B342" t="s">
        <v>79</v>
      </c>
      <c r="C342" t="s">
        <v>241</v>
      </c>
    </row>
    <row r="343" spans="1:3" x14ac:dyDescent="0.3">
      <c r="A343" t="s">
        <v>3626</v>
      </c>
      <c r="B343" t="s">
        <v>96</v>
      </c>
      <c r="C343" t="s">
        <v>175</v>
      </c>
    </row>
    <row r="344" spans="1:3" x14ac:dyDescent="0.3">
      <c r="A344" t="s">
        <v>3626</v>
      </c>
      <c r="B344" t="s">
        <v>96</v>
      </c>
      <c r="C344" t="s">
        <v>1422</v>
      </c>
    </row>
    <row r="345" spans="1:3" x14ac:dyDescent="0.3">
      <c r="A345" t="s">
        <v>3626</v>
      </c>
      <c r="B345" t="s">
        <v>96</v>
      </c>
      <c r="C345" t="s">
        <v>2054</v>
      </c>
    </row>
    <row r="346" spans="1:3" x14ac:dyDescent="0.3">
      <c r="A346" t="s">
        <v>3626</v>
      </c>
      <c r="B346" t="s">
        <v>96</v>
      </c>
      <c r="C346" t="s">
        <v>1029</v>
      </c>
    </row>
    <row r="347" spans="1:3" x14ac:dyDescent="0.3">
      <c r="A347" t="s">
        <v>3626</v>
      </c>
      <c r="B347" t="s">
        <v>96</v>
      </c>
      <c r="C347" t="s">
        <v>3911</v>
      </c>
    </row>
    <row r="348" spans="1:3" x14ac:dyDescent="0.3">
      <c r="A348" t="s">
        <v>3626</v>
      </c>
      <c r="B348" t="s">
        <v>96</v>
      </c>
      <c r="C348" t="s">
        <v>97</v>
      </c>
    </row>
    <row r="349" spans="1:3" x14ac:dyDescent="0.3">
      <c r="A349" t="s">
        <v>3626</v>
      </c>
      <c r="B349" t="s">
        <v>96</v>
      </c>
      <c r="C349" t="s">
        <v>320</v>
      </c>
    </row>
    <row r="350" spans="1:3" x14ac:dyDescent="0.3">
      <c r="A350" t="s">
        <v>3626</v>
      </c>
      <c r="B350" t="s">
        <v>96</v>
      </c>
      <c r="C350" t="s">
        <v>169</v>
      </c>
    </row>
    <row r="351" spans="1:3" x14ac:dyDescent="0.3">
      <c r="A351" t="s">
        <v>3626</v>
      </c>
      <c r="B351" t="s">
        <v>96</v>
      </c>
      <c r="C351" t="s">
        <v>294</v>
      </c>
    </row>
    <row r="352" spans="1:3" x14ac:dyDescent="0.3">
      <c r="A352" t="s">
        <v>3626</v>
      </c>
      <c r="B352" t="s">
        <v>96</v>
      </c>
      <c r="C352" t="s">
        <v>288</v>
      </c>
    </row>
    <row r="353" spans="1:3" x14ac:dyDescent="0.3">
      <c r="A353" t="s">
        <v>3626</v>
      </c>
      <c r="B353" t="s">
        <v>96</v>
      </c>
      <c r="C353" t="s">
        <v>1308</v>
      </c>
    </row>
    <row r="354" spans="1:3" x14ac:dyDescent="0.3">
      <c r="A354" t="s">
        <v>3626</v>
      </c>
      <c r="B354" t="s">
        <v>96</v>
      </c>
      <c r="C354" t="s">
        <v>201</v>
      </c>
    </row>
    <row r="355" spans="1:3" x14ac:dyDescent="0.3">
      <c r="A355" t="s">
        <v>3626</v>
      </c>
      <c r="B355" t="s">
        <v>96</v>
      </c>
      <c r="C355" t="s">
        <v>107</v>
      </c>
    </row>
    <row r="356" spans="1:3" x14ac:dyDescent="0.3">
      <c r="A356" t="s">
        <v>3626</v>
      </c>
      <c r="B356" t="s">
        <v>96</v>
      </c>
      <c r="C356" t="s">
        <v>1869</v>
      </c>
    </row>
    <row r="357" spans="1:3" x14ac:dyDescent="0.3">
      <c r="A357" t="s">
        <v>3626</v>
      </c>
      <c r="B357" t="s">
        <v>96</v>
      </c>
      <c r="C357" t="s">
        <v>3298</v>
      </c>
    </row>
    <row r="358" spans="1:3" x14ac:dyDescent="0.3">
      <c r="A358" t="s">
        <v>3626</v>
      </c>
      <c r="B358" t="s">
        <v>96</v>
      </c>
      <c r="C358" t="s">
        <v>657</v>
      </c>
    </row>
    <row r="359" spans="1:3" x14ac:dyDescent="0.3">
      <c r="A359" t="s">
        <v>3626</v>
      </c>
      <c r="B359" t="s">
        <v>96</v>
      </c>
      <c r="C359" t="s">
        <v>507</v>
      </c>
    </row>
    <row r="360" spans="1:3" x14ac:dyDescent="0.3">
      <c r="A360" t="s">
        <v>3626</v>
      </c>
      <c r="B360" t="s">
        <v>96</v>
      </c>
      <c r="C360" t="s">
        <v>1698</v>
      </c>
    </row>
    <row r="361" spans="1:3" x14ac:dyDescent="0.3">
      <c r="A361" t="s">
        <v>3626</v>
      </c>
      <c r="B361" t="s">
        <v>96</v>
      </c>
      <c r="C361" t="s">
        <v>681</v>
      </c>
    </row>
    <row r="362" spans="1:3" x14ac:dyDescent="0.3">
      <c r="A362" t="s">
        <v>3626</v>
      </c>
      <c r="B362" t="s">
        <v>96</v>
      </c>
      <c r="C362" t="s">
        <v>1827</v>
      </c>
    </row>
    <row r="363" spans="1:3" x14ac:dyDescent="0.3">
      <c r="A363" t="s">
        <v>3626</v>
      </c>
      <c r="B363" t="s">
        <v>96</v>
      </c>
      <c r="C363" t="s">
        <v>3912</v>
      </c>
    </row>
    <row r="364" spans="1:3" x14ac:dyDescent="0.3">
      <c r="A364" t="s">
        <v>3626</v>
      </c>
      <c r="B364" t="s">
        <v>96</v>
      </c>
      <c r="C364" t="s">
        <v>3913</v>
      </c>
    </row>
    <row r="365" spans="1:3" x14ac:dyDescent="0.3">
      <c r="A365" t="s">
        <v>3626</v>
      </c>
      <c r="B365" t="s">
        <v>96</v>
      </c>
      <c r="C365" t="s">
        <v>1927</v>
      </c>
    </row>
    <row r="366" spans="1:3" x14ac:dyDescent="0.3">
      <c r="A366" t="s">
        <v>3626</v>
      </c>
      <c r="B366" t="s">
        <v>96</v>
      </c>
      <c r="C366" t="s">
        <v>989</v>
      </c>
    </row>
    <row r="367" spans="1:3" x14ac:dyDescent="0.3">
      <c r="A367" t="s">
        <v>3626</v>
      </c>
      <c r="B367" t="s">
        <v>96</v>
      </c>
      <c r="C367" t="s">
        <v>976</v>
      </c>
    </row>
    <row r="368" spans="1:3" x14ac:dyDescent="0.3">
      <c r="A368" t="s">
        <v>3626</v>
      </c>
      <c r="B368" t="s">
        <v>96</v>
      </c>
      <c r="C368" t="s">
        <v>983</v>
      </c>
    </row>
    <row r="369" spans="1:3" x14ac:dyDescent="0.3">
      <c r="A369" t="s">
        <v>3626</v>
      </c>
      <c r="B369" t="s">
        <v>79</v>
      </c>
      <c r="C369" t="s">
        <v>3914</v>
      </c>
    </row>
    <row r="370" spans="1:3" x14ac:dyDescent="0.3">
      <c r="A370" t="s">
        <v>3626</v>
      </c>
      <c r="B370" t="s">
        <v>79</v>
      </c>
      <c r="C370" t="s">
        <v>2261</v>
      </c>
    </row>
    <row r="371" spans="1:3" x14ac:dyDescent="0.3">
      <c r="A371" t="s">
        <v>3626</v>
      </c>
      <c r="B371" t="s">
        <v>79</v>
      </c>
      <c r="C371" t="s">
        <v>182</v>
      </c>
    </row>
    <row r="372" spans="1:3" x14ac:dyDescent="0.3">
      <c r="A372" t="s">
        <v>3626</v>
      </c>
      <c r="B372" t="s">
        <v>79</v>
      </c>
      <c r="C372" t="s">
        <v>81</v>
      </c>
    </row>
    <row r="373" spans="1:3" x14ac:dyDescent="0.3">
      <c r="A373" t="s">
        <v>3626</v>
      </c>
      <c r="B373" t="s">
        <v>79</v>
      </c>
      <c r="C373" t="s">
        <v>241</v>
      </c>
    </row>
    <row r="374" spans="1:3" x14ac:dyDescent="0.3">
      <c r="A374" t="s">
        <v>3626</v>
      </c>
      <c r="B374" t="s">
        <v>79</v>
      </c>
      <c r="C374" t="s">
        <v>1169</v>
      </c>
    </row>
    <row r="375" spans="1:3" x14ac:dyDescent="0.3">
      <c r="A375" t="s">
        <v>3626</v>
      </c>
      <c r="B375" t="s">
        <v>79</v>
      </c>
      <c r="C375" t="s">
        <v>533</v>
      </c>
    </row>
    <row r="376" spans="1:3" x14ac:dyDescent="0.3">
      <c r="A376" t="s">
        <v>3626</v>
      </c>
      <c r="B376" t="s">
        <v>79</v>
      </c>
      <c r="C376" t="s">
        <v>163</v>
      </c>
    </row>
    <row r="377" spans="1:3" x14ac:dyDescent="0.3">
      <c r="A377" t="s">
        <v>3626</v>
      </c>
      <c r="B377" t="s">
        <v>79</v>
      </c>
      <c r="C377" t="s">
        <v>3915</v>
      </c>
    </row>
    <row r="378" spans="1:3" x14ac:dyDescent="0.3">
      <c r="A378" t="s">
        <v>3626</v>
      </c>
      <c r="B378" t="s">
        <v>853</v>
      </c>
      <c r="C378" t="s">
        <v>854</v>
      </c>
    </row>
    <row r="379" spans="1:3" x14ac:dyDescent="0.3">
      <c r="A379" t="s">
        <v>21</v>
      </c>
      <c r="B379" s="2" t="s">
        <v>79</v>
      </c>
      <c r="C379" s="12" t="s">
        <v>533</v>
      </c>
    </row>
    <row r="380" spans="1:3" x14ac:dyDescent="0.3">
      <c r="A380" t="s">
        <v>21</v>
      </c>
      <c r="B380" s="2" t="s">
        <v>853</v>
      </c>
      <c r="C380" s="12" t="s">
        <v>854</v>
      </c>
    </row>
    <row r="381" spans="1:3" x14ac:dyDescent="0.3">
      <c r="A381" t="s">
        <v>1852</v>
      </c>
      <c r="B381" t="s">
        <v>96</v>
      </c>
      <c r="C381" t="s">
        <v>175</v>
      </c>
    </row>
    <row r="382" spans="1:3" x14ac:dyDescent="0.3">
      <c r="A382" t="s">
        <v>1852</v>
      </c>
      <c r="B382" t="s">
        <v>96</v>
      </c>
      <c r="C382" t="s">
        <v>1422</v>
      </c>
    </row>
    <row r="383" spans="1:3" x14ac:dyDescent="0.3">
      <c r="A383" t="s">
        <v>1852</v>
      </c>
      <c r="B383" t="s">
        <v>96</v>
      </c>
      <c r="C383" t="s">
        <v>2054</v>
      </c>
    </row>
    <row r="384" spans="1:3" x14ac:dyDescent="0.3">
      <c r="A384" t="s">
        <v>1852</v>
      </c>
      <c r="B384" t="s">
        <v>96</v>
      </c>
      <c r="C384" t="s">
        <v>1029</v>
      </c>
    </row>
    <row r="385" spans="1:3" x14ac:dyDescent="0.3">
      <c r="A385" t="s">
        <v>1852</v>
      </c>
      <c r="B385" t="s">
        <v>96</v>
      </c>
      <c r="C385" t="s">
        <v>3911</v>
      </c>
    </row>
    <row r="386" spans="1:3" x14ac:dyDescent="0.3">
      <c r="A386" t="s">
        <v>1852</v>
      </c>
      <c r="B386" t="s">
        <v>96</v>
      </c>
      <c r="C386" t="s">
        <v>97</v>
      </c>
    </row>
    <row r="387" spans="1:3" x14ac:dyDescent="0.3">
      <c r="A387" t="s">
        <v>1852</v>
      </c>
      <c r="B387" t="s">
        <v>96</v>
      </c>
      <c r="C387" t="s">
        <v>320</v>
      </c>
    </row>
    <row r="388" spans="1:3" x14ac:dyDescent="0.3">
      <c r="A388" t="s">
        <v>1852</v>
      </c>
      <c r="B388" t="s">
        <v>96</v>
      </c>
      <c r="C388" t="s">
        <v>169</v>
      </c>
    </row>
    <row r="389" spans="1:3" x14ac:dyDescent="0.3">
      <c r="A389" t="s">
        <v>1852</v>
      </c>
      <c r="B389" t="s">
        <v>96</v>
      </c>
      <c r="C389" t="s">
        <v>294</v>
      </c>
    </row>
    <row r="390" spans="1:3" x14ac:dyDescent="0.3">
      <c r="A390" t="s">
        <v>1852</v>
      </c>
      <c r="B390" t="s">
        <v>96</v>
      </c>
      <c r="C390" t="s">
        <v>288</v>
      </c>
    </row>
    <row r="391" spans="1:3" x14ac:dyDescent="0.3">
      <c r="A391" t="s">
        <v>1852</v>
      </c>
      <c r="B391" t="s">
        <v>96</v>
      </c>
      <c r="C391" t="s">
        <v>1308</v>
      </c>
    </row>
    <row r="392" spans="1:3" x14ac:dyDescent="0.3">
      <c r="A392" t="s">
        <v>1852</v>
      </c>
      <c r="B392" t="s">
        <v>96</v>
      </c>
      <c r="C392" t="s">
        <v>201</v>
      </c>
    </row>
    <row r="393" spans="1:3" x14ac:dyDescent="0.3">
      <c r="A393" t="s">
        <v>1852</v>
      </c>
      <c r="B393" t="s">
        <v>96</v>
      </c>
      <c r="C393" t="s">
        <v>107</v>
      </c>
    </row>
    <row r="394" spans="1:3" x14ac:dyDescent="0.3">
      <c r="A394" t="s">
        <v>1852</v>
      </c>
      <c r="B394" t="s">
        <v>96</v>
      </c>
      <c r="C394" t="s">
        <v>1869</v>
      </c>
    </row>
    <row r="395" spans="1:3" x14ac:dyDescent="0.3">
      <c r="A395" t="s">
        <v>1852</v>
      </c>
      <c r="B395" t="s">
        <v>96</v>
      </c>
      <c r="C395" t="s">
        <v>3298</v>
      </c>
    </row>
    <row r="396" spans="1:3" x14ac:dyDescent="0.3">
      <c r="A396" t="s">
        <v>1852</v>
      </c>
      <c r="B396" t="s">
        <v>96</v>
      </c>
      <c r="C396" t="s">
        <v>657</v>
      </c>
    </row>
    <row r="397" spans="1:3" x14ac:dyDescent="0.3">
      <c r="A397" t="s">
        <v>1852</v>
      </c>
      <c r="B397" t="s">
        <v>96</v>
      </c>
      <c r="C397" t="s">
        <v>507</v>
      </c>
    </row>
    <row r="398" spans="1:3" x14ac:dyDescent="0.3">
      <c r="A398" t="s">
        <v>1852</v>
      </c>
      <c r="B398" t="s">
        <v>96</v>
      </c>
      <c r="C398" t="s">
        <v>1698</v>
      </c>
    </row>
    <row r="399" spans="1:3" x14ac:dyDescent="0.3">
      <c r="A399" t="s">
        <v>1852</v>
      </c>
      <c r="B399" t="s">
        <v>96</v>
      </c>
      <c r="C399" t="s">
        <v>681</v>
      </c>
    </row>
    <row r="400" spans="1:3" x14ac:dyDescent="0.3">
      <c r="A400" t="s">
        <v>1852</v>
      </c>
      <c r="B400" t="s">
        <v>96</v>
      </c>
      <c r="C400" t="s">
        <v>3912</v>
      </c>
    </row>
    <row r="401" spans="1:3" x14ac:dyDescent="0.3">
      <c r="A401" t="s">
        <v>1852</v>
      </c>
      <c r="B401" t="s">
        <v>96</v>
      </c>
      <c r="C401" t="s">
        <v>3913</v>
      </c>
    </row>
    <row r="402" spans="1:3" x14ac:dyDescent="0.3">
      <c r="A402" t="s">
        <v>1852</v>
      </c>
      <c r="B402" t="s">
        <v>96</v>
      </c>
      <c r="C402" t="s">
        <v>989</v>
      </c>
    </row>
    <row r="403" spans="1:3" x14ac:dyDescent="0.3">
      <c r="A403" t="s">
        <v>1852</v>
      </c>
      <c r="B403" t="s">
        <v>96</v>
      </c>
      <c r="C403" t="s">
        <v>976</v>
      </c>
    </row>
    <row r="404" spans="1:3" x14ac:dyDescent="0.3">
      <c r="A404" t="s">
        <v>1852</v>
      </c>
      <c r="B404" t="s">
        <v>96</v>
      </c>
      <c r="C404" t="s">
        <v>983</v>
      </c>
    </row>
    <row r="405" spans="1:3" x14ac:dyDescent="0.3">
      <c r="A405" t="s">
        <v>1852</v>
      </c>
      <c r="B405" t="s">
        <v>79</v>
      </c>
      <c r="C405" t="s">
        <v>182</v>
      </c>
    </row>
    <row r="406" spans="1:3" x14ac:dyDescent="0.3">
      <c r="A406" t="s">
        <v>1852</v>
      </c>
      <c r="B406" t="s">
        <v>79</v>
      </c>
      <c r="C406" t="s">
        <v>81</v>
      </c>
    </row>
    <row r="407" spans="1:3" x14ac:dyDescent="0.3">
      <c r="A407" t="s">
        <v>1852</v>
      </c>
      <c r="B407" t="s">
        <v>79</v>
      </c>
      <c r="C407" t="s">
        <v>241</v>
      </c>
    </row>
    <row r="408" spans="1:3" x14ac:dyDescent="0.3">
      <c r="A408" t="s">
        <v>1852</v>
      </c>
      <c r="B408" t="s">
        <v>79</v>
      </c>
      <c r="C408" t="s">
        <v>1169</v>
      </c>
    </row>
    <row r="409" spans="1:3" x14ac:dyDescent="0.3">
      <c r="A409" t="s">
        <v>1852</v>
      </c>
      <c r="B409" t="s">
        <v>79</v>
      </c>
      <c r="C409" t="s">
        <v>163</v>
      </c>
    </row>
    <row r="410" spans="1:3" x14ac:dyDescent="0.3">
      <c r="A410" t="s">
        <v>1357</v>
      </c>
      <c r="B410" t="s">
        <v>79</v>
      </c>
      <c r="C410" t="s">
        <v>241</v>
      </c>
    </row>
    <row r="411" spans="1:3" x14ac:dyDescent="0.3">
      <c r="A411" t="s">
        <v>1757</v>
      </c>
      <c r="B411" t="s">
        <v>96</v>
      </c>
      <c r="C411" t="s">
        <v>175</v>
      </c>
    </row>
    <row r="412" spans="1:3" x14ac:dyDescent="0.3">
      <c r="A412" t="s">
        <v>1757</v>
      </c>
      <c r="B412" t="s">
        <v>96</v>
      </c>
      <c r="C412" t="s">
        <v>1422</v>
      </c>
    </row>
    <row r="413" spans="1:3" x14ac:dyDescent="0.3">
      <c r="A413" t="s">
        <v>1757</v>
      </c>
      <c r="B413" t="s">
        <v>96</v>
      </c>
      <c r="C413" t="s">
        <v>2054</v>
      </c>
    </row>
    <row r="414" spans="1:3" x14ac:dyDescent="0.3">
      <c r="A414" t="s">
        <v>1757</v>
      </c>
      <c r="B414" t="s">
        <v>96</v>
      </c>
      <c r="C414" t="s">
        <v>1029</v>
      </c>
    </row>
    <row r="415" spans="1:3" x14ac:dyDescent="0.3">
      <c r="A415" t="s">
        <v>1757</v>
      </c>
      <c r="B415" t="s">
        <v>96</v>
      </c>
      <c r="C415" t="s">
        <v>3911</v>
      </c>
    </row>
    <row r="416" spans="1:3" x14ac:dyDescent="0.3">
      <c r="A416" t="s">
        <v>1757</v>
      </c>
      <c r="B416" t="s">
        <v>96</v>
      </c>
      <c r="C416" t="s">
        <v>97</v>
      </c>
    </row>
    <row r="417" spans="1:3" x14ac:dyDescent="0.3">
      <c r="A417" t="s">
        <v>1757</v>
      </c>
      <c r="B417" t="s">
        <v>96</v>
      </c>
      <c r="C417" t="s">
        <v>320</v>
      </c>
    </row>
    <row r="418" spans="1:3" x14ac:dyDescent="0.3">
      <c r="A418" t="s">
        <v>1757</v>
      </c>
      <c r="B418" t="s">
        <v>96</v>
      </c>
      <c r="C418" t="s">
        <v>169</v>
      </c>
    </row>
    <row r="419" spans="1:3" x14ac:dyDescent="0.3">
      <c r="A419" t="s">
        <v>1757</v>
      </c>
      <c r="B419" t="s">
        <v>96</v>
      </c>
      <c r="C419" t="s">
        <v>294</v>
      </c>
    </row>
    <row r="420" spans="1:3" x14ac:dyDescent="0.3">
      <c r="A420" t="s">
        <v>1757</v>
      </c>
      <c r="B420" t="s">
        <v>96</v>
      </c>
      <c r="C420" t="s">
        <v>288</v>
      </c>
    </row>
    <row r="421" spans="1:3" x14ac:dyDescent="0.3">
      <c r="A421" t="s">
        <v>1757</v>
      </c>
      <c r="B421" t="s">
        <v>96</v>
      </c>
      <c r="C421" t="s">
        <v>1308</v>
      </c>
    </row>
    <row r="422" spans="1:3" x14ac:dyDescent="0.3">
      <c r="A422" t="s">
        <v>1757</v>
      </c>
      <c r="B422" t="s">
        <v>96</v>
      </c>
      <c r="C422" t="s">
        <v>201</v>
      </c>
    </row>
    <row r="423" spans="1:3" x14ac:dyDescent="0.3">
      <c r="A423" t="s">
        <v>1757</v>
      </c>
      <c r="B423" t="s">
        <v>96</v>
      </c>
      <c r="C423" t="s">
        <v>107</v>
      </c>
    </row>
    <row r="424" spans="1:3" x14ac:dyDescent="0.3">
      <c r="A424" t="s">
        <v>1757</v>
      </c>
      <c r="B424" t="s">
        <v>96</v>
      </c>
      <c r="C424" t="s">
        <v>1869</v>
      </c>
    </row>
    <row r="425" spans="1:3" x14ac:dyDescent="0.3">
      <c r="A425" t="s">
        <v>1757</v>
      </c>
      <c r="B425" t="s">
        <v>96</v>
      </c>
      <c r="C425" t="s">
        <v>3298</v>
      </c>
    </row>
    <row r="426" spans="1:3" x14ac:dyDescent="0.3">
      <c r="A426" t="s">
        <v>1757</v>
      </c>
      <c r="B426" t="s">
        <v>96</v>
      </c>
      <c r="C426" t="s">
        <v>657</v>
      </c>
    </row>
    <row r="427" spans="1:3" x14ac:dyDescent="0.3">
      <c r="A427" t="s">
        <v>1757</v>
      </c>
      <c r="B427" t="s">
        <v>96</v>
      </c>
      <c r="C427" t="s">
        <v>507</v>
      </c>
    </row>
    <row r="428" spans="1:3" x14ac:dyDescent="0.3">
      <c r="A428" t="s">
        <v>1757</v>
      </c>
      <c r="B428" t="s">
        <v>96</v>
      </c>
      <c r="C428" t="s">
        <v>1698</v>
      </c>
    </row>
    <row r="429" spans="1:3" x14ac:dyDescent="0.3">
      <c r="A429" t="s">
        <v>1757</v>
      </c>
      <c r="B429" t="s">
        <v>96</v>
      </c>
      <c r="C429" t="s">
        <v>681</v>
      </c>
    </row>
    <row r="430" spans="1:3" x14ac:dyDescent="0.3">
      <c r="A430" t="s">
        <v>1757</v>
      </c>
      <c r="B430" t="s">
        <v>96</v>
      </c>
      <c r="C430" t="s">
        <v>3912</v>
      </c>
    </row>
    <row r="431" spans="1:3" x14ac:dyDescent="0.3">
      <c r="A431" t="s">
        <v>1757</v>
      </c>
      <c r="B431" t="s">
        <v>96</v>
      </c>
      <c r="C431" t="s">
        <v>3913</v>
      </c>
    </row>
    <row r="432" spans="1:3" x14ac:dyDescent="0.3">
      <c r="A432" t="s">
        <v>1757</v>
      </c>
      <c r="B432" t="s">
        <v>96</v>
      </c>
      <c r="C432" t="s">
        <v>989</v>
      </c>
    </row>
    <row r="433" spans="1:3" x14ac:dyDescent="0.3">
      <c r="A433" t="s">
        <v>1757</v>
      </c>
      <c r="B433" t="s">
        <v>96</v>
      </c>
      <c r="C433" t="s">
        <v>976</v>
      </c>
    </row>
    <row r="434" spans="1:3" x14ac:dyDescent="0.3">
      <c r="A434" t="s">
        <v>1757</v>
      </c>
      <c r="B434" t="s">
        <v>96</v>
      </c>
      <c r="C434" t="s">
        <v>983</v>
      </c>
    </row>
    <row r="435" spans="1:3" x14ac:dyDescent="0.3">
      <c r="A435" t="s">
        <v>1757</v>
      </c>
      <c r="B435" t="s">
        <v>79</v>
      </c>
      <c r="C435" t="s">
        <v>182</v>
      </c>
    </row>
    <row r="436" spans="1:3" x14ac:dyDescent="0.3">
      <c r="A436" t="s">
        <v>1757</v>
      </c>
      <c r="B436" t="s">
        <v>79</v>
      </c>
      <c r="C436" t="s">
        <v>81</v>
      </c>
    </row>
    <row r="437" spans="1:3" x14ac:dyDescent="0.3">
      <c r="A437" t="s">
        <v>1757</v>
      </c>
      <c r="B437" t="s">
        <v>79</v>
      </c>
      <c r="C437" t="s">
        <v>241</v>
      </c>
    </row>
    <row r="438" spans="1:3" x14ac:dyDescent="0.3">
      <c r="A438" t="s">
        <v>1757</v>
      </c>
      <c r="B438" t="s">
        <v>79</v>
      </c>
      <c r="C438" t="s">
        <v>1169</v>
      </c>
    </row>
    <row r="439" spans="1:3" x14ac:dyDescent="0.3">
      <c r="A439" t="s">
        <v>1757</v>
      </c>
      <c r="B439" t="s">
        <v>79</v>
      </c>
      <c r="C439" t="s">
        <v>163</v>
      </c>
    </row>
    <row r="440" spans="1:3" x14ac:dyDescent="0.3">
      <c r="A440" t="s">
        <v>23</v>
      </c>
      <c r="B440" s="2" t="s">
        <v>96</v>
      </c>
      <c r="C440" s="12" t="s">
        <v>1308</v>
      </c>
    </row>
    <row r="441" spans="1:3" x14ac:dyDescent="0.3">
      <c r="A441" t="s">
        <v>23</v>
      </c>
      <c r="B441" s="2" t="s">
        <v>79</v>
      </c>
      <c r="C441" s="12" t="s">
        <v>2261</v>
      </c>
    </row>
    <row r="442" spans="1:3" x14ac:dyDescent="0.3">
      <c r="A442" t="s">
        <v>23</v>
      </c>
      <c r="B442" s="2" t="s">
        <v>79</v>
      </c>
      <c r="C442" s="12" t="s">
        <v>241</v>
      </c>
    </row>
    <row r="443" spans="1:3" x14ac:dyDescent="0.3">
      <c r="A443" t="s">
        <v>1535</v>
      </c>
      <c r="B443" t="s">
        <v>96</v>
      </c>
      <c r="C443" t="s">
        <v>175</v>
      </c>
    </row>
    <row r="444" spans="1:3" x14ac:dyDescent="0.3">
      <c r="A444" t="s">
        <v>1535</v>
      </c>
      <c r="B444" t="s">
        <v>96</v>
      </c>
      <c r="C444" t="s">
        <v>1422</v>
      </c>
    </row>
    <row r="445" spans="1:3" x14ac:dyDescent="0.3">
      <c r="A445" t="s">
        <v>1535</v>
      </c>
      <c r="B445" t="s">
        <v>96</v>
      </c>
      <c r="C445" t="s">
        <v>2054</v>
      </c>
    </row>
    <row r="446" spans="1:3" x14ac:dyDescent="0.3">
      <c r="A446" t="s">
        <v>1535</v>
      </c>
      <c r="B446" t="s">
        <v>96</v>
      </c>
      <c r="C446" t="s">
        <v>1029</v>
      </c>
    </row>
    <row r="447" spans="1:3" x14ac:dyDescent="0.3">
      <c r="A447" t="s">
        <v>1535</v>
      </c>
      <c r="B447" t="s">
        <v>96</v>
      </c>
      <c r="C447" t="s">
        <v>3911</v>
      </c>
    </row>
    <row r="448" spans="1:3" x14ac:dyDescent="0.3">
      <c r="A448" t="s">
        <v>1535</v>
      </c>
      <c r="B448" t="s">
        <v>96</v>
      </c>
      <c r="C448" t="s">
        <v>97</v>
      </c>
    </row>
    <row r="449" spans="1:3" x14ac:dyDescent="0.3">
      <c r="A449" t="s">
        <v>1535</v>
      </c>
      <c r="B449" t="s">
        <v>96</v>
      </c>
      <c r="C449" t="s">
        <v>320</v>
      </c>
    </row>
    <row r="450" spans="1:3" x14ac:dyDescent="0.3">
      <c r="A450" t="s">
        <v>1535</v>
      </c>
      <c r="B450" t="s">
        <v>96</v>
      </c>
      <c r="C450" t="s">
        <v>169</v>
      </c>
    </row>
    <row r="451" spans="1:3" x14ac:dyDescent="0.3">
      <c r="A451" t="s">
        <v>1535</v>
      </c>
      <c r="B451" t="s">
        <v>96</v>
      </c>
      <c r="C451" t="s">
        <v>294</v>
      </c>
    </row>
    <row r="452" spans="1:3" x14ac:dyDescent="0.3">
      <c r="A452" t="s">
        <v>1535</v>
      </c>
      <c r="B452" t="s">
        <v>96</v>
      </c>
      <c r="C452" t="s">
        <v>288</v>
      </c>
    </row>
    <row r="453" spans="1:3" x14ac:dyDescent="0.3">
      <c r="A453" t="s">
        <v>1535</v>
      </c>
      <c r="B453" t="s">
        <v>96</v>
      </c>
      <c r="C453" t="s">
        <v>1308</v>
      </c>
    </row>
    <row r="454" spans="1:3" x14ac:dyDescent="0.3">
      <c r="A454" t="s">
        <v>1535</v>
      </c>
      <c r="B454" t="s">
        <v>96</v>
      </c>
      <c r="C454" t="s">
        <v>201</v>
      </c>
    </row>
    <row r="455" spans="1:3" x14ac:dyDescent="0.3">
      <c r="A455" t="s">
        <v>1535</v>
      </c>
      <c r="B455" t="s">
        <v>96</v>
      </c>
      <c r="C455" t="s">
        <v>107</v>
      </c>
    </row>
    <row r="456" spans="1:3" x14ac:dyDescent="0.3">
      <c r="A456" t="s">
        <v>1535</v>
      </c>
      <c r="B456" t="s">
        <v>96</v>
      </c>
      <c r="C456" t="s">
        <v>1869</v>
      </c>
    </row>
    <row r="457" spans="1:3" x14ac:dyDescent="0.3">
      <c r="A457" t="s">
        <v>1535</v>
      </c>
      <c r="B457" t="s">
        <v>96</v>
      </c>
      <c r="C457" t="s">
        <v>3298</v>
      </c>
    </row>
    <row r="458" spans="1:3" x14ac:dyDescent="0.3">
      <c r="A458" t="s">
        <v>1535</v>
      </c>
      <c r="B458" t="s">
        <v>96</v>
      </c>
      <c r="C458" t="s">
        <v>657</v>
      </c>
    </row>
    <row r="459" spans="1:3" x14ac:dyDescent="0.3">
      <c r="A459" t="s">
        <v>1535</v>
      </c>
      <c r="B459" t="s">
        <v>96</v>
      </c>
      <c r="C459" t="s">
        <v>507</v>
      </c>
    </row>
    <row r="460" spans="1:3" x14ac:dyDescent="0.3">
      <c r="A460" t="s">
        <v>1535</v>
      </c>
      <c r="B460" t="s">
        <v>96</v>
      </c>
      <c r="C460" t="s">
        <v>681</v>
      </c>
    </row>
    <row r="461" spans="1:3" x14ac:dyDescent="0.3">
      <c r="A461" t="s">
        <v>1535</v>
      </c>
      <c r="B461" t="s">
        <v>96</v>
      </c>
      <c r="C461" t="s">
        <v>3912</v>
      </c>
    </row>
    <row r="462" spans="1:3" x14ac:dyDescent="0.3">
      <c r="A462" t="s">
        <v>1535</v>
      </c>
      <c r="B462" t="s">
        <v>96</v>
      </c>
      <c r="C462" t="s">
        <v>3913</v>
      </c>
    </row>
    <row r="463" spans="1:3" x14ac:dyDescent="0.3">
      <c r="A463" t="s">
        <v>1535</v>
      </c>
      <c r="B463" t="s">
        <v>96</v>
      </c>
      <c r="C463" t="s">
        <v>989</v>
      </c>
    </row>
    <row r="464" spans="1:3" x14ac:dyDescent="0.3">
      <c r="A464" t="s">
        <v>1535</v>
      </c>
      <c r="B464" t="s">
        <v>96</v>
      </c>
      <c r="C464" t="s">
        <v>976</v>
      </c>
    </row>
    <row r="465" spans="1:3" x14ac:dyDescent="0.3">
      <c r="A465" t="s">
        <v>1535</v>
      </c>
      <c r="B465" t="s">
        <v>96</v>
      </c>
      <c r="C465" t="s">
        <v>983</v>
      </c>
    </row>
    <row r="466" spans="1:3" x14ac:dyDescent="0.3">
      <c r="A466" t="s">
        <v>1535</v>
      </c>
      <c r="B466" t="s">
        <v>79</v>
      </c>
      <c r="C466" t="s">
        <v>182</v>
      </c>
    </row>
    <row r="467" spans="1:3" x14ac:dyDescent="0.3">
      <c r="A467" t="s">
        <v>1535</v>
      </c>
      <c r="B467" t="s">
        <v>79</v>
      </c>
      <c r="C467" t="s">
        <v>81</v>
      </c>
    </row>
    <row r="468" spans="1:3" x14ac:dyDescent="0.3">
      <c r="A468" t="s">
        <v>1535</v>
      </c>
      <c r="B468" t="s">
        <v>79</v>
      </c>
      <c r="C468" t="s">
        <v>241</v>
      </c>
    </row>
    <row r="469" spans="1:3" x14ac:dyDescent="0.3">
      <c r="A469" t="s">
        <v>1535</v>
      </c>
      <c r="B469" t="s">
        <v>79</v>
      </c>
      <c r="C469" t="s">
        <v>1169</v>
      </c>
    </row>
    <row r="470" spans="1:3" x14ac:dyDescent="0.3">
      <c r="A470" t="s">
        <v>1535</v>
      </c>
      <c r="B470" t="s">
        <v>79</v>
      </c>
      <c r="C470" t="s">
        <v>163</v>
      </c>
    </row>
    <row r="471" spans="1:3" x14ac:dyDescent="0.3">
      <c r="A471" t="s">
        <v>25</v>
      </c>
      <c r="B471" s="2" t="s">
        <v>96</v>
      </c>
      <c r="C471" s="12" t="s">
        <v>288</v>
      </c>
    </row>
    <row r="472" spans="1:3" x14ac:dyDescent="0.3">
      <c r="A472" t="s">
        <v>25</v>
      </c>
      <c r="B472" s="2" t="s">
        <v>96</v>
      </c>
      <c r="C472" s="2" t="s">
        <v>1869</v>
      </c>
    </row>
    <row r="473" spans="1:3" x14ac:dyDescent="0.3">
      <c r="A473" t="s">
        <v>25</v>
      </c>
      <c r="B473" s="2" t="s">
        <v>79</v>
      </c>
      <c r="C473" s="2" t="s">
        <v>182</v>
      </c>
    </row>
    <row r="474" spans="1:3" x14ac:dyDescent="0.3">
      <c r="A474" t="s">
        <v>25</v>
      </c>
      <c r="B474" s="2" t="s">
        <v>79</v>
      </c>
      <c r="C474" s="2" t="s">
        <v>81</v>
      </c>
    </row>
    <row r="475" spans="1:3" x14ac:dyDescent="0.3">
      <c r="A475" t="s">
        <v>2460</v>
      </c>
      <c r="B475" t="s">
        <v>96</v>
      </c>
      <c r="C475" t="s">
        <v>175</v>
      </c>
    </row>
    <row r="476" spans="1:3" x14ac:dyDescent="0.3">
      <c r="A476" t="s">
        <v>2460</v>
      </c>
      <c r="B476" t="s">
        <v>96</v>
      </c>
      <c r="C476" t="s">
        <v>1422</v>
      </c>
    </row>
    <row r="477" spans="1:3" x14ac:dyDescent="0.3">
      <c r="A477" t="s">
        <v>2460</v>
      </c>
      <c r="B477" t="s">
        <v>96</v>
      </c>
      <c r="C477" t="s">
        <v>2054</v>
      </c>
    </row>
    <row r="478" spans="1:3" x14ac:dyDescent="0.3">
      <c r="A478" t="s">
        <v>2460</v>
      </c>
      <c r="B478" t="s">
        <v>96</v>
      </c>
      <c r="C478" t="s">
        <v>1029</v>
      </c>
    </row>
    <row r="479" spans="1:3" x14ac:dyDescent="0.3">
      <c r="A479" t="s">
        <v>2460</v>
      </c>
      <c r="B479" t="s">
        <v>96</v>
      </c>
      <c r="C479" t="s">
        <v>3911</v>
      </c>
    </row>
    <row r="480" spans="1:3" x14ac:dyDescent="0.3">
      <c r="A480" t="s">
        <v>2460</v>
      </c>
      <c r="B480" t="s">
        <v>96</v>
      </c>
      <c r="C480" t="s">
        <v>97</v>
      </c>
    </row>
    <row r="481" spans="1:3" x14ac:dyDescent="0.3">
      <c r="A481" t="s">
        <v>2460</v>
      </c>
      <c r="B481" t="s">
        <v>96</v>
      </c>
      <c r="C481" t="s">
        <v>320</v>
      </c>
    </row>
    <row r="482" spans="1:3" x14ac:dyDescent="0.3">
      <c r="A482" t="s">
        <v>2460</v>
      </c>
      <c r="B482" t="s">
        <v>96</v>
      </c>
      <c r="C482" t="s">
        <v>169</v>
      </c>
    </row>
    <row r="483" spans="1:3" x14ac:dyDescent="0.3">
      <c r="A483" t="s">
        <v>2460</v>
      </c>
      <c r="B483" t="s">
        <v>96</v>
      </c>
      <c r="C483" t="s">
        <v>294</v>
      </c>
    </row>
    <row r="484" spans="1:3" x14ac:dyDescent="0.3">
      <c r="A484" t="s">
        <v>2460</v>
      </c>
      <c r="B484" t="s">
        <v>96</v>
      </c>
      <c r="C484" t="s">
        <v>288</v>
      </c>
    </row>
    <row r="485" spans="1:3" x14ac:dyDescent="0.3">
      <c r="A485" t="s">
        <v>2460</v>
      </c>
      <c r="B485" t="s">
        <v>96</v>
      </c>
      <c r="C485" t="s">
        <v>1308</v>
      </c>
    </row>
    <row r="486" spans="1:3" x14ac:dyDescent="0.3">
      <c r="A486" t="s">
        <v>2460</v>
      </c>
      <c r="B486" t="s">
        <v>96</v>
      </c>
      <c r="C486" t="s">
        <v>201</v>
      </c>
    </row>
    <row r="487" spans="1:3" x14ac:dyDescent="0.3">
      <c r="A487" t="s">
        <v>2460</v>
      </c>
      <c r="B487" t="s">
        <v>96</v>
      </c>
      <c r="C487" t="s">
        <v>107</v>
      </c>
    </row>
    <row r="488" spans="1:3" x14ac:dyDescent="0.3">
      <c r="A488" t="s">
        <v>2460</v>
      </c>
      <c r="B488" t="s">
        <v>96</v>
      </c>
      <c r="C488" t="s">
        <v>1869</v>
      </c>
    </row>
    <row r="489" spans="1:3" x14ac:dyDescent="0.3">
      <c r="A489" t="s">
        <v>2460</v>
      </c>
      <c r="B489" t="s">
        <v>96</v>
      </c>
      <c r="C489" t="s">
        <v>3298</v>
      </c>
    </row>
    <row r="490" spans="1:3" x14ac:dyDescent="0.3">
      <c r="A490" t="s">
        <v>2460</v>
      </c>
      <c r="B490" t="s">
        <v>96</v>
      </c>
      <c r="C490" t="s">
        <v>657</v>
      </c>
    </row>
    <row r="491" spans="1:3" x14ac:dyDescent="0.3">
      <c r="A491" t="s">
        <v>2460</v>
      </c>
      <c r="B491" t="s">
        <v>96</v>
      </c>
      <c r="C491" t="s">
        <v>507</v>
      </c>
    </row>
    <row r="492" spans="1:3" x14ac:dyDescent="0.3">
      <c r="A492" t="s">
        <v>2460</v>
      </c>
      <c r="B492" t="s">
        <v>96</v>
      </c>
      <c r="C492" t="s">
        <v>1698</v>
      </c>
    </row>
    <row r="493" spans="1:3" x14ac:dyDescent="0.3">
      <c r="A493" t="s">
        <v>2460</v>
      </c>
      <c r="B493" t="s">
        <v>96</v>
      </c>
      <c r="C493" t="s">
        <v>681</v>
      </c>
    </row>
    <row r="494" spans="1:3" x14ac:dyDescent="0.3">
      <c r="A494" t="s">
        <v>2460</v>
      </c>
      <c r="B494" t="s">
        <v>96</v>
      </c>
      <c r="C494" t="s">
        <v>1827</v>
      </c>
    </row>
    <row r="495" spans="1:3" x14ac:dyDescent="0.3">
      <c r="A495" t="s">
        <v>2460</v>
      </c>
      <c r="B495" t="s">
        <v>96</v>
      </c>
      <c r="C495" t="s">
        <v>3912</v>
      </c>
    </row>
    <row r="496" spans="1:3" x14ac:dyDescent="0.3">
      <c r="A496" t="s">
        <v>2460</v>
      </c>
      <c r="B496" t="s">
        <v>96</v>
      </c>
      <c r="C496" t="s">
        <v>3913</v>
      </c>
    </row>
    <row r="497" spans="1:3" x14ac:dyDescent="0.3">
      <c r="A497" t="s">
        <v>2460</v>
      </c>
      <c r="B497" t="s">
        <v>96</v>
      </c>
      <c r="C497" t="s">
        <v>1927</v>
      </c>
    </row>
    <row r="498" spans="1:3" x14ac:dyDescent="0.3">
      <c r="A498" t="s">
        <v>2460</v>
      </c>
      <c r="B498" t="s">
        <v>96</v>
      </c>
      <c r="C498" t="s">
        <v>989</v>
      </c>
    </row>
    <row r="499" spans="1:3" x14ac:dyDescent="0.3">
      <c r="A499" t="s">
        <v>2460</v>
      </c>
      <c r="B499" t="s">
        <v>96</v>
      </c>
      <c r="C499" t="s">
        <v>976</v>
      </c>
    </row>
    <row r="500" spans="1:3" x14ac:dyDescent="0.3">
      <c r="A500" t="s">
        <v>2460</v>
      </c>
      <c r="B500" t="s">
        <v>96</v>
      </c>
      <c r="C500" t="s">
        <v>983</v>
      </c>
    </row>
    <row r="501" spans="1:3" x14ac:dyDescent="0.3">
      <c r="A501" t="s">
        <v>2460</v>
      </c>
      <c r="B501" t="s">
        <v>79</v>
      </c>
      <c r="C501" t="s">
        <v>3914</v>
      </c>
    </row>
    <row r="502" spans="1:3" x14ac:dyDescent="0.3">
      <c r="A502" t="s">
        <v>2460</v>
      </c>
      <c r="B502" t="s">
        <v>79</v>
      </c>
      <c r="C502" t="s">
        <v>2261</v>
      </c>
    </row>
    <row r="503" spans="1:3" x14ac:dyDescent="0.3">
      <c r="A503" t="s">
        <v>2460</v>
      </c>
      <c r="B503" t="s">
        <v>79</v>
      </c>
      <c r="C503" t="s">
        <v>182</v>
      </c>
    </row>
    <row r="504" spans="1:3" x14ac:dyDescent="0.3">
      <c r="A504" t="s">
        <v>2460</v>
      </c>
      <c r="B504" t="s">
        <v>79</v>
      </c>
      <c r="C504" t="s">
        <v>81</v>
      </c>
    </row>
    <row r="505" spans="1:3" x14ac:dyDescent="0.3">
      <c r="A505" t="s">
        <v>2460</v>
      </c>
      <c r="B505" t="s">
        <v>79</v>
      </c>
      <c r="C505" t="s">
        <v>241</v>
      </c>
    </row>
    <row r="506" spans="1:3" x14ac:dyDescent="0.3">
      <c r="A506" t="s">
        <v>2460</v>
      </c>
      <c r="B506" t="s">
        <v>79</v>
      </c>
      <c r="C506" t="s">
        <v>1169</v>
      </c>
    </row>
    <row r="507" spans="1:3" x14ac:dyDescent="0.3">
      <c r="A507" t="s">
        <v>2460</v>
      </c>
      <c r="B507" t="s">
        <v>79</v>
      </c>
      <c r="C507" t="s">
        <v>533</v>
      </c>
    </row>
    <row r="508" spans="1:3" x14ac:dyDescent="0.3">
      <c r="A508" t="s">
        <v>2460</v>
      </c>
      <c r="B508" t="s">
        <v>79</v>
      </c>
      <c r="C508" t="s">
        <v>163</v>
      </c>
    </row>
    <row r="509" spans="1:3" x14ac:dyDescent="0.3">
      <c r="A509" t="s">
        <v>2460</v>
      </c>
      <c r="B509" t="s">
        <v>79</v>
      </c>
      <c r="C509" t="s">
        <v>3915</v>
      </c>
    </row>
    <row r="510" spans="1:3" x14ac:dyDescent="0.3">
      <c r="A510" t="s">
        <v>2460</v>
      </c>
      <c r="B510" t="s">
        <v>853</v>
      </c>
      <c r="C510" t="s">
        <v>854</v>
      </c>
    </row>
    <row r="511" spans="1:3" x14ac:dyDescent="0.3">
      <c r="A511" t="s">
        <v>2507</v>
      </c>
      <c r="B511" t="s">
        <v>96</v>
      </c>
      <c r="C511" t="s">
        <v>175</v>
      </c>
    </row>
    <row r="512" spans="1:3" x14ac:dyDescent="0.3">
      <c r="A512" t="s">
        <v>2507</v>
      </c>
      <c r="B512" t="s">
        <v>96</v>
      </c>
      <c r="C512" t="s">
        <v>1422</v>
      </c>
    </row>
    <row r="513" spans="1:3" x14ac:dyDescent="0.3">
      <c r="A513" t="s">
        <v>2507</v>
      </c>
      <c r="B513" t="s">
        <v>96</v>
      </c>
      <c r="C513" t="s">
        <v>2054</v>
      </c>
    </row>
    <row r="514" spans="1:3" x14ac:dyDescent="0.3">
      <c r="A514" t="s">
        <v>2507</v>
      </c>
      <c r="B514" t="s">
        <v>96</v>
      </c>
      <c r="C514" t="s">
        <v>1029</v>
      </c>
    </row>
    <row r="515" spans="1:3" x14ac:dyDescent="0.3">
      <c r="A515" t="s">
        <v>2507</v>
      </c>
      <c r="B515" t="s">
        <v>96</v>
      </c>
      <c r="C515" t="s">
        <v>3911</v>
      </c>
    </row>
    <row r="516" spans="1:3" x14ac:dyDescent="0.3">
      <c r="A516" t="s">
        <v>2507</v>
      </c>
      <c r="B516" t="s">
        <v>96</v>
      </c>
      <c r="C516" t="s">
        <v>97</v>
      </c>
    </row>
    <row r="517" spans="1:3" x14ac:dyDescent="0.3">
      <c r="A517" t="s">
        <v>2507</v>
      </c>
      <c r="B517" t="s">
        <v>96</v>
      </c>
      <c r="C517" t="s">
        <v>320</v>
      </c>
    </row>
    <row r="518" spans="1:3" x14ac:dyDescent="0.3">
      <c r="A518" t="s">
        <v>2507</v>
      </c>
      <c r="B518" t="s">
        <v>96</v>
      </c>
      <c r="C518" t="s">
        <v>169</v>
      </c>
    </row>
    <row r="519" spans="1:3" x14ac:dyDescent="0.3">
      <c r="A519" t="s">
        <v>2507</v>
      </c>
      <c r="B519" t="s">
        <v>96</v>
      </c>
      <c r="C519" t="s">
        <v>294</v>
      </c>
    </row>
    <row r="520" spans="1:3" x14ac:dyDescent="0.3">
      <c r="A520" t="s">
        <v>2507</v>
      </c>
      <c r="B520" t="s">
        <v>96</v>
      </c>
      <c r="C520" t="s">
        <v>288</v>
      </c>
    </row>
    <row r="521" spans="1:3" x14ac:dyDescent="0.3">
      <c r="A521" t="s">
        <v>2507</v>
      </c>
      <c r="B521" t="s">
        <v>96</v>
      </c>
      <c r="C521" t="s">
        <v>1308</v>
      </c>
    </row>
    <row r="522" spans="1:3" x14ac:dyDescent="0.3">
      <c r="A522" t="s">
        <v>2507</v>
      </c>
      <c r="B522" t="s">
        <v>96</v>
      </c>
      <c r="C522" t="s">
        <v>201</v>
      </c>
    </row>
    <row r="523" spans="1:3" x14ac:dyDescent="0.3">
      <c r="A523" t="s">
        <v>2507</v>
      </c>
      <c r="B523" t="s">
        <v>96</v>
      </c>
      <c r="C523" t="s">
        <v>107</v>
      </c>
    </row>
    <row r="524" spans="1:3" x14ac:dyDescent="0.3">
      <c r="A524" t="s">
        <v>2507</v>
      </c>
      <c r="B524" t="s">
        <v>96</v>
      </c>
      <c r="C524" t="s">
        <v>1869</v>
      </c>
    </row>
    <row r="525" spans="1:3" x14ac:dyDescent="0.3">
      <c r="A525" t="s">
        <v>2507</v>
      </c>
      <c r="B525" t="s">
        <v>96</v>
      </c>
      <c r="C525" t="s">
        <v>3298</v>
      </c>
    </row>
    <row r="526" spans="1:3" x14ac:dyDescent="0.3">
      <c r="A526" t="s">
        <v>2507</v>
      </c>
      <c r="B526" t="s">
        <v>96</v>
      </c>
      <c r="C526" t="s">
        <v>657</v>
      </c>
    </row>
    <row r="527" spans="1:3" x14ac:dyDescent="0.3">
      <c r="A527" t="s">
        <v>2507</v>
      </c>
      <c r="B527" t="s">
        <v>96</v>
      </c>
      <c r="C527" t="s">
        <v>507</v>
      </c>
    </row>
    <row r="528" spans="1:3" x14ac:dyDescent="0.3">
      <c r="A528" t="s">
        <v>2507</v>
      </c>
      <c r="B528" t="s">
        <v>96</v>
      </c>
      <c r="C528" t="s">
        <v>1698</v>
      </c>
    </row>
    <row r="529" spans="1:3" x14ac:dyDescent="0.3">
      <c r="A529" t="s">
        <v>2507</v>
      </c>
      <c r="B529" t="s">
        <v>96</v>
      </c>
      <c r="C529" t="s">
        <v>681</v>
      </c>
    </row>
    <row r="530" spans="1:3" x14ac:dyDescent="0.3">
      <c r="A530" t="s">
        <v>2507</v>
      </c>
      <c r="B530" t="s">
        <v>96</v>
      </c>
      <c r="C530" t="s">
        <v>1827</v>
      </c>
    </row>
    <row r="531" spans="1:3" x14ac:dyDescent="0.3">
      <c r="A531" t="s">
        <v>2507</v>
      </c>
      <c r="B531" t="s">
        <v>96</v>
      </c>
      <c r="C531" t="s">
        <v>3912</v>
      </c>
    </row>
    <row r="532" spans="1:3" x14ac:dyDescent="0.3">
      <c r="A532" t="s">
        <v>2507</v>
      </c>
      <c r="B532" t="s">
        <v>96</v>
      </c>
      <c r="C532" t="s">
        <v>3913</v>
      </c>
    </row>
    <row r="533" spans="1:3" x14ac:dyDescent="0.3">
      <c r="A533" t="s">
        <v>2507</v>
      </c>
      <c r="B533" t="s">
        <v>96</v>
      </c>
      <c r="C533" t="s">
        <v>1927</v>
      </c>
    </row>
    <row r="534" spans="1:3" x14ac:dyDescent="0.3">
      <c r="A534" t="s">
        <v>2507</v>
      </c>
      <c r="B534" t="s">
        <v>96</v>
      </c>
      <c r="C534" t="s">
        <v>989</v>
      </c>
    </row>
    <row r="535" spans="1:3" x14ac:dyDescent="0.3">
      <c r="A535" t="s">
        <v>2507</v>
      </c>
      <c r="B535" t="s">
        <v>96</v>
      </c>
      <c r="C535" t="s">
        <v>976</v>
      </c>
    </row>
    <row r="536" spans="1:3" x14ac:dyDescent="0.3">
      <c r="A536" t="s">
        <v>2507</v>
      </c>
      <c r="B536" t="s">
        <v>96</v>
      </c>
      <c r="C536" t="s">
        <v>983</v>
      </c>
    </row>
    <row r="537" spans="1:3" x14ac:dyDescent="0.3">
      <c r="A537" t="s">
        <v>2507</v>
      </c>
      <c r="B537" t="s">
        <v>79</v>
      </c>
      <c r="C537" t="s">
        <v>3914</v>
      </c>
    </row>
    <row r="538" spans="1:3" x14ac:dyDescent="0.3">
      <c r="A538" t="s">
        <v>2507</v>
      </c>
      <c r="B538" t="s">
        <v>79</v>
      </c>
      <c r="C538" t="s">
        <v>2261</v>
      </c>
    </row>
    <row r="539" spans="1:3" x14ac:dyDescent="0.3">
      <c r="A539" t="s">
        <v>2507</v>
      </c>
      <c r="B539" t="s">
        <v>79</v>
      </c>
      <c r="C539" t="s">
        <v>182</v>
      </c>
    </row>
    <row r="540" spans="1:3" x14ac:dyDescent="0.3">
      <c r="A540" t="s">
        <v>2507</v>
      </c>
      <c r="B540" t="s">
        <v>79</v>
      </c>
      <c r="C540" t="s">
        <v>81</v>
      </c>
    </row>
    <row r="541" spans="1:3" x14ac:dyDescent="0.3">
      <c r="A541" t="s">
        <v>2507</v>
      </c>
      <c r="B541" t="s">
        <v>79</v>
      </c>
      <c r="C541" t="s">
        <v>241</v>
      </c>
    </row>
    <row r="542" spans="1:3" x14ac:dyDescent="0.3">
      <c r="A542" t="s">
        <v>2507</v>
      </c>
      <c r="B542" t="s">
        <v>79</v>
      </c>
      <c r="C542" t="s">
        <v>1169</v>
      </c>
    </row>
    <row r="543" spans="1:3" x14ac:dyDescent="0.3">
      <c r="A543" t="s">
        <v>2507</v>
      </c>
      <c r="B543" t="s">
        <v>79</v>
      </c>
      <c r="C543" t="s">
        <v>533</v>
      </c>
    </row>
    <row r="544" spans="1:3" x14ac:dyDescent="0.3">
      <c r="A544" t="s">
        <v>2507</v>
      </c>
      <c r="B544" t="s">
        <v>79</v>
      </c>
      <c r="C544" t="s">
        <v>163</v>
      </c>
    </row>
    <row r="545" spans="1:3" x14ac:dyDescent="0.3">
      <c r="A545" t="s">
        <v>2507</v>
      </c>
      <c r="B545" t="s">
        <v>79</v>
      </c>
      <c r="C545" t="s">
        <v>3915</v>
      </c>
    </row>
    <row r="546" spans="1:3" x14ac:dyDescent="0.3">
      <c r="A546" t="s">
        <v>2507</v>
      </c>
      <c r="B546" t="s">
        <v>853</v>
      </c>
      <c r="C546" t="s">
        <v>854</v>
      </c>
    </row>
    <row r="547" spans="1:3" x14ac:dyDescent="0.3">
      <c r="A547" t="s">
        <v>1018</v>
      </c>
      <c r="B547" t="s">
        <v>96</v>
      </c>
      <c r="C547" t="s">
        <v>976</v>
      </c>
    </row>
    <row r="548" spans="1:3" x14ac:dyDescent="0.3">
      <c r="A548" t="s">
        <v>1018</v>
      </c>
      <c r="B548" t="s">
        <v>79</v>
      </c>
      <c r="C548" t="s">
        <v>1169</v>
      </c>
    </row>
    <row r="549" spans="1:3" x14ac:dyDescent="0.3">
      <c r="A549" t="s">
        <v>1018</v>
      </c>
      <c r="B549" t="s">
        <v>79</v>
      </c>
      <c r="C549" t="s">
        <v>163</v>
      </c>
    </row>
    <row r="550" spans="1:3" x14ac:dyDescent="0.3">
      <c r="A550" t="s">
        <v>656</v>
      </c>
      <c r="B550" t="s">
        <v>96</v>
      </c>
      <c r="C550" t="s">
        <v>175</v>
      </c>
    </row>
    <row r="551" spans="1:3" x14ac:dyDescent="0.3">
      <c r="A551" t="s">
        <v>656</v>
      </c>
      <c r="B551" t="s">
        <v>96</v>
      </c>
      <c r="C551" t="s">
        <v>1422</v>
      </c>
    </row>
    <row r="552" spans="1:3" x14ac:dyDescent="0.3">
      <c r="A552" t="s">
        <v>656</v>
      </c>
      <c r="B552" t="s">
        <v>96</v>
      </c>
      <c r="C552" t="s">
        <v>2054</v>
      </c>
    </row>
    <row r="553" spans="1:3" x14ac:dyDescent="0.3">
      <c r="A553" t="s">
        <v>656</v>
      </c>
      <c r="B553" t="s">
        <v>96</v>
      </c>
      <c r="C553" t="s">
        <v>1029</v>
      </c>
    </row>
    <row r="554" spans="1:3" x14ac:dyDescent="0.3">
      <c r="A554" t="s">
        <v>656</v>
      </c>
      <c r="B554" t="s">
        <v>96</v>
      </c>
      <c r="C554" t="s">
        <v>3911</v>
      </c>
    </row>
    <row r="555" spans="1:3" x14ac:dyDescent="0.3">
      <c r="A555" t="s">
        <v>656</v>
      </c>
      <c r="B555" t="s">
        <v>96</v>
      </c>
      <c r="C555" t="s">
        <v>97</v>
      </c>
    </row>
    <row r="556" spans="1:3" x14ac:dyDescent="0.3">
      <c r="A556" t="s">
        <v>656</v>
      </c>
      <c r="B556" t="s">
        <v>96</v>
      </c>
      <c r="C556" t="s">
        <v>320</v>
      </c>
    </row>
    <row r="557" spans="1:3" x14ac:dyDescent="0.3">
      <c r="A557" t="s">
        <v>656</v>
      </c>
      <c r="B557" t="s">
        <v>96</v>
      </c>
      <c r="C557" t="s">
        <v>169</v>
      </c>
    </row>
    <row r="558" spans="1:3" x14ac:dyDescent="0.3">
      <c r="A558" t="s">
        <v>656</v>
      </c>
      <c r="B558" t="s">
        <v>96</v>
      </c>
      <c r="C558" t="s">
        <v>294</v>
      </c>
    </row>
    <row r="559" spans="1:3" x14ac:dyDescent="0.3">
      <c r="A559" t="s">
        <v>656</v>
      </c>
      <c r="B559" t="s">
        <v>96</v>
      </c>
      <c r="C559" t="s">
        <v>288</v>
      </c>
    </row>
    <row r="560" spans="1:3" x14ac:dyDescent="0.3">
      <c r="A560" t="s">
        <v>656</v>
      </c>
      <c r="B560" t="s">
        <v>96</v>
      </c>
      <c r="C560" t="s">
        <v>1308</v>
      </c>
    </row>
    <row r="561" spans="1:3" x14ac:dyDescent="0.3">
      <c r="A561" t="s">
        <v>656</v>
      </c>
      <c r="B561" t="s">
        <v>96</v>
      </c>
      <c r="C561" t="s">
        <v>201</v>
      </c>
    </row>
    <row r="562" spans="1:3" x14ac:dyDescent="0.3">
      <c r="A562" t="s">
        <v>656</v>
      </c>
      <c r="B562" t="s">
        <v>96</v>
      </c>
      <c r="C562" t="s">
        <v>107</v>
      </c>
    </row>
    <row r="563" spans="1:3" x14ac:dyDescent="0.3">
      <c r="A563" t="s">
        <v>656</v>
      </c>
      <c r="B563" t="s">
        <v>96</v>
      </c>
      <c r="C563" t="s">
        <v>1869</v>
      </c>
    </row>
    <row r="564" spans="1:3" x14ac:dyDescent="0.3">
      <c r="A564" t="s">
        <v>656</v>
      </c>
      <c r="B564" t="s">
        <v>96</v>
      </c>
      <c r="C564" t="s">
        <v>3298</v>
      </c>
    </row>
    <row r="565" spans="1:3" x14ac:dyDescent="0.3">
      <c r="A565" t="s">
        <v>656</v>
      </c>
      <c r="B565" t="s">
        <v>96</v>
      </c>
      <c r="C565" t="s">
        <v>657</v>
      </c>
    </row>
    <row r="566" spans="1:3" x14ac:dyDescent="0.3">
      <c r="A566" t="s">
        <v>656</v>
      </c>
      <c r="B566" t="s">
        <v>96</v>
      </c>
      <c r="C566" t="s">
        <v>507</v>
      </c>
    </row>
    <row r="567" spans="1:3" x14ac:dyDescent="0.3">
      <c r="A567" t="s">
        <v>656</v>
      </c>
      <c r="B567" t="s">
        <v>96</v>
      </c>
      <c r="C567" t="s">
        <v>681</v>
      </c>
    </row>
    <row r="568" spans="1:3" x14ac:dyDescent="0.3">
      <c r="A568" t="s">
        <v>656</v>
      </c>
      <c r="B568" t="s">
        <v>96</v>
      </c>
      <c r="C568" t="s">
        <v>3912</v>
      </c>
    </row>
    <row r="569" spans="1:3" x14ac:dyDescent="0.3">
      <c r="A569" t="s">
        <v>656</v>
      </c>
      <c r="B569" t="s">
        <v>96</v>
      </c>
      <c r="C569" t="s">
        <v>3913</v>
      </c>
    </row>
    <row r="570" spans="1:3" x14ac:dyDescent="0.3">
      <c r="A570" t="s">
        <v>656</v>
      </c>
      <c r="B570" t="s">
        <v>79</v>
      </c>
      <c r="C570" t="s">
        <v>182</v>
      </c>
    </row>
    <row r="571" spans="1:3" x14ac:dyDescent="0.3">
      <c r="A571" t="s">
        <v>656</v>
      </c>
      <c r="B571" t="s">
        <v>79</v>
      </c>
      <c r="C571" t="s">
        <v>81</v>
      </c>
    </row>
    <row r="572" spans="1:3" x14ac:dyDescent="0.3">
      <c r="A572" t="s">
        <v>975</v>
      </c>
      <c r="B572" t="s">
        <v>96</v>
      </c>
      <c r="C572" t="s">
        <v>288</v>
      </c>
    </row>
    <row r="573" spans="1:3" x14ac:dyDescent="0.3">
      <c r="A573" t="s">
        <v>975</v>
      </c>
      <c r="B573" t="s">
        <v>96</v>
      </c>
      <c r="C573" t="s">
        <v>976</v>
      </c>
    </row>
    <row r="574" spans="1:3" x14ac:dyDescent="0.3">
      <c r="A574" t="s">
        <v>975</v>
      </c>
      <c r="B574" t="s">
        <v>79</v>
      </c>
      <c r="C574" s="12" t="s">
        <v>163</v>
      </c>
    </row>
    <row r="575" spans="1:3" x14ac:dyDescent="0.3">
      <c r="A575" t="s">
        <v>3905</v>
      </c>
      <c r="B575" t="s">
        <v>79</v>
      </c>
      <c r="C575" t="s">
        <v>1169</v>
      </c>
    </row>
    <row r="576" spans="1:3" x14ac:dyDescent="0.3">
      <c r="A576" t="s">
        <v>3905</v>
      </c>
      <c r="B576" t="s">
        <v>79</v>
      </c>
      <c r="C576" t="s">
        <v>3915</v>
      </c>
    </row>
    <row r="577" spans="1:3" x14ac:dyDescent="0.3">
      <c r="A577" t="s">
        <v>27</v>
      </c>
      <c r="B577" s="2" t="s">
        <v>79</v>
      </c>
      <c r="C577" s="12" t="s">
        <v>241</v>
      </c>
    </row>
    <row r="578" spans="1:3" x14ac:dyDescent="0.3">
      <c r="A578" t="s">
        <v>2800</v>
      </c>
      <c r="B578" t="s">
        <v>96</v>
      </c>
      <c r="C578" t="s">
        <v>175</v>
      </c>
    </row>
    <row r="579" spans="1:3" x14ac:dyDescent="0.3">
      <c r="A579" t="s">
        <v>2800</v>
      </c>
      <c r="B579" t="s">
        <v>96</v>
      </c>
      <c r="C579" t="s">
        <v>1422</v>
      </c>
    </row>
    <row r="580" spans="1:3" x14ac:dyDescent="0.3">
      <c r="A580" t="s">
        <v>2800</v>
      </c>
      <c r="B580" t="s">
        <v>96</v>
      </c>
      <c r="C580" t="s">
        <v>2054</v>
      </c>
    </row>
    <row r="581" spans="1:3" x14ac:dyDescent="0.3">
      <c r="A581" t="s">
        <v>2800</v>
      </c>
      <c r="B581" t="s">
        <v>96</v>
      </c>
      <c r="C581" t="s">
        <v>1029</v>
      </c>
    </row>
    <row r="582" spans="1:3" x14ac:dyDescent="0.3">
      <c r="A582" t="s">
        <v>2800</v>
      </c>
      <c r="B582" t="s">
        <v>96</v>
      </c>
      <c r="C582" t="s">
        <v>3911</v>
      </c>
    </row>
    <row r="583" spans="1:3" x14ac:dyDescent="0.3">
      <c r="A583" t="s">
        <v>2800</v>
      </c>
      <c r="B583" t="s">
        <v>96</v>
      </c>
      <c r="C583" t="s">
        <v>97</v>
      </c>
    </row>
    <row r="584" spans="1:3" x14ac:dyDescent="0.3">
      <c r="A584" t="s">
        <v>2800</v>
      </c>
      <c r="B584" t="s">
        <v>96</v>
      </c>
      <c r="C584" t="s">
        <v>320</v>
      </c>
    </row>
    <row r="585" spans="1:3" x14ac:dyDescent="0.3">
      <c r="A585" t="s">
        <v>2800</v>
      </c>
      <c r="B585" t="s">
        <v>96</v>
      </c>
      <c r="C585" t="s">
        <v>169</v>
      </c>
    </row>
    <row r="586" spans="1:3" x14ac:dyDescent="0.3">
      <c r="A586" t="s">
        <v>2800</v>
      </c>
      <c r="B586" t="s">
        <v>96</v>
      </c>
      <c r="C586" t="s">
        <v>294</v>
      </c>
    </row>
    <row r="587" spans="1:3" x14ac:dyDescent="0.3">
      <c r="A587" t="s">
        <v>2800</v>
      </c>
      <c r="B587" t="s">
        <v>96</v>
      </c>
      <c r="C587" t="s">
        <v>288</v>
      </c>
    </row>
    <row r="588" spans="1:3" x14ac:dyDescent="0.3">
      <c r="A588" t="s">
        <v>2800</v>
      </c>
      <c r="B588" t="s">
        <v>96</v>
      </c>
      <c r="C588" t="s">
        <v>1308</v>
      </c>
    </row>
    <row r="589" spans="1:3" x14ac:dyDescent="0.3">
      <c r="A589" t="s">
        <v>2800</v>
      </c>
      <c r="B589" t="s">
        <v>96</v>
      </c>
      <c r="C589" t="s">
        <v>201</v>
      </c>
    </row>
    <row r="590" spans="1:3" x14ac:dyDescent="0.3">
      <c r="A590" t="s">
        <v>2800</v>
      </c>
      <c r="B590" t="s">
        <v>96</v>
      </c>
      <c r="C590" t="s">
        <v>107</v>
      </c>
    </row>
    <row r="591" spans="1:3" x14ac:dyDescent="0.3">
      <c r="A591" t="s">
        <v>2800</v>
      </c>
      <c r="B591" t="s">
        <v>96</v>
      </c>
      <c r="C591" t="s">
        <v>1869</v>
      </c>
    </row>
    <row r="592" spans="1:3" x14ac:dyDescent="0.3">
      <c r="A592" t="s">
        <v>2800</v>
      </c>
      <c r="B592" t="s">
        <v>96</v>
      </c>
      <c r="C592" t="s">
        <v>3298</v>
      </c>
    </row>
    <row r="593" spans="1:3" x14ac:dyDescent="0.3">
      <c r="A593" t="s">
        <v>2800</v>
      </c>
      <c r="B593" t="s">
        <v>96</v>
      </c>
      <c r="C593" t="s">
        <v>657</v>
      </c>
    </row>
    <row r="594" spans="1:3" x14ac:dyDescent="0.3">
      <c r="A594" t="s">
        <v>2800</v>
      </c>
      <c r="B594" t="s">
        <v>96</v>
      </c>
      <c r="C594" t="s">
        <v>507</v>
      </c>
    </row>
    <row r="595" spans="1:3" x14ac:dyDescent="0.3">
      <c r="A595" t="s">
        <v>2800</v>
      </c>
      <c r="B595" t="s">
        <v>96</v>
      </c>
      <c r="C595" t="s">
        <v>1698</v>
      </c>
    </row>
    <row r="596" spans="1:3" x14ac:dyDescent="0.3">
      <c r="A596" t="s">
        <v>2800</v>
      </c>
      <c r="B596" t="s">
        <v>96</v>
      </c>
      <c r="C596" t="s">
        <v>681</v>
      </c>
    </row>
    <row r="597" spans="1:3" x14ac:dyDescent="0.3">
      <c r="A597" t="s">
        <v>2800</v>
      </c>
      <c r="B597" t="s">
        <v>96</v>
      </c>
      <c r="C597" t="s">
        <v>1827</v>
      </c>
    </row>
    <row r="598" spans="1:3" x14ac:dyDescent="0.3">
      <c r="A598" t="s">
        <v>2800</v>
      </c>
      <c r="B598" t="s">
        <v>96</v>
      </c>
      <c r="C598" t="s">
        <v>3912</v>
      </c>
    </row>
    <row r="599" spans="1:3" x14ac:dyDescent="0.3">
      <c r="A599" t="s">
        <v>2800</v>
      </c>
      <c r="B599" t="s">
        <v>96</v>
      </c>
      <c r="C599" t="s">
        <v>3913</v>
      </c>
    </row>
    <row r="600" spans="1:3" x14ac:dyDescent="0.3">
      <c r="A600" t="s">
        <v>2800</v>
      </c>
      <c r="B600" t="s">
        <v>96</v>
      </c>
      <c r="C600" t="s">
        <v>1927</v>
      </c>
    </row>
    <row r="601" spans="1:3" x14ac:dyDescent="0.3">
      <c r="A601" t="s">
        <v>2800</v>
      </c>
      <c r="B601" t="s">
        <v>96</v>
      </c>
      <c r="C601" t="s">
        <v>989</v>
      </c>
    </row>
    <row r="602" spans="1:3" x14ac:dyDescent="0.3">
      <c r="A602" t="s">
        <v>2800</v>
      </c>
      <c r="B602" t="s">
        <v>96</v>
      </c>
      <c r="C602" t="s">
        <v>976</v>
      </c>
    </row>
    <row r="603" spans="1:3" x14ac:dyDescent="0.3">
      <c r="A603" t="s">
        <v>2800</v>
      </c>
      <c r="B603" t="s">
        <v>96</v>
      </c>
      <c r="C603" t="s">
        <v>983</v>
      </c>
    </row>
    <row r="604" spans="1:3" x14ac:dyDescent="0.3">
      <c r="A604" t="s">
        <v>2800</v>
      </c>
      <c r="B604" t="s">
        <v>79</v>
      </c>
      <c r="C604" t="s">
        <v>3914</v>
      </c>
    </row>
    <row r="605" spans="1:3" x14ac:dyDescent="0.3">
      <c r="A605" t="s">
        <v>2800</v>
      </c>
      <c r="B605" t="s">
        <v>79</v>
      </c>
      <c r="C605" t="s">
        <v>2261</v>
      </c>
    </row>
    <row r="606" spans="1:3" x14ac:dyDescent="0.3">
      <c r="A606" t="s">
        <v>2800</v>
      </c>
      <c r="B606" t="s">
        <v>79</v>
      </c>
      <c r="C606" t="s">
        <v>182</v>
      </c>
    </row>
    <row r="607" spans="1:3" x14ac:dyDescent="0.3">
      <c r="A607" t="s">
        <v>2800</v>
      </c>
      <c r="B607" t="s">
        <v>79</v>
      </c>
      <c r="C607" t="s">
        <v>81</v>
      </c>
    </row>
    <row r="608" spans="1:3" x14ac:dyDescent="0.3">
      <c r="A608" t="s">
        <v>2800</v>
      </c>
      <c r="B608" t="s">
        <v>79</v>
      </c>
      <c r="C608" t="s">
        <v>241</v>
      </c>
    </row>
    <row r="609" spans="1:3" x14ac:dyDescent="0.3">
      <c r="A609" t="s">
        <v>2800</v>
      </c>
      <c r="B609" t="s">
        <v>79</v>
      </c>
      <c r="C609" t="s">
        <v>1169</v>
      </c>
    </row>
    <row r="610" spans="1:3" x14ac:dyDescent="0.3">
      <c r="A610" t="s">
        <v>2800</v>
      </c>
      <c r="B610" t="s">
        <v>79</v>
      </c>
      <c r="C610" t="s">
        <v>533</v>
      </c>
    </row>
    <row r="611" spans="1:3" x14ac:dyDescent="0.3">
      <c r="A611" t="s">
        <v>2800</v>
      </c>
      <c r="B611" t="s">
        <v>79</v>
      </c>
      <c r="C611" t="s">
        <v>163</v>
      </c>
    </row>
    <row r="612" spans="1:3" x14ac:dyDescent="0.3">
      <c r="A612" t="s">
        <v>2800</v>
      </c>
      <c r="B612" t="s">
        <v>79</v>
      </c>
      <c r="C612" t="s">
        <v>3915</v>
      </c>
    </row>
    <row r="613" spans="1:3" x14ac:dyDescent="0.3">
      <c r="A613" t="s">
        <v>2800</v>
      </c>
      <c r="B613" t="s">
        <v>853</v>
      </c>
      <c r="C613" t="s">
        <v>854</v>
      </c>
    </row>
    <row r="614" spans="1:3" x14ac:dyDescent="0.3">
      <c r="A614" t="s">
        <v>1304</v>
      </c>
      <c r="B614" t="s">
        <v>96</v>
      </c>
      <c r="C614" t="s">
        <v>175</v>
      </c>
    </row>
    <row r="615" spans="1:3" x14ac:dyDescent="0.3">
      <c r="A615" t="s">
        <v>1304</v>
      </c>
      <c r="B615" t="s">
        <v>96</v>
      </c>
      <c r="C615" t="s">
        <v>1422</v>
      </c>
    </row>
    <row r="616" spans="1:3" x14ac:dyDescent="0.3">
      <c r="A616" t="s">
        <v>1304</v>
      </c>
      <c r="B616" t="s">
        <v>96</v>
      </c>
      <c r="C616" t="s">
        <v>2054</v>
      </c>
    </row>
    <row r="617" spans="1:3" x14ac:dyDescent="0.3">
      <c r="A617" t="s">
        <v>1304</v>
      </c>
      <c r="B617" t="s">
        <v>96</v>
      </c>
      <c r="C617" t="s">
        <v>1029</v>
      </c>
    </row>
    <row r="618" spans="1:3" x14ac:dyDescent="0.3">
      <c r="A618" t="s">
        <v>1304</v>
      </c>
      <c r="B618" t="s">
        <v>96</v>
      </c>
      <c r="C618" t="s">
        <v>3911</v>
      </c>
    </row>
    <row r="619" spans="1:3" x14ac:dyDescent="0.3">
      <c r="A619" t="s">
        <v>1304</v>
      </c>
      <c r="B619" t="s">
        <v>96</v>
      </c>
      <c r="C619" t="s">
        <v>97</v>
      </c>
    </row>
    <row r="620" spans="1:3" x14ac:dyDescent="0.3">
      <c r="A620" t="s">
        <v>1304</v>
      </c>
      <c r="B620" t="s">
        <v>96</v>
      </c>
      <c r="C620" t="s">
        <v>320</v>
      </c>
    </row>
    <row r="621" spans="1:3" x14ac:dyDescent="0.3">
      <c r="A621" t="s">
        <v>1304</v>
      </c>
      <c r="B621" t="s">
        <v>96</v>
      </c>
      <c r="C621" t="s">
        <v>169</v>
      </c>
    </row>
    <row r="622" spans="1:3" x14ac:dyDescent="0.3">
      <c r="A622" t="s">
        <v>1304</v>
      </c>
      <c r="B622" t="s">
        <v>96</v>
      </c>
      <c r="C622" t="s">
        <v>294</v>
      </c>
    </row>
    <row r="623" spans="1:3" x14ac:dyDescent="0.3">
      <c r="A623" t="s">
        <v>1304</v>
      </c>
      <c r="B623" t="s">
        <v>96</v>
      </c>
      <c r="C623" t="s">
        <v>288</v>
      </c>
    </row>
    <row r="624" spans="1:3" x14ac:dyDescent="0.3">
      <c r="A624" t="s">
        <v>1304</v>
      </c>
      <c r="B624" t="s">
        <v>96</v>
      </c>
      <c r="C624" t="s">
        <v>1308</v>
      </c>
    </row>
    <row r="625" spans="1:3" x14ac:dyDescent="0.3">
      <c r="A625" t="s">
        <v>1304</v>
      </c>
      <c r="B625" t="s">
        <v>96</v>
      </c>
      <c r="C625" t="s">
        <v>201</v>
      </c>
    </row>
    <row r="626" spans="1:3" x14ac:dyDescent="0.3">
      <c r="A626" t="s">
        <v>1304</v>
      </c>
      <c r="B626" t="s">
        <v>96</v>
      </c>
      <c r="C626" t="s">
        <v>107</v>
      </c>
    </row>
    <row r="627" spans="1:3" x14ac:dyDescent="0.3">
      <c r="A627" t="s">
        <v>1304</v>
      </c>
      <c r="B627" t="s">
        <v>96</v>
      </c>
      <c r="C627" t="s">
        <v>1869</v>
      </c>
    </row>
    <row r="628" spans="1:3" x14ac:dyDescent="0.3">
      <c r="A628" t="s">
        <v>1304</v>
      </c>
      <c r="B628" t="s">
        <v>96</v>
      </c>
      <c r="C628" t="s">
        <v>3298</v>
      </c>
    </row>
    <row r="629" spans="1:3" x14ac:dyDescent="0.3">
      <c r="A629" t="s">
        <v>1304</v>
      </c>
      <c r="B629" t="s">
        <v>96</v>
      </c>
      <c r="C629" t="s">
        <v>657</v>
      </c>
    </row>
    <row r="630" spans="1:3" x14ac:dyDescent="0.3">
      <c r="A630" t="s">
        <v>1304</v>
      </c>
      <c r="B630" t="s">
        <v>96</v>
      </c>
      <c r="C630" t="s">
        <v>507</v>
      </c>
    </row>
    <row r="631" spans="1:3" x14ac:dyDescent="0.3">
      <c r="A631" t="s">
        <v>1304</v>
      </c>
      <c r="B631" t="s">
        <v>96</v>
      </c>
      <c r="C631" t="s">
        <v>681</v>
      </c>
    </row>
    <row r="632" spans="1:3" x14ac:dyDescent="0.3">
      <c r="A632" t="s">
        <v>1304</v>
      </c>
      <c r="B632" t="s">
        <v>96</v>
      </c>
      <c r="C632" t="s">
        <v>3912</v>
      </c>
    </row>
    <row r="633" spans="1:3" x14ac:dyDescent="0.3">
      <c r="A633" t="s">
        <v>1304</v>
      </c>
      <c r="B633" t="s">
        <v>96</v>
      </c>
      <c r="C633" t="s">
        <v>3913</v>
      </c>
    </row>
    <row r="634" spans="1:3" x14ac:dyDescent="0.3">
      <c r="A634" t="s">
        <v>1304</v>
      </c>
      <c r="B634" t="s">
        <v>96</v>
      </c>
      <c r="C634" t="s">
        <v>989</v>
      </c>
    </row>
    <row r="635" spans="1:3" x14ac:dyDescent="0.3">
      <c r="A635" t="s">
        <v>1304</v>
      </c>
      <c r="B635" t="s">
        <v>96</v>
      </c>
      <c r="C635" t="s">
        <v>976</v>
      </c>
    </row>
    <row r="636" spans="1:3" x14ac:dyDescent="0.3">
      <c r="A636" t="s">
        <v>1304</v>
      </c>
      <c r="B636" t="s">
        <v>96</v>
      </c>
      <c r="C636" t="s">
        <v>983</v>
      </c>
    </row>
    <row r="637" spans="1:3" x14ac:dyDescent="0.3">
      <c r="A637" t="s">
        <v>1304</v>
      </c>
      <c r="B637" t="s">
        <v>79</v>
      </c>
      <c r="C637" t="s">
        <v>182</v>
      </c>
    </row>
    <row r="638" spans="1:3" x14ac:dyDescent="0.3">
      <c r="A638" t="s">
        <v>1304</v>
      </c>
      <c r="B638" t="s">
        <v>79</v>
      </c>
      <c r="C638" t="s">
        <v>81</v>
      </c>
    </row>
    <row r="639" spans="1:3" x14ac:dyDescent="0.3">
      <c r="A639" t="s">
        <v>1304</v>
      </c>
      <c r="B639" t="s">
        <v>79</v>
      </c>
      <c r="C639" t="s">
        <v>241</v>
      </c>
    </row>
    <row r="640" spans="1:3" x14ac:dyDescent="0.3">
      <c r="A640" t="s">
        <v>1304</v>
      </c>
      <c r="B640" t="s">
        <v>79</v>
      </c>
      <c r="C640" t="s">
        <v>1169</v>
      </c>
    </row>
    <row r="641" spans="1:3" x14ac:dyDescent="0.3">
      <c r="A641" t="s">
        <v>1304</v>
      </c>
      <c r="B641" t="s">
        <v>79</v>
      </c>
      <c r="C641" t="s">
        <v>163</v>
      </c>
    </row>
    <row r="642" spans="1:3" x14ac:dyDescent="0.3">
      <c r="A642" t="s">
        <v>3536</v>
      </c>
      <c r="B642" t="s">
        <v>96</v>
      </c>
      <c r="C642" t="s">
        <v>175</v>
      </c>
    </row>
    <row r="643" spans="1:3" x14ac:dyDescent="0.3">
      <c r="A643" t="s">
        <v>3536</v>
      </c>
      <c r="B643" t="s">
        <v>96</v>
      </c>
      <c r="C643" t="s">
        <v>1422</v>
      </c>
    </row>
    <row r="644" spans="1:3" x14ac:dyDescent="0.3">
      <c r="A644" t="s">
        <v>3536</v>
      </c>
      <c r="B644" t="s">
        <v>96</v>
      </c>
      <c r="C644" t="s">
        <v>2054</v>
      </c>
    </row>
    <row r="645" spans="1:3" x14ac:dyDescent="0.3">
      <c r="A645" t="s">
        <v>3536</v>
      </c>
      <c r="B645" t="s">
        <v>96</v>
      </c>
      <c r="C645" t="s">
        <v>1029</v>
      </c>
    </row>
    <row r="646" spans="1:3" x14ac:dyDescent="0.3">
      <c r="A646" t="s">
        <v>3536</v>
      </c>
      <c r="B646" t="s">
        <v>96</v>
      </c>
      <c r="C646" t="s">
        <v>3911</v>
      </c>
    </row>
    <row r="647" spans="1:3" x14ac:dyDescent="0.3">
      <c r="A647" t="s">
        <v>3536</v>
      </c>
      <c r="B647" t="s">
        <v>96</v>
      </c>
      <c r="C647" t="s">
        <v>97</v>
      </c>
    </row>
    <row r="648" spans="1:3" x14ac:dyDescent="0.3">
      <c r="A648" t="s">
        <v>3536</v>
      </c>
      <c r="B648" t="s">
        <v>96</v>
      </c>
      <c r="C648" t="s">
        <v>320</v>
      </c>
    </row>
    <row r="649" spans="1:3" x14ac:dyDescent="0.3">
      <c r="A649" t="s">
        <v>3536</v>
      </c>
      <c r="B649" t="s">
        <v>96</v>
      </c>
      <c r="C649" t="s">
        <v>169</v>
      </c>
    </row>
    <row r="650" spans="1:3" x14ac:dyDescent="0.3">
      <c r="A650" t="s">
        <v>3536</v>
      </c>
      <c r="B650" t="s">
        <v>96</v>
      </c>
      <c r="C650" t="s">
        <v>294</v>
      </c>
    </row>
    <row r="651" spans="1:3" x14ac:dyDescent="0.3">
      <c r="A651" t="s">
        <v>3536</v>
      </c>
      <c r="B651" t="s">
        <v>96</v>
      </c>
      <c r="C651" t="s">
        <v>288</v>
      </c>
    </row>
    <row r="652" spans="1:3" x14ac:dyDescent="0.3">
      <c r="A652" t="s">
        <v>3536</v>
      </c>
      <c r="B652" t="s">
        <v>96</v>
      </c>
      <c r="C652" t="s">
        <v>1308</v>
      </c>
    </row>
    <row r="653" spans="1:3" x14ac:dyDescent="0.3">
      <c r="A653" t="s">
        <v>3536</v>
      </c>
      <c r="B653" t="s">
        <v>96</v>
      </c>
      <c r="C653" t="s">
        <v>201</v>
      </c>
    </row>
    <row r="654" spans="1:3" x14ac:dyDescent="0.3">
      <c r="A654" t="s">
        <v>3536</v>
      </c>
      <c r="B654" t="s">
        <v>96</v>
      </c>
      <c r="C654" t="s">
        <v>107</v>
      </c>
    </row>
    <row r="655" spans="1:3" x14ac:dyDescent="0.3">
      <c r="A655" t="s">
        <v>3536</v>
      </c>
      <c r="B655" t="s">
        <v>96</v>
      </c>
      <c r="C655" t="s">
        <v>1869</v>
      </c>
    </row>
    <row r="656" spans="1:3" x14ac:dyDescent="0.3">
      <c r="A656" t="s">
        <v>3536</v>
      </c>
      <c r="B656" t="s">
        <v>96</v>
      </c>
      <c r="C656" t="s">
        <v>3298</v>
      </c>
    </row>
    <row r="657" spans="1:3" x14ac:dyDescent="0.3">
      <c r="A657" t="s">
        <v>3536</v>
      </c>
      <c r="B657" t="s">
        <v>96</v>
      </c>
      <c r="C657" t="s">
        <v>657</v>
      </c>
    </row>
    <row r="658" spans="1:3" x14ac:dyDescent="0.3">
      <c r="A658" t="s">
        <v>3536</v>
      </c>
      <c r="B658" t="s">
        <v>96</v>
      </c>
      <c r="C658" t="s">
        <v>507</v>
      </c>
    </row>
    <row r="659" spans="1:3" x14ac:dyDescent="0.3">
      <c r="A659" t="s">
        <v>3536</v>
      </c>
      <c r="B659" t="s">
        <v>96</v>
      </c>
      <c r="C659" t="s">
        <v>1698</v>
      </c>
    </row>
    <row r="660" spans="1:3" x14ac:dyDescent="0.3">
      <c r="A660" t="s">
        <v>3536</v>
      </c>
      <c r="B660" t="s">
        <v>96</v>
      </c>
      <c r="C660" t="s">
        <v>681</v>
      </c>
    </row>
    <row r="661" spans="1:3" x14ac:dyDescent="0.3">
      <c r="A661" t="s">
        <v>3536</v>
      </c>
      <c r="B661" t="s">
        <v>96</v>
      </c>
      <c r="C661" t="s">
        <v>1827</v>
      </c>
    </row>
    <row r="662" spans="1:3" x14ac:dyDescent="0.3">
      <c r="A662" t="s">
        <v>3536</v>
      </c>
      <c r="B662" t="s">
        <v>96</v>
      </c>
      <c r="C662" t="s">
        <v>3912</v>
      </c>
    </row>
    <row r="663" spans="1:3" x14ac:dyDescent="0.3">
      <c r="A663" t="s">
        <v>3536</v>
      </c>
      <c r="B663" t="s">
        <v>96</v>
      </c>
      <c r="C663" t="s">
        <v>3913</v>
      </c>
    </row>
    <row r="664" spans="1:3" x14ac:dyDescent="0.3">
      <c r="A664" t="s">
        <v>3536</v>
      </c>
      <c r="B664" t="s">
        <v>96</v>
      </c>
      <c r="C664" t="s">
        <v>1927</v>
      </c>
    </row>
    <row r="665" spans="1:3" x14ac:dyDescent="0.3">
      <c r="A665" t="s">
        <v>3536</v>
      </c>
      <c r="B665" t="s">
        <v>96</v>
      </c>
      <c r="C665" t="s">
        <v>989</v>
      </c>
    </row>
    <row r="666" spans="1:3" x14ac:dyDescent="0.3">
      <c r="A666" t="s">
        <v>3536</v>
      </c>
      <c r="B666" t="s">
        <v>96</v>
      </c>
      <c r="C666" t="s">
        <v>976</v>
      </c>
    </row>
    <row r="667" spans="1:3" x14ac:dyDescent="0.3">
      <c r="A667" t="s">
        <v>3536</v>
      </c>
      <c r="B667" t="s">
        <v>96</v>
      </c>
      <c r="C667" t="s">
        <v>983</v>
      </c>
    </row>
    <row r="668" spans="1:3" x14ac:dyDescent="0.3">
      <c r="A668" t="s">
        <v>3536</v>
      </c>
      <c r="B668" t="s">
        <v>79</v>
      </c>
      <c r="C668" t="s">
        <v>3914</v>
      </c>
    </row>
    <row r="669" spans="1:3" x14ac:dyDescent="0.3">
      <c r="A669" t="s">
        <v>3536</v>
      </c>
      <c r="B669" t="s">
        <v>79</v>
      </c>
      <c r="C669" t="s">
        <v>2261</v>
      </c>
    </row>
    <row r="670" spans="1:3" x14ac:dyDescent="0.3">
      <c r="A670" t="s">
        <v>3536</v>
      </c>
      <c r="B670" t="s">
        <v>79</v>
      </c>
      <c r="C670" t="s">
        <v>182</v>
      </c>
    </row>
    <row r="671" spans="1:3" x14ac:dyDescent="0.3">
      <c r="A671" t="s">
        <v>3536</v>
      </c>
      <c r="B671" t="s">
        <v>79</v>
      </c>
      <c r="C671" t="s">
        <v>81</v>
      </c>
    </row>
    <row r="672" spans="1:3" x14ac:dyDescent="0.3">
      <c r="A672" t="s">
        <v>3536</v>
      </c>
      <c r="B672" t="s">
        <v>79</v>
      </c>
      <c r="C672" t="s">
        <v>241</v>
      </c>
    </row>
    <row r="673" spans="1:3" x14ac:dyDescent="0.3">
      <c r="A673" t="s">
        <v>3536</v>
      </c>
      <c r="B673" t="s">
        <v>79</v>
      </c>
      <c r="C673" t="s">
        <v>1169</v>
      </c>
    </row>
    <row r="674" spans="1:3" x14ac:dyDescent="0.3">
      <c r="A674" t="s">
        <v>3536</v>
      </c>
      <c r="B674" t="s">
        <v>79</v>
      </c>
      <c r="C674" t="s">
        <v>533</v>
      </c>
    </row>
    <row r="675" spans="1:3" x14ac:dyDescent="0.3">
      <c r="A675" t="s">
        <v>3536</v>
      </c>
      <c r="B675" t="s">
        <v>79</v>
      </c>
      <c r="C675" t="s">
        <v>163</v>
      </c>
    </row>
    <row r="676" spans="1:3" x14ac:dyDescent="0.3">
      <c r="A676" t="s">
        <v>3536</v>
      </c>
      <c r="B676" t="s">
        <v>79</v>
      </c>
      <c r="C676" t="s">
        <v>3915</v>
      </c>
    </row>
    <row r="677" spans="1:3" x14ac:dyDescent="0.3">
      <c r="A677" t="s">
        <v>3536</v>
      </c>
      <c r="B677" t="s">
        <v>853</v>
      </c>
      <c r="C677" t="s">
        <v>854</v>
      </c>
    </row>
    <row r="678" spans="1:3" x14ac:dyDescent="0.3">
      <c r="A678" t="s">
        <v>1875</v>
      </c>
      <c r="B678" t="s">
        <v>79</v>
      </c>
      <c r="C678" t="s">
        <v>3914</v>
      </c>
    </row>
    <row r="679" spans="1:3" x14ac:dyDescent="0.3">
      <c r="A679" t="s">
        <v>1875</v>
      </c>
      <c r="B679" t="s">
        <v>79</v>
      </c>
      <c r="C679" t="s">
        <v>241</v>
      </c>
    </row>
    <row r="680" spans="1:3" x14ac:dyDescent="0.3">
      <c r="A680" t="s">
        <v>1875</v>
      </c>
      <c r="B680" t="s">
        <v>79</v>
      </c>
      <c r="C680" s="12" t="s">
        <v>163</v>
      </c>
    </row>
    <row r="681" spans="1:3" x14ac:dyDescent="0.3">
      <c r="A681" t="s">
        <v>28</v>
      </c>
      <c r="B681" s="2" t="s">
        <v>96</v>
      </c>
      <c r="C681" s="2" t="s">
        <v>294</v>
      </c>
    </row>
    <row r="682" spans="1:3" x14ac:dyDescent="0.3">
      <c r="A682" t="s">
        <v>28</v>
      </c>
      <c r="B682" s="2" t="s">
        <v>96</v>
      </c>
      <c r="C682" s="2" t="s">
        <v>3298</v>
      </c>
    </row>
    <row r="683" spans="1:3" x14ac:dyDescent="0.3">
      <c r="A683" t="s">
        <v>28</v>
      </c>
      <c r="B683" s="2" t="s">
        <v>79</v>
      </c>
      <c r="C683" s="2" t="s">
        <v>182</v>
      </c>
    </row>
    <row r="684" spans="1:3" x14ac:dyDescent="0.3">
      <c r="A684" t="s">
        <v>28</v>
      </c>
      <c r="B684" s="2" t="s">
        <v>79</v>
      </c>
      <c r="C684" s="2" t="s">
        <v>81</v>
      </c>
    </row>
    <row r="685" spans="1:3" x14ac:dyDescent="0.3">
      <c r="A685" t="s">
        <v>1693</v>
      </c>
      <c r="B685" t="s">
        <v>96</v>
      </c>
      <c r="C685" t="s">
        <v>175</v>
      </c>
    </row>
    <row r="686" spans="1:3" x14ac:dyDescent="0.3">
      <c r="A686" t="s">
        <v>1693</v>
      </c>
      <c r="B686" t="s">
        <v>96</v>
      </c>
      <c r="C686" t="s">
        <v>1422</v>
      </c>
    </row>
    <row r="687" spans="1:3" x14ac:dyDescent="0.3">
      <c r="A687" t="s">
        <v>1693</v>
      </c>
      <c r="B687" t="s">
        <v>96</v>
      </c>
      <c r="C687" t="s">
        <v>2054</v>
      </c>
    </row>
    <row r="688" spans="1:3" x14ac:dyDescent="0.3">
      <c r="A688" t="s">
        <v>1693</v>
      </c>
      <c r="B688" t="s">
        <v>96</v>
      </c>
      <c r="C688" t="s">
        <v>1029</v>
      </c>
    </row>
    <row r="689" spans="1:3" x14ac:dyDescent="0.3">
      <c r="A689" t="s">
        <v>1693</v>
      </c>
      <c r="B689" t="s">
        <v>96</v>
      </c>
      <c r="C689" t="s">
        <v>3911</v>
      </c>
    </row>
    <row r="690" spans="1:3" x14ac:dyDescent="0.3">
      <c r="A690" t="s">
        <v>1693</v>
      </c>
      <c r="B690" t="s">
        <v>96</v>
      </c>
      <c r="C690" t="s">
        <v>97</v>
      </c>
    </row>
    <row r="691" spans="1:3" x14ac:dyDescent="0.3">
      <c r="A691" t="s">
        <v>1693</v>
      </c>
      <c r="B691" t="s">
        <v>96</v>
      </c>
      <c r="C691" t="s">
        <v>320</v>
      </c>
    </row>
    <row r="692" spans="1:3" x14ac:dyDescent="0.3">
      <c r="A692" t="s">
        <v>1693</v>
      </c>
      <c r="B692" t="s">
        <v>96</v>
      </c>
      <c r="C692" t="s">
        <v>169</v>
      </c>
    </row>
    <row r="693" spans="1:3" x14ac:dyDescent="0.3">
      <c r="A693" t="s">
        <v>1693</v>
      </c>
      <c r="B693" t="s">
        <v>96</v>
      </c>
      <c r="C693" t="s">
        <v>294</v>
      </c>
    </row>
    <row r="694" spans="1:3" x14ac:dyDescent="0.3">
      <c r="A694" t="s">
        <v>1693</v>
      </c>
      <c r="B694" t="s">
        <v>96</v>
      </c>
      <c r="C694" t="s">
        <v>288</v>
      </c>
    </row>
    <row r="695" spans="1:3" x14ac:dyDescent="0.3">
      <c r="A695" t="s">
        <v>1693</v>
      </c>
      <c r="B695" t="s">
        <v>96</v>
      </c>
      <c r="C695" t="s">
        <v>1308</v>
      </c>
    </row>
    <row r="696" spans="1:3" x14ac:dyDescent="0.3">
      <c r="A696" t="s">
        <v>1693</v>
      </c>
      <c r="B696" t="s">
        <v>96</v>
      </c>
      <c r="C696" t="s">
        <v>201</v>
      </c>
    </row>
    <row r="697" spans="1:3" x14ac:dyDescent="0.3">
      <c r="A697" t="s">
        <v>1693</v>
      </c>
      <c r="B697" t="s">
        <v>96</v>
      </c>
      <c r="C697" t="s">
        <v>107</v>
      </c>
    </row>
    <row r="698" spans="1:3" x14ac:dyDescent="0.3">
      <c r="A698" t="s">
        <v>1693</v>
      </c>
      <c r="B698" t="s">
        <v>96</v>
      </c>
      <c r="C698" t="s">
        <v>1869</v>
      </c>
    </row>
    <row r="699" spans="1:3" x14ac:dyDescent="0.3">
      <c r="A699" t="s">
        <v>1693</v>
      </c>
      <c r="B699" t="s">
        <v>96</v>
      </c>
      <c r="C699" t="s">
        <v>3298</v>
      </c>
    </row>
    <row r="700" spans="1:3" x14ac:dyDescent="0.3">
      <c r="A700" t="s">
        <v>1693</v>
      </c>
      <c r="B700" t="s">
        <v>96</v>
      </c>
      <c r="C700" t="s">
        <v>657</v>
      </c>
    </row>
    <row r="701" spans="1:3" x14ac:dyDescent="0.3">
      <c r="A701" t="s">
        <v>1693</v>
      </c>
      <c r="B701" t="s">
        <v>96</v>
      </c>
      <c r="C701" t="s">
        <v>507</v>
      </c>
    </row>
    <row r="702" spans="1:3" x14ac:dyDescent="0.3">
      <c r="A702" t="s">
        <v>1693</v>
      </c>
      <c r="B702" t="s">
        <v>96</v>
      </c>
      <c r="C702" t="s">
        <v>681</v>
      </c>
    </row>
    <row r="703" spans="1:3" x14ac:dyDescent="0.3">
      <c r="A703" t="s">
        <v>1693</v>
      </c>
      <c r="B703" t="s">
        <v>96</v>
      </c>
      <c r="C703" t="s">
        <v>1827</v>
      </c>
    </row>
    <row r="704" spans="1:3" x14ac:dyDescent="0.3">
      <c r="A704" t="s">
        <v>1693</v>
      </c>
      <c r="B704" t="s">
        <v>96</v>
      </c>
      <c r="C704" t="s">
        <v>3912</v>
      </c>
    </row>
    <row r="705" spans="1:3" x14ac:dyDescent="0.3">
      <c r="A705" t="s">
        <v>1693</v>
      </c>
      <c r="B705" t="s">
        <v>96</v>
      </c>
      <c r="C705" t="s">
        <v>3913</v>
      </c>
    </row>
    <row r="706" spans="1:3" x14ac:dyDescent="0.3">
      <c r="A706" t="s">
        <v>1693</v>
      </c>
      <c r="B706" t="s">
        <v>96</v>
      </c>
      <c r="C706" t="s">
        <v>989</v>
      </c>
    </row>
    <row r="707" spans="1:3" x14ac:dyDescent="0.3">
      <c r="A707" t="s">
        <v>1693</v>
      </c>
      <c r="B707" t="s">
        <v>96</v>
      </c>
      <c r="C707" t="s">
        <v>976</v>
      </c>
    </row>
    <row r="708" spans="1:3" x14ac:dyDescent="0.3">
      <c r="A708" t="s">
        <v>1693</v>
      </c>
      <c r="B708" t="s">
        <v>96</v>
      </c>
      <c r="C708" t="s">
        <v>983</v>
      </c>
    </row>
    <row r="709" spans="1:3" x14ac:dyDescent="0.3">
      <c r="A709" t="s">
        <v>1693</v>
      </c>
      <c r="B709" t="s">
        <v>79</v>
      </c>
      <c r="C709" t="s">
        <v>182</v>
      </c>
    </row>
    <row r="710" spans="1:3" x14ac:dyDescent="0.3">
      <c r="A710" t="s">
        <v>1693</v>
      </c>
      <c r="B710" t="s">
        <v>79</v>
      </c>
      <c r="C710" t="s">
        <v>81</v>
      </c>
    </row>
    <row r="711" spans="1:3" x14ac:dyDescent="0.3">
      <c r="A711" t="s">
        <v>1693</v>
      </c>
      <c r="B711" t="s">
        <v>79</v>
      </c>
      <c r="C711" t="s">
        <v>241</v>
      </c>
    </row>
    <row r="712" spans="1:3" x14ac:dyDescent="0.3">
      <c r="A712" t="s">
        <v>1693</v>
      </c>
      <c r="B712" t="s">
        <v>79</v>
      </c>
      <c r="C712" t="s">
        <v>1169</v>
      </c>
    </row>
    <row r="713" spans="1:3" x14ac:dyDescent="0.3">
      <c r="A713" t="s">
        <v>1693</v>
      </c>
      <c r="B713" t="s">
        <v>79</v>
      </c>
      <c r="C713" t="s">
        <v>163</v>
      </c>
    </row>
    <row r="714" spans="1:3" x14ac:dyDescent="0.3">
      <c r="A714" t="s">
        <v>603</v>
      </c>
      <c r="B714" t="s">
        <v>79</v>
      </c>
      <c r="C714" t="s">
        <v>182</v>
      </c>
    </row>
    <row r="715" spans="1:3" x14ac:dyDescent="0.3">
      <c r="A715" t="s">
        <v>603</v>
      </c>
      <c r="B715" t="s">
        <v>79</v>
      </c>
      <c r="C715" t="s">
        <v>81</v>
      </c>
    </row>
    <row r="716" spans="1:3" x14ac:dyDescent="0.3">
      <c r="A716" t="s">
        <v>3573</v>
      </c>
      <c r="B716" t="s">
        <v>96</v>
      </c>
      <c r="C716" t="s">
        <v>175</v>
      </c>
    </row>
    <row r="717" spans="1:3" x14ac:dyDescent="0.3">
      <c r="A717" t="s">
        <v>3573</v>
      </c>
      <c r="B717" t="s">
        <v>96</v>
      </c>
      <c r="C717" t="s">
        <v>1422</v>
      </c>
    </row>
    <row r="718" spans="1:3" x14ac:dyDescent="0.3">
      <c r="A718" t="s">
        <v>3573</v>
      </c>
      <c r="B718" t="s">
        <v>96</v>
      </c>
      <c r="C718" t="s">
        <v>2054</v>
      </c>
    </row>
    <row r="719" spans="1:3" x14ac:dyDescent="0.3">
      <c r="A719" t="s">
        <v>3573</v>
      </c>
      <c r="B719" t="s">
        <v>96</v>
      </c>
      <c r="C719" t="s">
        <v>1029</v>
      </c>
    </row>
    <row r="720" spans="1:3" x14ac:dyDescent="0.3">
      <c r="A720" t="s">
        <v>3573</v>
      </c>
      <c r="B720" t="s">
        <v>96</v>
      </c>
      <c r="C720" t="s">
        <v>3911</v>
      </c>
    </row>
    <row r="721" spans="1:3" x14ac:dyDescent="0.3">
      <c r="A721" t="s">
        <v>3573</v>
      </c>
      <c r="B721" t="s">
        <v>96</v>
      </c>
      <c r="C721" t="s">
        <v>97</v>
      </c>
    </row>
    <row r="722" spans="1:3" x14ac:dyDescent="0.3">
      <c r="A722" t="s">
        <v>3573</v>
      </c>
      <c r="B722" t="s">
        <v>96</v>
      </c>
      <c r="C722" t="s">
        <v>320</v>
      </c>
    </row>
    <row r="723" spans="1:3" x14ac:dyDescent="0.3">
      <c r="A723" t="s">
        <v>3573</v>
      </c>
      <c r="B723" t="s">
        <v>96</v>
      </c>
      <c r="C723" t="s">
        <v>169</v>
      </c>
    </row>
    <row r="724" spans="1:3" x14ac:dyDescent="0.3">
      <c r="A724" t="s">
        <v>3573</v>
      </c>
      <c r="B724" t="s">
        <v>96</v>
      </c>
      <c r="C724" t="s">
        <v>294</v>
      </c>
    </row>
    <row r="725" spans="1:3" x14ac:dyDescent="0.3">
      <c r="A725" t="s">
        <v>3573</v>
      </c>
      <c r="B725" t="s">
        <v>96</v>
      </c>
      <c r="C725" t="s">
        <v>288</v>
      </c>
    </row>
    <row r="726" spans="1:3" x14ac:dyDescent="0.3">
      <c r="A726" t="s">
        <v>3573</v>
      </c>
      <c r="B726" t="s">
        <v>96</v>
      </c>
      <c r="C726" t="s">
        <v>1308</v>
      </c>
    </row>
    <row r="727" spans="1:3" x14ac:dyDescent="0.3">
      <c r="A727" t="s">
        <v>3573</v>
      </c>
      <c r="B727" t="s">
        <v>96</v>
      </c>
      <c r="C727" t="s">
        <v>201</v>
      </c>
    </row>
    <row r="728" spans="1:3" x14ac:dyDescent="0.3">
      <c r="A728" t="s">
        <v>3573</v>
      </c>
      <c r="B728" t="s">
        <v>96</v>
      </c>
      <c r="C728" t="s">
        <v>107</v>
      </c>
    </row>
    <row r="729" spans="1:3" x14ac:dyDescent="0.3">
      <c r="A729" t="s">
        <v>3573</v>
      </c>
      <c r="B729" t="s">
        <v>96</v>
      </c>
      <c r="C729" t="s">
        <v>1869</v>
      </c>
    </row>
    <row r="730" spans="1:3" x14ac:dyDescent="0.3">
      <c r="A730" t="s">
        <v>3573</v>
      </c>
      <c r="B730" t="s">
        <v>96</v>
      </c>
      <c r="C730" t="s">
        <v>3298</v>
      </c>
    </row>
    <row r="731" spans="1:3" x14ac:dyDescent="0.3">
      <c r="A731" t="s">
        <v>3573</v>
      </c>
      <c r="B731" t="s">
        <v>96</v>
      </c>
      <c r="C731" t="s">
        <v>657</v>
      </c>
    </row>
    <row r="732" spans="1:3" x14ac:dyDescent="0.3">
      <c r="A732" t="s">
        <v>3573</v>
      </c>
      <c r="B732" t="s">
        <v>96</v>
      </c>
      <c r="C732" t="s">
        <v>507</v>
      </c>
    </row>
    <row r="733" spans="1:3" x14ac:dyDescent="0.3">
      <c r="A733" t="s">
        <v>3573</v>
      </c>
      <c r="B733" t="s">
        <v>96</v>
      </c>
      <c r="C733" t="s">
        <v>1698</v>
      </c>
    </row>
    <row r="734" spans="1:3" x14ac:dyDescent="0.3">
      <c r="A734" t="s">
        <v>3573</v>
      </c>
      <c r="B734" t="s">
        <v>96</v>
      </c>
      <c r="C734" t="s">
        <v>681</v>
      </c>
    </row>
    <row r="735" spans="1:3" x14ac:dyDescent="0.3">
      <c r="A735" t="s">
        <v>3573</v>
      </c>
      <c r="B735" t="s">
        <v>96</v>
      </c>
      <c r="C735" t="s">
        <v>1827</v>
      </c>
    </row>
    <row r="736" spans="1:3" x14ac:dyDescent="0.3">
      <c r="A736" t="s">
        <v>3573</v>
      </c>
      <c r="B736" t="s">
        <v>96</v>
      </c>
      <c r="C736" t="s">
        <v>3912</v>
      </c>
    </row>
    <row r="737" spans="1:3" x14ac:dyDescent="0.3">
      <c r="A737" t="s">
        <v>3573</v>
      </c>
      <c r="B737" t="s">
        <v>96</v>
      </c>
      <c r="C737" t="s">
        <v>3913</v>
      </c>
    </row>
    <row r="738" spans="1:3" x14ac:dyDescent="0.3">
      <c r="A738" t="s">
        <v>3573</v>
      </c>
      <c r="B738" t="s">
        <v>96</v>
      </c>
      <c r="C738" t="s">
        <v>1927</v>
      </c>
    </row>
    <row r="739" spans="1:3" x14ac:dyDescent="0.3">
      <c r="A739" t="s">
        <v>3573</v>
      </c>
      <c r="B739" t="s">
        <v>96</v>
      </c>
      <c r="C739" t="s">
        <v>989</v>
      </c>
    </row>
    <row r="740" spans="1:3" x14ac:dyDescent="0.3">
      <c r="A740" t="s">
        <v>3573</v>
      </c>
      <c r="B740" t="s">
        <v>96</v>
      </c>
      <c r="C740" t="s">
        <v>976</v>
      </c>
    </row>
    <row r="741" spans="1:3" x14ac:dyDescent="0.3">
      <c r="A741" t="s">
        <v>3573</v>
      </c>
      <c r="B741" t="s">
        <v>96</v>
      </c>
      <c r="C741" t="s">
        <v>983</v>
      </c>
    </row>
    <row r="742" spans="1:3" x14ac:dyDescent="0.3">
      <c r="A742" t="s">
        <v>3573</v>
      </c>
      <c r="B742" t="s">
        <v>79</v>
      </c>
      <c r="C742" t="s">
        <v>3914</v>
      </c>
    </row>
    <row r="743" spans="1:3" x14ac:dyDescent="0.3">
      <c r="A743" t="s">
        <v>3573</v>
      </c>
      <c r="B743" t="s">
        <v>79</v>
      </c>
      <c r="C743" t="s">
        <v>2261</v>
      </c>
    </row>
    <row r="744" spans="1:3" x14ac:dyDescent="0.3">
      <c r="A744" t="s">
        <v>3573</v>
      </c>
      <c r="B744" t="s">
        <v>79</v>
      </c>
      <c r="C744" t="s">
        <v>182</v>
      </c>
    </row>
    <row r="745" spans="1:3" x14ac:dyDescent="0.3">
      <c r="A745" t="s">
        <v>3573</v>
      </c>
      <c r="B745" t="s">
        <v>79</v>
      </c>
      <c r="C745" t="s">
        <v>81</v>
      </c>
    </row>
    <row r="746" spans="1:3" x14ac:dyDescent="0.3">
      <c r="A746" t="s">
        <v>3573</v>
      </c>
      <c r="B746" t="s">
        <v>79</v>
      </c>
      <c r="C746" t="s">
        <v>241</v>
      </c>
    </row>
    <row r="747" spans="1:3" x14ac:dyDescent="0.3">
      <c r="A747" t="s">
        <v>3573</v>
      </c>
      <c r="B747" t="s">
        <v>79</v>
      </c>
      <c r="C747" t="s">
        <v>1169</v>
      </c>
    </row>
    <row r="748" spans="1:3" x14ac:dyDescent="0.3">
      <c r="A748" t="s">
        <v>3573</v>
      </c>
      <c r="B748" t="s">
        <v>79</v>
      </c>
      <c r="C748" t="s">
        <v>533</v>
      </c>
    </row>
    <row r="749" spans="1:3" x14ac:dyDescent="0.3">
      <c r="A749" t="s">
        <v>3573</v>
      </c>
      <c r="B749" t="s">
        <v>79</v>
      </c>
      <c r="C749" t="s">
        <v>163</v>
      </c>
    </row>
    <row r="750" spans="1:3" x14ac:dyDescent="0.3">
      <c r="A750" t="s">
        <v>3573</v>
      </c>
      <c r="B750" t="s">
        <v>79</v>
      </c>
      <c r="C750" t="s">
        <v>3915</v>
      </c>
    </row>
    <row r="751" spans="1:3" x14ac:dyDescent="0.3">
      <c r="A751" t="s">
        <v>3573</v>
      </c>
      <c r="B751" t="s">
        <v>853</v>
      </c>
      <c r="C751" t="s">
        <v>854</v>
      </c>
    </row>
    <row r="752" spans="1:3" x14ac:dyDescent="0.3">
      <c r="A752" t="s">
        <v>2406</v>
      </c>
      <c r="B752" t="s">
        <v>96</v>
      </c>
      <c r="C752" t="s">
        <v>175</v>
      </c>
    </row>
    <row r="753" spans="1:3" x14ac:dyDescent="0.3">
      <c r="A753" t="s">
        <v>2406</v>
      </c>
      <c r="B753" t="s">
        <v>96</v>
      </c>
      <c r="C753" t="s">
        <v>1422</v>
      </c>
    </row>
    <row r="754" spans="1:3" x14ac:dyDescent="0.3">
      <c r="A754" t="s">
        <v>2406</v>
      </c>
      <c r="B754" t="s">
        <v>96</v>
      </c>
      <c r="C754" t="s">
        <v>2054</v>
      </c>
    </row>
    <row r="755" spans="1:3" x14ac:dyDescent="0.3">
      <c r="A755" t="s">
        <v>2406</v>
      </c>
      <c r="B755" t="s">
        <v>96</v>
      </c>
      <c r="C755" t="s">
        <v>1029</v>
      </c>
    </row>
    <row r="756" spans="1:3" x14ac:dyDescent="0.3">
      <c r="A756" t="s">
        <v>2406</v>
      </c>
      <c r="B756" t="s">
        <v>96</v>
      </c>
      <c r="C756" t="s">
        <v>3911</v>
      </c>
    </row>
    <row r="757" spans="1:3" x14ac:dyDescent="0.3">
      <c r="A757" t="s">
        <v>2406</v>
      </c>
      <c r="B757" t="s">
        <v>96</v>
      </c>
      <c r="C757" t="s">
        <v>97</v>
      </c>
    </row>
    <row r="758" spans="1:3" x14ac:dyDescent="0.3">
      <c r="A758" t="s">
        <v>2406</v>
      </c>
      <c r="B758" t="s">
        <v>96</v>
      </c>
      <c r="C758" t="s">
        <v>320</v>
      </c>
    </row>
    <row r="759" spans="1:3" x14ac:dyDescent="0.3">
      <c r="A759" t="s">
        <v>2406</v>
      </c>
      <c r="B759" t="s">
        <v>96</v>
      </c>
      <c r="C759" t="s">
        <v>169</v>
      </c>
    </row>
    <row r="760" spans="1:3" x14ac:dyDescent="0.3">
      <c r="A760" t="s">
        <v>2406</v>
      </c>
      <c r="B760" t="s">
        <v>96</v>
      </c>
      <c r="C760" t="s">
        <v>294</v>
      </c>
    </row>
    <row r="761" spans="1:3" x14ac:dyDescent="0.3">
      <c r="A761" t="s">
        <v>2406</v>
      </c>
      <c r="B761" t="s">
        <v>96</v>
      </c>
      <c r="C761" t="s">
        <v>288</v>
      </c>
    </row>
    <row r="762" spans="1:3" x14ac:dyDescent="0.3">
      <c r="A762" t="s">
        <v>2406</v>
      </c>
      <c r="B762" t="s">
        <v>96</v>
      </c>
      <c r="C762" t="s">
        <v>1308</v>
      </c>
    </row>
    <row r="763" spans="1:3" x14ac:dyDescent="0.3">
      <c r="A763" t="s">
        <v>2406</v>
      </c>
      <c r="B763" t="s">
        <v>96</v>
      </c>
      <c r="C763" t="s">
        <v>201</v>
      </c>
    </row>
    <row r="764" spans="1:3" x14ac:dyDescent="0.3">
      <c r="A764" t="s">
        <v>2406</v>
      </c>
      <c r="B764" t="s">
        <v>96</v>
      </c>
      <c r="C764" t="s">
        <v>107</v>
      </c>
    </row>
    <row r="765" spans="1:3" x14ac:dyDescent="0.3">
      <c r="A765" t="s">
        <v>2406</v>
      </c>
      <c r="B765" t="s">
        <v>96</v>
      </c>
      <c r="C765" t="s">
        <v>1869</v>
      </c>
    </row>
    <row r="766" spans="1:3" x14ac:dyDescent="0.3">
      <c r="A766" t="s">
        <v>2406</v>
      </c>
      <c r="B766" t="s">
        <v>96</v>
      </c>
      <c r="C766" t="s">
        <v>3298</v>
      </c>
    </row>
    <row r="767" spans="1:3" x14ac:dyDescent="0.3">
      <c r="A767" t="s">
        <v>2406</v>
      </c>
      <c r="B767" t="s">
        <v>96</v>
      </c>
      <c r="C767" t="s">
        <v>657</v>
      </c>
    </row>
    <row r="768" spans="1:3" x14ac:dyDescent="0.3">
      <c r="A768" t="s">
        <v>2406</v>
      </c>
      <c r="B768" t="s">
        <v>96</v>
      </c>
      <c r="C768" t="s">
        <v>507</v>
      </c>
    </row>
    <row r="769" spans="1:3" x14ac:dyDescent="0.3">
      <c r="A769" t="s">
        <v>2406</v>
      </c>
      <c r="B769" t="s">
        <v>96</v>
      </c>
      <c r="C769" t="s">
        <v>1698</v>
      </c>
    </row>
    <row r="770" spans="1:3" x14ac:dyDescent="0.3">
      <c r="A770" t="s">
        <v>2406</v>
      </c>
      <c r="B770" t="s">
        <v>96</v>
      </c>
      <c r="C770" t="s">
        <v>681</v>
      </c>
    </row>
    <row r="771" spans="1:3" x14ac:dyDescent="0.3">
      <c r="A771" t="s">
        <v>2406</v>
      </c>
      <c r="B771" t="s">
        <v>96</v>
      </c>
      <c r="C771" t="s">
        <v>1827</v>
      </c>
    </row>
    <row r="772" spans="1:3" x14ac:dyDescent="0.3">
      <c r="A772" t="s">
        <v>2406</v>
      </c>
      <c r="B772" t="s">
        <v>96</v>
      </c>
      <c r="C772" t="s">
        <v>3912</v>
      </c>
    </row>
    <row r="773" spans="1:3" x14ac:dyDescent="0.3">
      <c r="A773" t="s">
        <v>2406</v>
      </c>
      <c r="B773" t="s">
        <v>96</v>
      </c>
      <c r="C773" t="s">
        <v>3913</v>
      </c>
    </row>
    <row r="774" spans="1:3" x14ac:dyDescent="0.3">
      <c r="A774" t="s">
        <v>2406</v>
      </c>
      <c r="B774" t="s">
        <v>96</v>
      </c>
      <c r="C774" t="s">
        <v>1927</v>
      </c>
    </row>
    <row r="775" spans="1:3" x14ac:dyDescent="0.3">
      <c r="A775" t="s">
        <v>2406</v>
      </c>
      <c r="B775" t="s">
        <v>96</v>
      </c>
      <c r="C775" t="s">
        <v>989</v>
      </c>
    </row>
    <row r="776" spans="1:3" x14ac:dyDescent="0.3">
      <c r="A776" t="s">
        <v>2406</v>
      </c>
      <c r="B776" t="s">
        <v>96</v>
      </c>
      <c r="C776" t="s">
        <v>976</v>
      </c>
    </row>
    <row r="777" spans="1:3" x14ac:dyDescent="0.3">
      <c r="A777" t="s">
        <v>2406</v>
      </c>
      <c r="B777" t="s">
        <v>96</v>
      </c>
      <c r="C777" t="s">
        <v>983</v>
      </c>
    </row>
    <row r="778" spans="1:3" x14ac:dyDescent="0.3">
      <c r="A778" t="s">
        <v>2406</v>
      </c>
      <c r="B778" t="s">
        <v>79</v>
      </c>
      <c r="C778" t="s">
        <v>3914</v>
      </c>
    </row>
    <row r="779" spans="1:3" x14ac:dyDescent="0.3">
      <c r="A779" t="s">
        <v>2406</v>
      </c>
      <c r="B779" t="s">
        <v>79</v>
      </c>
      <c r="C779" t="s">
        <v>2261</v>
      </c>
    </row>
    <row r="780" spans="1:3" x14ac:dyDescent="0.3">
      <c r="A780" t="s">
        <v>2406</v>
      </c>
      <c r="B780" t="s">
        <v>79</v>
      </c>
      <c r="C780" t="s">
        <v>182</v>
      </c>
    </row>
    <row r="781" spans="1:3" x14ac:dyDescent="0.3">
      <c r="A781" t="s">
        <v>2406</v>
      </c>
      <c r="B781" t="s">
        <v>79</v>
      </c>
      <c r="C781" t="s">
        <v>81</v>
      </c>
    </row>
    <row r="782" spans="1:3" x14ac:dyDescent="0.3">
      <c r="A782" t="s">
        <v>2406</v>
      </c>
      <c r="B782" t="s">
        <v>79</v>
      </c>
      <c r="C782" t="s">
        <v>241</v>
      </c>
    </row>
    <row r="783" spans="1:3" x14ac:dyDescent="0.3">
      <c r="A783" t="s">
        <v>2406</v>
      </c>
      <c r="B783" t="s">
        <v>79</v>
      </c>
      <c r="C783" t="s">
        <v>1169</v>
      </c>
    </row>
    <row r="784" spans="1:3" x14ac:dyDescent="0.3">
      <c r="A784" t="s">
        <v>2406</v>
      </c>
      <c r="B784" t="s">
        <v>79</v>
      </c>
      <c r="C784" t="s">
        <v>533</v>
      </c>
    </row>
    <row r="785" spans="1:3" x14ac:dyDescent="0.3">
      <c r="A785" t="s">
        <v>2406</v>
      </c>
      <c r="B785" t="s">
        <v>79</v>
      </c>
      <c r="C785" t="s">
        <v>163</v>
      </c>
    </row>
    <row r="786" spans="1:3" x14ac:dyDescent="0.3">
      <c r="A786" t="s">
        <v>2406</v>
      </c>
      <c r="B786" t="s">
        <v>79</v>
      </c>
      <c r="C786" t="s">
        <v>3915</v>
      </c>
    </row>
    <row r="787" spans="1:3" x14ac:dyDescent="0.3">
      <c r="A787" t="s">
        <v>2406</v>
      </c>
      <c r="B787" t="s">
        <v>853</v>
      </c>
      <c r="C787" t="s">
        <v>854</v>
      </c>
    </row>
    <row r="788" spans="1:3" x14ac:dyDescent="0.3">
      <c r="A788" t="s">
        <v>1168</v>
      </c>
      <c r="B788" t="s">
        <v>79</v>
      </c>
      <c r="C788" t="s">
        <v>1169</v>
      </c>
    </row>
    <row r="789" spans="1:3" x14ac:dyDescent="0.3">
      <c r="A789" t="s">
        <v>1168</v>
      </c>
      <c r="B789" t="s">
        <v>79</v>
      </c>
      <c r="C789" t="s">
        <v>163</v>
      </c>
    </row>
    <row r="790" spans="1:3" x14ac:dyDescent="0.3">
      <c r="A790" t="s">
        <v>740</v>
      </c>
      <c r="B790" t="s">
        <v>79</v>
      </c>
      <c r="C790" t="s">
        <v>3914</v>
      </c>
    </row>
    <row r="791" spans="1:3" x14ac:dyDescent="0.3">
      <c r="A791" t="s">
        <v>740</v>
      </c>
      <c r="B791" t="s">
        <v>79</v>
      </c>
      <c r="C791" t="s">
        <v>2261</v>
      </c>
    </row>
    <row r="792" spans="1:3" x14ac:dyDescent="0.3">
      <c r="A792" t="s">
        <v>740</v>
      </c>
      <c r="B792" t="s">
        <v>79</v>
      </c>
      <c r="C792" t="s">
        <v>182</v>
      </c>
    </row>
    <row r="793" spans="1:3" x14ac:dyDescent="0.3">
      <c r="A793" t="s">
        <v>740</v>
      </c>
      <c r="B793" t="s">
        <v>79</v>
      </c>
      <c r="C793" t="s">
        <v>81</v>
      </c>
    </row>
    <row r="794" spans="1:3" x14ac:dyDescent="0.3">
      <c r="A794" t="s">
        <v>740</v>
      </c>
      <c r="B794" t="s">
        <v>79</v>
      </c>
      <c r="C794" t="s">
        <v>241</v>
      </c>
    </row>
    <row r="795" spans="1:3" x14ac:dyDescent="0.3">
      <c r="A795" t="s">
        <v>3604</v>
      </c>
      <c r="B795" t="s">
        <v>96</v>
      </c>
      <c r="C795" t="s">
        <v>175</v>
      </c>
    </row>
    <row r="796" spans="1:3" x14ac:dyDescent="0.3">
      <c r="A796" t="s">
        <v>3604</v>
      </c>
      <c r="B796" t="s">
        <v>96</v>
      </c>
      <c r="C796" t="s">
        <v>1422</v>
      </c>
    </row>
    <row r="797" spans="1:3" x14ac:dyDescent="0.3">
      <c r="A797" t="s">
        <v>3604</v>
      </c>
      <c r="B797" t="s">
        <v>96</v>
      </c>
      <c r="C797" t="s">
        <v>2054</v>
      </c>
    </row>
    <row r="798" spans="1:3" x14ac:dyDescent="0.3">
      <c r="A798" t="s">
        <v>3604</v>
      </c>
      <c r="B798" t="s">
        <v>96</v>
      </c>
      <c r="C798" t="s">
        <v>1029</v>
      </c>
    </row>
    <row r="799" spans="1:3" x14ac:dyDescent="0.3">
      <c r="A799" t="s">
        <v>3604</v>
      </c>
      <c r="B799" t="s">
        <v>96</v>
      </c>
      <c r="C799" t="s">
        <v>3911</v>
      </c>
    </row>
    <row r="800" spans="1:3" x14ac:dyDescent="0.3">
      <c r="A800" t="s">
        <v>3604</v>
      </c>
      <c r="B800" t="s">
        <v>96</v>
      </c>
      <c r="C800" t="s">
        <v>97</v>
      </c>
    </row>
    <row r="801" spans="1:3" x14ac:dyDescent="0.3">
      <c r="A801" t="s">
        <v>3604</v>
      </c>
      <c r="B801" t="s">
        <v>96</v>
      </c>
      <c r="C801" t="s">
        <v>320</v>
      </c>
    </row>
    <row r="802" spans="1:3" x14ac:dyDescent="0.3">
      <c r="A802" t="s">
        <v>3604</v>
      </c>
      <c r="B802" t="s">
        <v>96</v>
      </c>
      <c r="C802" t="s">
        <v>169</v>
      </c>
    </row>
    <row r="803" spans="1:3" x14ac:dyDescent="0.3">
      <c r="A803" t="s">
        <v>3604</v>
      </c>
      <c r="B803" t="s">
        <v>96</v>
      </c>
      <c r="C803" t="s">
        <v>294</v>
      </c>
    </row>
    <row r="804" spans="1:3" x14ac:dyDescent="0.3">
      <c r="A804" t="s">
        <v>3604</v>
      </c>
      <c r="B804" t="s">
        <v>96</v>
      </c>
      <c r="C804" t="s">
        <v>288</v>
      </c>
    </row>
    <row r="805" spans="1:3" x14ac:dyDescent="0.3">
      <c r="A805" t="s">
        <v>3604</v>
      </c>
      <c r="B805" t="s">
        <v>96</v>
      </c>
      <c r="C805" t="s">
        <v>1308</v>
      </c>
    </row>
    <row r="806" spans="1:3" x14ac:dyDescent="0.3">
      <c r="A806" t="s">
        <v>3604</v>
      </c>
      <c r="B806" t="s">
        <v>96</v>
      </c>
      <c r="C806" t="s">
        <v>201</v>
      </c>
    </row>
    <row r="807" spans="1:3" x14ac:dyDescent="0.3">
      <c r="A807" t="s">
        <v>3604</v>
      </c>
      <c r="B807" t="s">
        <v>96</v>
      </c>
      <c r="C807" t="s">
        <v>107</v>
      </c>
    </row>
    <row r="808" spans="1:3" x14ac:dyDescent="0.3">
      <c r="A808" t="s">
        <v>3604</v>
      </c>
      <c r="B808" t="s">
        <v>96</v>
      </c>
      <c r="C808" t="s">
        <v>1869</v>
      </c>
    </row>
    <row r="809" spans="1:3" x14ac:dyDescent="0.3">
      <c r="A809" t="s">
        <v>3604</v>
      </c>
      <c r="B809" t="s">
        <v>96</v>
      </c>
      <c r="C809" t="s">
        <v>3298</v>
      </c>
    </row>
    <row r="810" spans="1:3" x14ac:dyDescent="0.3">
      <c r="A810" t="s">
        <v>3604</v>
      </c>
      <c r="B810" t="s">
        <v>96</v>
      </c>
      <c r="C810" t="s">
        <v>657</v>
      </c>
    </row>
    <row r="811" spans="1:3" x14ac:dyDescent="0.3">
      <c r="A811" t="s">
        <v>3604</v>
      </c>
      <c r="B811" t="s">
        <v>96</v>
      </c>
      <c r="C811" t="s">
        <v>507</v>
      </c>
    </row>
    <row r="812" spans="1:3" x14ac:dyDescent="0.3">
      <c r="A812" t="s">
        <v>3604</v>
      </c>
      <c r="B812" t="s">
        <v>96</v>
      </c>
      <c r="C812" t="s">
        <v>1698</v>
      </c>
    </row>
    <row r="813" spans="1:3" x14ac:dyDescent="0.3">
      <c r="A813" t="s">
        <v>3604</v>
      </c>
      <c r="B813" t="s">
        <v>96</v>
      </c>
      <c r="C813" t="s">
        <v>681</v>
      </c>
    </row>
    <row r="814" spans="1:3" x14ac:dyDescent="0.3">
      <c r="A814" t="s">
        <v>3604</v>
      </c>
      <c r="B814" t="s">
        <v>96</v>
      </c>
      <c r="C814" t="s">
        <v>1827</v>
      </c>
    </row>
    <row r="815" spans="1:3" x14ac:dyDescent="0.3">
      <c r="A815" t="s">
        <v>3604</v>
      </c>
      <c r="B815" t="s">
        <v>96</v>
      </c>
      <c r="C815" t="s">
        <v>3912</v>
      </c>
    </row>
    <row r="816" spans="1:3" x14ac:dyDescent="0.3">
      <c r="A816" t="s">
        <v>3604</v>
      </c>
      <c r="B816" t="s">
        <v>96</v>
      </c>
      <c r="C816" t="s">
        <v>3913</v>
      </c>
    </row>
    <row r="817" spans="1:3" x14ac:dyDescent="0.3">
      <c r="A817" t="s">
        <v>3604</v>
      </c>
      <c r="B817" t="s">
        <v>96</v>
      </c>
      <c r="C817" t="s">
        <v>1927</v>
      </c>
    </row>
    <row r="818" spans="1:3" x14ac:dyDescent="0.3">
      <c r="A818" t="s">
        <v>3604</v>
      </c>
      <c r="B818" t="s">
        <v>96</v>
      </c>
      <c r="C818" t="s">
        <v>989</v>
      </c>
    </row>
    <row r="819" spans="1:3" x14ac:dyDescent="0.3">
      <c r="A819" t="s">
        <v>3604</v>
      </c>
      <c r="B819" t="s">
        <v>96</v>
      </c>
      <c r="C819" t="s">
        <v>976</v>
      </c>
    </row>
    <row r="820" spans="1:3" x14ac:dyDescent="0.3">
      <c r="A820" t="s">
        <v>3604</v>
      </c>
      <c r="B820" t="s">
        <v>96</v>
      </c>
      <c r="C820" t="s">
        <v>983</v>
      </c>
    </row>
    <row r="821" spans="1:3" x14ac:dyDescent="0.3">
      <c r="A821" t="s">
        <v>3604</v>
      </c>
      <c r="B821" t="s">
        <v>79</v>
      </c>
      <c r="C821" t="s">
        <v>3914</v>
      </c>
    </row>
    <row r="822" spans="1:3" x14ac:dyDescent="0.3">
      <c r="A822" t="s">
        <v>3604</v>
      </c>
      <c r="B822" t="s">
        <v>79</v>
      </c>
      <c r="C822" t="s">
        <v>2261</v>
      </c>
    </row>
    <row r="823" spans="1:3" x14ac:dyDescent="0.3">
      <c r="A823" t="s">
        <v>3604</v>
      </c>
      <c r="B823" t="s">
        <v>79</v>
      </c>
      <c r="C823" t="s">
        <v>182</v>
      </c>
    </row>
    <row r="824" spans="1:3" x14ac:dyDescent="0.3">
      <c r="A824" t="s">
        <v>3604</v>
      </c>
      <c r="B824" t="s">
        <v>79</v>
      </c>
      <c r="C824" t="s">
        <v>81</v>
      </c>
    </row>
    <row r="825" spans="1:3" x14ac:dyDescent="0.3">
      <c r="A825" t="s">
        <v>3604</v>
      </c>
      <c r="B825" t="s">
        <v>79</v>
      </c>
      <c r="C825" t="s">
        <v>241</v>
      </c>
    </row>
    <row r="826" spans="1:3" x14ac:dyDescent="0.3">
      <c r="A826" t="s">
        <v>3604</v>
      </c>
      <c r="B826" t="s">
        <v>79</v>
      </c>
      <c r="C826" t="s">
        <v>1169</v>
      </c>
    </row>
    <row r="827" spans="1:3" x14ac:dyDescent="0.3">
      <c r="A827" t="s">
        <v>3604</v>
      </c>
      <c r="B827" t="s">
        <v>79</v>
      </c>
      <c r="C827" t="s">
        <v>533</v>
      </c>
    </row>
    <row r="828" spans="1:3" x14ac:dyDescent="0.3">
      <c r="A828" t="s">
        <v>3604</v>
      </c>
      <c r="B828" t="s">
        <v>79</v>
      </c>
      <c r="C828" t="s">
        <v>163</v>
      </c>
    </row>
    <row r="829" spans="1:3" x14ac:dyDescent="0.3">
      <c r="A829" t="s">
        <v>3604</v>
      </c>
      <c r="B829" t="s">
        <v>79</v>
      </c>
      <c r="C829" t="s">
        <v>3915</v>
      </c>
    </row>
    <row r="830" spans="1:3" x14ac:dyDescent="0.3">
      <c r="A830" t="s">
        <v>3604</v>
      </c>
      <c r="B830" t="s">
        <v>853</v>
      </c>
      <c r="C830" t="s">
        <v>854</v>
      </c>
    </row>
    <row r="831" spans="1:3" x14ac:dyDescent="0.3">
      <c r="A831" t="s">
        <v>1023</v>
      </c>
      <c r="B831" t="s">
        <v>79</v>
      </c>
      <c r="C831" t="s">
        <v>182</v>
      </c>
    </row>
    <row r="832" spans="1:3" x14ac:dyDescent="0.3">
      <c r="A832" t="s">
        <v>1023</v>
      </c>
      <c r="B832" t="s">
        <v>79</v>
      </c>
      <c r="C832" t="s">
        <v>81</v>
      </c>
    </row>
    <row r="833" spans="1:3" x14ac:dyDescent="0.3">
      <c r="A833" t="s">
        <v>168</v>
      </c>
      <c r="B833" t="s">
        <v>96</v>
      </c>
      <c r="C833" t="s">
        <v>169</v>
      </c>
    </row>
    <row r="834" spans="1:3" x14ac:dyDescent="0.3">
      <c r="A834" t="s">
        <v>2958</v>
      </c>
      <c r="B834" t="s">
        <v>96</v>
      </c>
      <c r="C834" t="s">
        <v>175</v>
      </c>
    </row>
    <row r="835" spans="1:3" x14ac:dyDescent="0.3">
      <c r="A835" t="s">
        <v>2958</v>
      </c>
      <c r="B835" t="s">
        <v>96</v>
      </c>
      <c r="C835" t="s">
        <v>1422</v>
      </c>
    </row>
    <row r="836" spans="1:3" x14ac:dyDescent="0.3">
      <c r="A836" t="s">
        <v>2958</v>
      </c>
      <c r="B836" t="s">
        <v>96</v>
      </c>
      <c r="C836" t="s">
        <v>2054</v>
      </c>
    </row>
    <row r="837" spans="1:3" x14ac:dyDescent="0.3">
      <c r="A837" t="s">
        <v>2958</v>
      </c>
      <c r="B837" t="s">
        <v>96</v>
      </c>
      <c r="C837" t="s">
        <v>1029</v>
      </c>
    </row>
    <row r="838" spans="1:3" x14ac:dyDescent="0.3">
      <c r="A838" t="s">
        <v>2958</v>
      </c>
      <c r="B838" t="s">
        <v>96</v>
      </c>
      <c r="C838" t="s">
        <v>3911</v>
      </c>
    </row>
    <row r="839" spans="1:3" x14ac:dyDescent="0.3">
      <c r="A839" t="s">
        <v>2958</v>
      </c>
      <c r="B839" t="s">
        <v>96</v>
      </c>
      <c r="C839" t="s">
        <v>97</v>
      </c>
    </row>
    <row r="840" spans="1:3" x14ac:dyDescent="0.3">
      <c r="A840" t="s">
        <v>2958</v>
      </c>
      <c r="B840" t="s">
        <v>96</v>
      </c>
      <c r="C840" t="s">
        <v>320</v>
      </c>
    </row>
    <row r="841" spans="1:3" x14ac:dyDescent="0.3">
      <c r="A841" t="s">
        <v>2958</v>
      </c>
      <c r="B841" t="s">
        <v>96</v>
      </c>
      <c r="C841" t="s">
        <v>169</v>
      </c>
    </row>
    <row r="842" spans="1:3" x14ac:dyDescent="0.3">
      <c r="A842" t="s">
        <v>2958</v>
      </c>
      <c r="B842" t="s">
        <v>96</v>
      </c>
      <c r="C842" t="s">
        <v>294</v>
      </c>
    </row>
    <row r="843" spans="1:3" x14ac:dyDescent="0.3">
      <c r="A843" t="s">
        <v>2958</v>
      </c>
      <c r="B843" t="s">
        <v>96</v>
      </c>
      <c r="C843" t="s">
        <v>288</v>
      </c>
    </row>
    <row r="844" spans="1:3" x14ac:dyDescent="0.3">
      <c r="A844" t="s">
        <v>2958</v>
      </c>
      <c r="B844" t="s">
        <v>96</v>
      </c>
      <c r="C844" t="s">
        <v>1308</v>
      </c>
    </row>
    <row r="845" spans="1:3" x14ac:dyDescent="0.3">
      <c r="A845" t="s">
        <v>2958</v>
      </c>
      <c r="B845" t="s">
        <v>96</v>
      </c>
      <c r="C845" t="s">
        <v>201</v>
      </c>
    </row>
    <row r="846" spans="1:3" x14ac:dyDescent="0.3">
      <c r="A846" t="s">
        <v>2958</v>
      </c>
      <c r="B846" t="s">
        <v>96</v>
      </c>
      <c r="C846" t="s">
        <v>107</v>
      </c>
    </row>
    <row r="847" spans="1:3" x14ac:dyDescent="0.3">
      <c r="A847" t="s">
        <v>2958</v>
      </c>
      <c r="B847" t="s">
        <v>96</v>
      </c>
      <c r="C847" t="s">
        <v>1869</v>
      </c>
    </row>
    <row r="848" spans="1:3" x14ac:dyDescent="0.3">
      <c r="A848" t="s">
        <v>2958</v>
      </c>
      <c r="B848" t="s">
        <v>96</v>
      </c>
      <c r="C848" t="s">
        <v>3298</v>
      </c>
    </row>
    <row r="849" spans="1:3" x14ac:dyDescent="0.3">
      <c r="A849" t="s">
        <v>2958</v>
      </c>
      <c r="B849" t="s">
        <v>96</v>
      </c>
      <c r="C849" t="s">
        <v>657</v>
      </c>
    </row>
    <row r="850" spans="1:3" x14ac:dyDescent="0.3">
      <c r="A850" t="s">
        <v>2958</v>
      </c>
      <c r="B850" t="s">
        <v>96</v>
      </c>
      <c r="C850" t="s">
        <v>507</v>
      </c>
    </row>
    <row r="851" spans="1:3" x14ac:dyDescent="0.3">
      <c r="A851" t="s">
        <v>2958</v>
      </c>
      <c r="B851" t="s">
        <v>96</v>
      </c>
      <c r="C851" t="s">
        <v>1698</v>
      </c>
    </row>
    <row r="852" spans="1:3" x14ac:dyDescent="0.3">
      <c r="A852" t="s">
        <v>2958</v>
      </c>
      <c r="B852" t="s">
        <v>96</v>
      </c>
      <c r="C852" t="s">
        <v>681</v>
      </c>
    </row>
    <row r="853" spans="1:3" x14ac:dyDescent="0.3">
      <c r="A853" t="s">
        <v>2958</v>
      </c>
      <c r="B853" t="s">
        <v>96</v>
      </c>
      <c r="C853" t="s">
        <v>1827</v>
      </c>
    </row>
    <row r="854" spans="1:3" x14ac:dyDescent="0.3">
      <c r="A854" t="s">
        <v>2958</v>
      </c>
      <c r="B854" t="s">
        <v>96</v>
      </c>
      <c r="C854" t="s">
        <v>3912</v>
      </c>
    </row>
    <row r="855" spans="1:3" x14ac:dyDescent="0.3">
      <c r="A855" t="s">
        <v>2958</v>
      </c>
      <c r="B855" t="s">
        <v>96</v>
      </c>
      <c r="C855" t="s">
        <v>3913</v>
      </c>
    </row>
    <row r="856" spans="1:3" x14ac:dyDescent="0.3">
      <c r="A856" t="s">
        <v>2958</v>
      </c>
      <c r="B856" t="s">
        <v>96</v>
      </c>
      <c r="C856" t="s">
        <v>1927</v>
      </c>
    </row>
    <row r="857" spans="1:3" x14ac:dyDescent="0.3">
      <c r="A857" t="s">
        <v>2958</v>
      </c>
      <c r="B857" t="s">
        <v>96</v>
      </c>
      <c r="C857" t="s">
        <v>989</v>
      </c>
    </row>
    <row r="858" spans="1:3" x14ac:dyDescent="0.3">
      <c r="A858" t="s">
        <v>2958</v>
      </c>
      <c r="B858" t="s">
        <v>96</v>
      </c>
      <c r="C858" t="s">
        <v>976</v>
      </c>
    </row>
    <row r="859" spans="1:3" x14ac:dyDescent="0.3">
      <c r="A859" t="s">
        <v>2958</v>
      </c>
      <c r="B859" t="s">
        <v>96</v>
      </c>
      <c r="C859" t="s">
        <v>983</v>
      </c>
    </row>
    <row r="860" spans="1:3" x14ac:dyDescent="0.3">
      <c r="A860" t="s">
        <v>2958</v>
      </c>
      <c r="B860" t="s">
        <v>79</v>
      </c>
      <c r="C860" t="s">
        <v>3914</v>
      </c>
    </row>
    <row r="861" spans="1:3" x14ac:dyDescent="0.3">
      <c r="A861" t="s">
        <v>2958</v>
      </c>
      <c r="B861" t="s">
        <v>79</v>
      </c>
      <c r="C861" t="s">
        <v>2261</v>
      </c>
    </row>
    <row r="862" spans="1:3" x14ac:dyDescent="0.3">
      <c r="A862" t="s">
        <v>2958</v>
      </c>
      <c r="B862" t="s">
        <v>79</v>
      </c>
      <c r="C862" t="s">
        <v>182</v>
      </c>
    </row>
    <row r="863" spans="1:3" x14ac:dyDescent="0.3">
      <c r="A863" t="s">
        <v>2958</v>
      </c>
      <c r="B863" t="s">
        <v>79</v>
      </c>
      <c r="C863" t="s">
        <v>81</v>
      </c>
    </row>
    <row r="864" spans="1:3" x14ac:dyDescent="0.3">
      <c r="A864" t="s">
        <v>2958</v>
      </c>
      <c r="B864" t="s">
        <v>79</v>
      </c>
      <c r="C864" t="s">
        <v>241</v>
      </c>
    </row>
    <row r="865" spans="1:3" x14ac:dyDescent="0.3">
      <c r="A865" t="s">
        <v>2958</v>
      </c>
      <c r="B865" t="s">
        <v>79</v>
      </c>
      <c r="C865" t="s">
        <v>1169</v>
      </c>
    </row>
    <row r="866" spans="1:3" x14ac:dyDescent="0.3">
      <c r="A866" t="s">
        <v>2958</v>
      </c>
      <c r="B866" t="s">
        <v>79</v>
      </c>
      <c r="C866" t="s">
        <v>533</v>
      </c>
    </row>
    <row r="867" spans="1:3" x14ac:dyDescent="0.3">
      <c r="A867" t="s">
        <v>2958</v>
      </c>
      <c r="B867" t="s">
        <v>79</v>
      </c>
      <c r="C867" t="s">
        <v>163</v>
      </c>
    </row>
    <row r="868" spans="1:3" x14ac:dyDescent="0.3">
      <c r="A868" t="s">
        <v>2958</v>
      </c>
      <c r="B868" t="s">
        <v>79</v>
      </c>
      <c r="C868" t="s">
        <v>3915</v>
      </c>
    </row>
    <row r="869" spans="1:3" x14ac:dyDescent="0.3">
      <c r="A869" t="s">
        <v>2958</v>
      </c>
      <c r="B869" t="s">
        <v>853</v>
      </c>
      <c r="C869" t="s">
        <v>854</v>
      </c>
    </row>
    <row r="870" spans="1:3" x14ac:dyDescent="0.3">
      <c r="A870" t="s">
        <v>2645</v>
      </c>
      <c r="B870" t="s">
        <v>96</v>
      </c>
      <c r="C870" t="s">
        <v>175</v>
      </c>
    </row>
    <row r="871" spans="1:3" x14ac:dyDescent="0.3">
      <c r="A871" t="s">
        <v>2645</v>
      </c>
      <c r="B871" t="s">
        <v>96</v>
      </c>
      <c r="C871" t="s">
        <v>1422</v>
      </c>
    </row>
    <row r="872" spans="1:3" x14ac:dyDescent="0.3">
      <c r="A872" t="s">
        <v>2645</v>
      </c>
      <c r="B872" t="s">
        <v>96</v>
      </c>
      <c r="C872" t="s">
        <v>2054</v>
      </c>
    </row>
    <row r="873" spans="1:3" x14ac:dyDescent="0.3">
      <c r="A873" t="s">
        <v>2645</v>
      </c>
      <c r="B873" t="s">
        <v>96</v>
      </c>
      <c r="C873" t="s">
        <v>1029</v>
      </c>
    </row>
    <row r="874" spans="1:3" x14ac:dyDescent="0.3">
      <c r="A874" t="s">
        <v>2645</v>
      </c>
      <c r="B874" t="s">
        <v>96</v>
      </c>
      <c r="C874" t="s">
        <v>3911</v>
      </c>
    </row>
    <row r="875" spans="1:3" x14ac:dyDescent="0.3">
      <c r="A875" t="s">
        <v>2645</v>
      </c>
      <c r="B875" t="s">
        <v>96</v>
      </c>
      <c r="C875" t="s">
        <v>97</v>
      </c>
    </row>
    <row r="876" spans="1:3" x14ac:dyDescent="0.3">
      <c r="A876" t="s">
        <v>2645</v>
      </c>
      <c r="B876" t="s">
        <v>96</v>
      </c>
      <c r="C876" t="s">
        <v>320</v>
      </c>
    </row>
    <row r="877" spans="1:3" x14ac:dyDescent="0.3">
      <c r="A877" t="s">
        <v>2645</v>
      </c>
      <c r="B877" t="s">
        <v>96</v>
      </c>
      <c r="C877" t="s">
        <v>169</v>
      </c>
    </row>
    <row r="878" spans="1:3" x14ac:dyDescent="0.3">
      <c r="A878" t="s">
        <v>2645</v>
      </c>
      <c r="B878" t="s">
        <v>96</v>
      </c>
      <c r="C878" t="s">
        <v>294</v>
      </c>
    </row>
    <row r="879" spans="1:3" x14ac:dyDescent="0.3">
      <c r="A879" t="s">
        <v>2645</v>
      </c>
      <c r="B879" t="s">
        <v>96</v>
      </c>
      <c r="C879" t="s">
        <v>288</v>
      </c>
    </row>
    <row r="880" spans="1:3" x14ac:dyDescent="0.3">
      <c r="A880" t="s">
        <v>2645</v>
      </c>
      <c r="B880" t="s">
        <v>96</v>
      </c>
      <c r="C880" t="s">
        <v>1308</v>
      </c>
    </row>
    <row r="881" spans="1:3" x14ac:dyDescent="0.3">
      <c r="A881" t="s">
        <v>2645</v>
      </c>
      <c r="B881" t="s">
        <v>96</v>
      </c>
      <c r="C881" t="s">
        <v>201</v>
      </c>
    </row>
    <row r="882" spans="1:3" x14ac:dyDescent="0.3">
      <c r="A882" t="s">
        <v>2645</v>
      </c>
      <c r="B882" t="s">
        <v>96</v>
      </c>
      <c r="C882" t="s">
        <v>107</v>
      </c>
    </row>
    <row r="883" spans="1:3" x14ac:dyDescent="0.3">
      <c r="A883" t="s">
        <v>2645</v>
      </c>
      <c r="B883" t="s">
        <v>96</v>
      </c>
      <c r="C883" t="s">
        <v>1869</v>
      </c>
    </row>
    <row r="884" spans="1:3" x14ac:dyDescent="0.3">
      <c r="A884" t="s">
        <v>2645</v>
      </c>
      <c r="B884" t="s">
        <v>96</v>
      </c>
      <c r="C884" t="s">
        <v>3298</v>
      </c>
    </row>
    <row r="885" spans="1:3" x14ac:dyDescent="0.3">
      <c r="A885" t="s">
        <v>2645</v>
      </c>
      <c r="B885" t="s">
        <v>96</v>
      </c>
      <c r="C885" t="s">
        <v>657</v>
      </c>
    </row>
    <row r="886" spans="1:3" x14ac:dyDescent="0.3">
      <c r="A886" t="s">
        <v>2645</v>
      </c>
      <c r="B886" t="s">
        <v>96</v>
      </c>
      <c r="C886" t="s">
        <v>507</v>
      </c>
    </row>
    <row r="887" spans="1:3" x14ac:dyDescent="0.3">
      <c r="A887" t="s">
        <v>2645</v>
      </c>
      <c r="B887" t="s">
        <v>96</v>
      </c>
      <c r="C887" t="s">
        <v>1698</v>
      </c>
    </row>
    <row r="888" spans="1:3" x14ac:dyDescent="0.3">
      <c r="A888" t="s">
        <v>2645</v>
      </c>
      <c r="B888" t="s">
        <v>96</v>
      </c>
      <c r="C888" t="s">
        <v>681</v>
      </c>
    </row>
    <row r="889" spans="1:3" x14ac:dyDescent="0.3">
      <c r="A889" t="s">
        <v>2645</v>
      </c>
      <c r="B889" t="s">
        <v>96</v>
      </c>
      <c r="C889" t="s">
        <v>1827</v>
      </c>
    </row>
    <row r="890" spans="1:3" x14ac:dyDescent="0.3">
      <c r="A890" t="s">
        <v>2645</v>
      </c>
      <c r="B890" t="s">
        <v>96</v>
      </c>
      <c r="C890" t="s">
        <v>3912</v>
      </c>
    </row>
    <row r="891" spans="1:3" x14ac:dyDescent="0.3">
      <c r="A891" t="s">
        <v>2645</v>
      </c>
      <c r="B891" t="s">
        <v>96</v>
      </c>
      <c r="C891" t="s">
        <v>3913</v>
      </c>
    </row>
    <row r="892" spans="1:3" x14ac:dyDescent="0.3">
      <c r="A892" t="s">
        <v>2645</v>
      </c>
      <c r="B892" t="s">
        <v>96</v>
      </c>
      <c r="C892" t="s">
        <v>1927</v>
      </c>
    </row>
    <row r="893" spans="1:3" x14ac:dyDescent="0.3">
      <c r="A893" t="s">
        <v>2645</v>
      </c>
      <c r="B893" t="s">
        <v>96</v>
      </c>
      <c r="C893" t="s">
        <v>989</v>
      </c>
    </row>
    <row r="894" spans="1:3" x14ac:dyDescent="0.3">
      <c r="A894" t="s">
        <v>2645</v>
      </c>
      <c r="B894" t="s">
        <v>96</v>
      </c>
      <c r="C894" t="s">
        <v>976</v>
      </c>
    </row>
    <row r="895" spans="1:3" x14ac:dyDescent="0.3">
      <c r="A895" t="s">
        <v>2645</v>
      </c>
      <c r="B895" t="s">
        <v>96</v>
      </c>
      <c r="C895" t="s">
        <v>983</v>
      </c>
    </row>
    <row r="896" spans="1:3" x14ac:dyDescent="0.3">
      <c r="A896" t="s">
        <v>2645</v>
      </c>
      <c r="B896" t="s">
        <v>79</v>
      </c>
      <c r="C896" t="s">
        <v>3914</v>
      </c>
    </row>
    <row r="897" spans="1:3" x14ac:dyDescent="0.3">
      <c r="A897" t="s">
        <v>2645</v>
      </c>
      <c r="B897" t="s">
        <v>79</v>
      </c>
      <c r="C897" t="s">
        <v>2261</v>
      </c>
    </row>
    <row r="898" spans="1:3" x14ac:dyDescent="0.3">
      <c r="A898" t="s">
        <v>2645</v>
      </c>
      <c r="B898" t="s">
        <v>79</v>
      </c>
      <c r="C898" t="s">
        <v>182</v>
      </c>
    </row>
    <row r="899" spans="1:3" x14ac:dyDescent="0.3">
      <c r="A899" t="s">
        <v>2645</v>
      </c>
      <c r="B899" t="s">
        <v>79</v>
      </c>
      <c r="C899" t="s">
        <v>81</v>
      </c>
    </row>
    <row r="900" spans="1:3" x14ac:dyDescent="0.3">
      <c r="A900" t="s">
        <v>2645</v>
      </c>
      <c r="B900" t="s">
        <v>79</v>
      </c>
      <c r="C900" t="s">
        <v>241</v>
      </c>
    </row>
    <row r="901" spans="1:3" x14ac:dyDescent="0.3">
      <c r="A901" t="s">
        <v>2645</v>
      </c>
      <c r="B901" t="s">
        <v>79</v>
      </c>
      <c r="C901" t="s">
        <v>1169</v>
      </c>
    </row>
    <row r="902" spans="1:3" x14ac:dyDescent="0.3">
      <c r="A902" t="s">
        <v>2645</v>
      </c>
      <c r="B902" t="s">
        <v>79</v>
      </c>
      <c r="C902" t="s">
        <v>533</v>
      </c>
    </row>
    <row r="903" spans="1:3" x14ac:dyDescent="0.3">
      <c r="A903" t="s">
        <v>2645</v>
      </c>
      <c r="B903" t="s">
        <v>79</v>
      </c>
      <c r="C903" t="s">
        <v>163</v>
      </c>
    </row>
    <row r="904" spans="1:3" x14ac:dyDescent="0.3">
      <c r="A904" t="s">
        <v>2645</v>
      </c>
      <c r="B904" t="s">
        <v>79</v>
      </c>
      <c r="C904" t="s">
        <v>3915</v>
      </c>
    </row>
    <row r="905" spans="1:3" x14ac:dyDescent="0.3">
      <c r="A905" t="s">
        <v>2645</v>
      </c>
      <c r="B905" t="s">
        <v>853</v>
      </c>
      <c r="C905" t="s">
        <v>854</v>
      </c>
    </row>
    <row r="906" spans="1:3" x14ac:dyDescent="0.3">
      <c r="A906" t="s">
        <v>982</v>
      </c>
      <c r="B906" t="s">
        <v>96</v>
      </c>
      <c r="C906" t="s">
        <v>989</v>
      </c>
    </row>
    <row r="907" spans="1:3" x14ac:dyDescent="0.3">
      <c r="A907" t="s">
        <v>982</v>
      </c>
      <c r="B907" t="s">
        <v>96</v>
      </c>
      <c r="C907" t="s">
        <v>983</v>
      </c>
    </row>
    <row r="908" spans="1:3" x14ac:dyDescent="0.3">
      <c r="A908" t="s">
        <v>29</v>
      </c>
      <c r="B908" s="2" t="s">
        <v>79</v>
      </c>
      <c r="C908" s="12" t="s">
        <v>241</v>
      </c>
    </row>
    <row r="909" spans="1:3" x14ac:dyDescent="0.3">
      <c r="A909" t="s">
        <v>3052</v>
      </c>
      <c r="B909" t="s">
        <v>96</v>
      </c>
      <c r="C909" t="s">
        <v>175</v>
      </c>
    </row>
    <row r="910" spans="1:3" x14ac:dyDescent="0.3">
      <c r="A910" t="s">
        <v>3052</v>
      </c>
      <c r="B910" t="s">
        <v>96</v>
      </c>
      <c r="C910" t="s">
        <v>1422</v>
      </c>
    </row>
    <row r="911" spans="1:3" x14ac:dyDescent="0.3">
      <c r="A911" t="s">
        <v>3052</v>
      </c>
      <c r="B911" t="s">
        <v>96</v>
      </c>
      <c r="C911" t="s">
        <v>2054</v>
      </c>
    </row>
    <row r="912" spans="1:3" x14ac:dyDescent="0.3">
      <c r="A912" t="s">
        <v>3052</v>
      </c>
      <c r="B912" t="s">
        <v>96</v>
      </c>
      <c r="C912" t="s">
        <v>1029</v>
      </c>
    </row>
    <row r="913" spans="1:3" x14ac:dyDescent="0.3">
      <c r="A913" t="s">
        <v>3052</v>
      </c>
      <c r="B913" t="s">
        <v>96</v>
      </c>
      <c r="C913" t="s">
        <v>3911</v>
      </c>
    </row>
    <row r="914" spans="1:3" x14ac:dyDescent="0.3">
      <c r="A914" t="s">
        <v>3052</v>
      </c>
      <c r="B914" t="s">
        <v>96</v>
      </c>
      <c r="C914" t="s">
        <v>97</v>
      </c>
    </row>
    <row r="915" spans="1:3" x14ac:dyDescent="0.3">
      <c r="A915" t="s">
        <v>3052</v>
      </c>
      <c r="B915" t="s">
        <v>96</v>
      </c>
      <c r="C915" t="s">
        <v>320</v>
      </c>
    </row>
    <row r="916" spans="1:3" x14ac:dyDescent="0.3">
      <c r="A916" t="s">
        <v>3052</v>
      </c>
      <c r="B916" t="s">
        <v>96</v>
      </c>
      <c r="C916" t="s">
        <v>169</v>
      </c>
    </row>
    <row r="917" spans="1:3" x14ac:dyDescent="0.3">
      <c r="A917" t="s">
        <v>3052</v>
      </c>
      <c r="B917" t="s">
        <v>96</v>
      </c>
      <c r="C917" t="s">
        <v>294</v>
      </c>
    </row>
    <row r="918" spans="1:3" x14ac:dyDescent="0.3">
      <c r="A918" t="s">
        <v>3052</v>
      </c>
      <c r="B918" t="s">
        <v>96</v>
      </c>
      <c r="C918" t="s">
        <v>288</v>
      </c>
    </row>
    <row r="919" spans="1:3" x14ac:dyDescent="0.3">
      <c r="A919" t="s">
        <v>3052</v>
      </c>
      <c r="B919" t="s">
        <v>96</v>
      </c>
      <c r="C919" t="s">
        <v>1308</v>
      </c>
    </row>
    <row r="920" spans="1:3" x14ac:dyDescent="0.3">
      <c r="A920" t="s">
        <v>3052</v>
      </c>
      <c r="B920" t="s">
        <v>96</v>
      </c>
      <c r="C920" t="s">
        <v>201</v>
      </c>
    </row>
    <row r="921" spans="1:3" x14ac:dyDescent="0.3">
      <c r="A921" t="s">
        <v>3052</v>
      </c>
      <c r="B921" t="s">
        <v>96</v>
      </c>
      <c r="C921" t="s">
        <v>107</v>
      </c>
    </row>
    <row r="922" spans="1:3" x14ac:dyDescent="0.3">
      <c r="A922" t="s">
        <v>3052</v>
      </c>
      <c r="B922" t="s">
        <v>96</v>
      </c>
      <c r="C922" t="s">
        <v>1869</v>
      </c>
    </row>
    <row r="923" spans="1:3" x14ac:dyDescent="0.3">
      <c r="A923" t="s">
        <v>3052</v>
      </c>
      <c r="B923" t="s">
        <v>96</v>
      </c>
      <c r="C923" t="s">
        <v>3298</v>
      </c>
    </row>
    <row r="924" spans="1:3" x14ac:dyDescent="0.3">
      <c r="A924" t="s">
        <v>3052</v>
      </c>
      <c r="B924" t="s">
        <v>96</v>
      </c>
      <c r="C924" t="s">
        <v>657</v>
      </c>
    </row>
    <row r="925" spans="1:3" x14ac:dyDescent="0.3">
      <c r="A925" t="s">
        <v>3052</v>
      </c>
      <c r="B925" t="s">
        <v>96</v>
      </c>
      <c r="C925" t="s">
        <v>507</v>
      </c>
    </row>
    <row r="926" spans="1:3" x14ac:dyDescent="0.3">
      <c r="A926" t="s">
        <v>3052</v>
      </c>
      <c r="B926" t="s">
        <v>96</v>
      </c>
      <c r="C926" t="s">
        <v>1698</v>
      </c>
    </row>
    <row r="927" spans="1:3" x14ac:dyDescent="0.3">
      <c r="A927" t="s">
        <v>3052</v>
      </c>
      <c r="B927" t="s">
        <v>96</v>
      </c>
      <c r="C927" t="s">
        <v>681</v>
      </c>
    </row>
    <row r="928" spans="1:3" x14ac:dyDescent="0.3">
      <c r="A928" t="s">
        <v>3052</v>
      </c>
      <c r="B928" t="s">
        <v>96</v>
      </c>
      <c r="C928" t="s">
        <v>1827</v>
      </c>
    </row>
    <row r="929" spans="1:3" x14ac:dyDescent="0.3">
      <c r="A929" t="s">
        <v>3052</v>
      </c>
      <c r="B929" t="s">
        <v>96</v>
      </c>
      <c r="C929" t="s">
        <v>3912</v>
      </c>
    </row>
    <row r="930" spans="1:3" x14ac:dyDescent="0.3">
      <c r="A930" t="s">
        <v>3052</v>
      </c>
      <c r="B930" t="s">
        <v>96</v>
      </c>
      <c r="C930" t="s">
        <v>3913</v>
      </c>
    </row>
    <row r="931" spans="1:3" x14ac:dyDescent="0.3">
      <c r="A931" t="s">
        <v>3052</v>
      </c>
      <c r="B931" t="s">
        <v>96</v>
      </c>
      <c r="C931" t="s">
        <v>1927</v>
      </c>
    </row>
    <row r="932" spans="1:3" x14ac:dyDescent="0.3">
      <c r="A932" t="s">
        <v>3052</v>
      </c>
      <c r="B932" t="s">
        <v>96</v>
      </c>
      <c r="C932" t="s">
        <v>989</v>
      </c>
    </row>
    <row r="933" spans="1:3" x14ac:dyDescent="0.3">
      <c r="A933" t="s">
        <v>3052</v>
      </c>
      <c r="B933" t="s">
        <v>96</v>
      </c>
      <c r="C933" t="s">
        <v>976</v>
      </c>
    </row>
    <row r="934" spans="1:3" x14ac:dyDescent="0.3">
      <c r="A934" t="s">
        <v>3052</v>
      </c>
      <c r="B934" t="s">
        <v>96</v>
      </c>
      <c r="C934" t="s">
        <v>983</v>
      </c>
    </row>
    <row r="935" spans="1:3" x14ac:dyDescent="0.3">
      <c r="A935" t="s">
        <v>3052</v>
      </c>
      <c r="B935" t="s">
        <v>79</v>
      </c>
      <c r="C935" t="s">
        <v>3914</v>
      </c>
    </row>
    <row r="936" spans="1:3" x14ac:dyDescent="0.3">
      <c r="A936" t="s">
        <v>3052</v>
      </c>
      <c r="B936" t="s">
        <v>79</v>
      </c>
      <c r="C936" t="s">
        <v>2261</v>
      </c>
    </row>
    <row r="937" spans="1:3" x14ac:dyDescent="0.3">
      <c r="A937" t="s">
        <v>3052</v>
      </c>
      <c r="B937" t="s">
        <v>79</v>
      </c>
      <c r="C937" t="s">
        <v>182</v>
      </c>
    </row>
    <row r="938" spans="1:3" x14ac:dyDescent="0.3">
      <c r="A938" t="s">
        <v>3052</v>
      </c>
      <c r="B938" t="s">
        <v>79</v>
      </c>
      <c r="C938" t="s">
        <v>81</v>
      </c>
    </row>
    <row r="939" spans="1:3" x14ac:dyDescent="0.3">
      <c r="A939" t="s">
        <v>3052</v>
      </c>
      <c r="B939" t="s">
        <v>79</v>
      </c>
      <c r="C939" t="s">
        <v>241</v>
      </c>
    </row>
    <row r="940" spans="1:3" x14ac:dyDescent="0.3">
      <c r="A940" t="s">
        <v>3052</v>
      </c>
      <c r="B940" t="s">
        <v>79</v>
      </c>
      <c r="C940" t="s">
        <v>1169</v>
      </c>
    </row>
    <row r="941" spans="1:3" x14ac:dyDescent="0.3">
      <c r="A941" t="s">
        <v>3052</v>
      </c>
      <c r="B941" t="s">
        <v>79</v>
      </c>
      <c r="C941" t="s">
        <v>533</v>
      </c>
    </row>
    <row r="942" spans="1:3" x14ac:dyDescent="0.3">
      <c r="A942" t="s">
        <v>3052</v>
      </c>
      <c r="B942" t="s">
        <v>79</v>
      </c>
      <c r="C942" t="s">
        <v>163</v>
      </c>
    </row>
    <row r="943" spans="1:3" x14ac:dyDescent="0.3">
      <c r="A943" t="s">
        <v>3052</v>
      </c>
      <c r="B943" t="s">
        <v>79</v>
      </c>
      <c r="C943" t="s">
        <v>3915</v>
      </c>
    </row>
    <row r="944" spans="1:3" x14ac:dyDescent="0.3">
      <c r="A944" t="s">
        <v>3052</v>
      </c>
      <c r="B944" t="s">
        <v>853</v>
      </c>
      <c r="C944" t="s">
        <v>854</v>
      </c>
    </row>
    <row r="945" spans="1:3" x14ac:dyDescent="0.3">
      <c r="A945" t="s">
        <v>896</v>
      </c>
      <c r="B945" t="s">
        <v>96</v>
      </c>
      <c r="C945" t="s">
        <v>201</v>
      </c>
    </row>
    <row r="946" spans="1:3" x14ac:dyDescent="0.3">
      <c r="A946" t="s">
        <v>896</v>
      </c>
      <c r="B946" t="s">
        <v>79</v>
      </c>
      <c r="C946" t="s">
        <v>182</v>
      </c>
    </row>
    <row r="947" spans="1:3" x14ac:dyDescent="0.3">
      <c r="A947" t="s">
        <v>896</v>
      </c>
      <c r="B947" t="s">
        <v>79</v>
      </c>
      <c r="C947" t="s">
        <v>81</v>
      </c>
    </row>
    <row r="948" spans="1:3" x14ac:dyDescent="0.3">
      <c r="A948" t="s">
        <v>896</v>
      </c>
      <c r="B948" t="s">
        <v>79</v>
      </c>
      <c r="C948" t="s">
        <v>1169</v>
      </c>
    </row>
    <row r="949" spans="1:3" x14ac:dyDescent="0.3">
      <c r="A949" t="s">
        <v>896</v>
      </c>
      <c r="B949" t="s">
        <v>79</v>
      </c>
      <c r="C949" t="s">
        <v>163</v>
      </c>
    </row>
    <row r="950" spans="1:3" x14ac:dyDescent="0.3">
      <c r="A950" t="s">
        <v>30</v>
      </c>
      <c r="B950" s="2" t="s">
        <v>96</v>
      </c>
      <c r="C950" s="2" t="s">
        <v>320</v>
      </c>
    </row>
    <row r="951" spans="1:3" x14ac:dyDescent="0.3">
      <c r="A951" t="s">
        <v>30</v>
      </c>
      <c r="B951" s="2" t="s">
        <v>96</v>
      </c>
      <c r="C951" s="2" t="s">
        <v>169</v>
      </c>
    </row>
    <row r="952" spans="1:3" x14ac:dyDescent="0.3">
      <c r="A952" t="s">
        <v>30</v>
      </c>
      <c r="B952" s="2" t="s">
        <v>96</v>
      </c>
      <c r="C952" s="2" t="s">
        <v>1869</v>
      </c>
    </row>
    <row r="953" spans="1:3" x14ac:dyDescent="0.3">
      <c r="A953" t="s">
        <v>30</v>
      </c>
      <c r="B953" s="2" t="s">
        <v>79</v>
      </c>
      <c r="C953" s="2" t="s">
        <v>182</v>
      </c>
    </row>
    <row r="954" spans="1:3" x14ac:dyDescent="0.3">
      <c r="A954" t="s">
        <v>30</v>
      </c>
      <c r="B954" s="2" t="s">
        <v>79</v>
      </c>
      <c r="C954" s="2" t="s">
        <v>81</v>
      </c>
    </row>
    <row r="955" spans="1:3" x14ac:dyDescent="0.3">
      <c r="A955" t="s">
        <v>31</v>
      </c>
      <c r="B955" s="2" t="s">
        <v>96</v>
      </c>
      <c r="C955" s="12" t="s">
        <v>3911</v>
      </c>
    </row>
    <row r="956" spans="1:3" x14ac:dyDescent="0.3">
      <c r="A956" t="s">
        <v>31</v>
      </c>
      <c r="B956" s="2" t="s">
        <v>96</v>
      </c>
      <c r="C956" s="12" t="s">
        <v>201</v>
      </c>
    </row>
    <row r="957" spans="1:3" x14ac:dyDescent="0.3">
      <c r="A957" t="s">
        <v>31</v>
      </c>
      <c r="B957" s="2" t="s">
        <v>79</v>
      </c>
      <c r="C957" s="12" t="s">
        <v>241</v>
      </c>
    </row>
    <row r="958" spans="1:3" x14ac:dyDescent="0.3">
      <c r="A958" t="s">
        <v>32</v>
      </c>
      <c r="B958" s="2" t="s">
        <v>96</v>
      </c>
      <c r="C958" s="12" t="s">
        <v>320</v>
      </c>
    </row>
    <row r="959" spans="1:3" x14ac:dyDescent="0.3">
      <c r="A959" t="s">
        <v>32</v>
      </c>
      <c r="B959" s="2" t="s">
        <v>79</v>
      </c>
      <c r="C959" s="2" t="s">
        <v>182</v>
      </c>
    </row>
    <row r="960" spans="1:3" x14ac:dyDescent="0.3">
      <c r="A960" t="s">
        <v>32</v>
      </c>
      <c r="B960" s="2" t="s">
        <v>79</v>
      </c>
      <c r="C960" s="2" t="s">
        <v>81</v>
      </c>
    </row>
    <row r="961" spans="1:3" x14ac:dyDescent="0.3">
      <c r="A961" t="s">
        <v>33</v>
      </c>
      <c r="B961" s="2" t="s">
        <v>79</v>
      </c>
      <c r="C961" s="2" t="s">
        <v>182</v>
      </c>
    </row>
    <row r="962" spans="1:3" x14ac:dyDescent="0.3">
      <c r="A962" t="s">
        <v>33</v>
      </c>
      <c r="B962" s="2" t="s">
        <v>79</v>
      </c>
      <c r="C962" s="2" t="s">
        <v>81</v>
      </c>
    </row>
    <row r="963" spans="1:3" x14ac:dyDescent="0.3">
      <c r="A963" t="s">
        <v>2850</v>
      </c>
      <c r="B963" t="s">
        <v>96</v>
      </c>
      <c r="C963" t="s">
        <v>175</v>
      </c>
    </row>
    <row r="964" spans="1:3" x14ac:dyDescent="0.3">
      <c r="A964" t="s">
        <v>2850</v>
      </c>
      <c r="B964" t="s">
        <v>96</v>
      </c>
      <c r="C964" t="s">
        <v>1422</v>
      </c>
    </row>
    <row r="965" spans="1:3" x14ac:dyDescent="0.3">
      <c r="A965" t="s">
        <v>2850</v>
      </c>
      <c r="B965" t="s">
        <v>96</v>
      </c>
      <c r="C965" t="s">
        <v>2054</v>
      </c>
    </row>
    <row r="966" spans="1:3" x14ac:dyDescent="0.3">
      <c r="A966" t="s">
        <v>2850</v>
      </c>
      <c r="B966" t="s">
        <v>96</v>
      </c>
      <c r="C966" t="s">
        <v>1029</v>
      </c>
    </row>
    <row r="967" spans="1:3" x14ac:dyDescent="0.3">
      <c r="A967" t="s">
        <v>2850</v>
      </c>
      <c r="B967" t="s">
        <v>96</v>
      </c>
      <c r="C967" t="s">
        <v>3911</v>
      </c>
    </row>
    <row r="968" spans="1:3" x14ac:dyDescent="0.3">
      <c r="A968" t="s">
        <v>2850</v>
      </c>
      <c r="B968" t="s">
        <v>96</v>
      </c>
      <c r="C968" t="s">
        <v>97</v>
      </c>
    </row>
    <row r="969" spans="1:3" x14ac:dyDescent="0.3">
      <c r="A969" t="s">
        <v>2850</v>
      </c>
      <c r="B969" t="s">
        <v>96</v>
      </c>
      <c r="C969" t="s">
        <v>320</v>
      </c>
    </row>
    <row r="970" spans="1:3" x14ac:dyDescent="0.3">
      <c r="A970" t="s">
        <v>2850</v>
      </c>
      <c r="B970" t="s">
        <v>96</v>
      </c>
      <c r="C970" t="s">
        <v>169</v>
      </c>
    </row>
    <row r="971" spans="1:3" x14ac:dyDescent="0.3">
      <c r="A971" t="s">
        <v>2850</v>
      </c>
      <c r="B971" t="s">
        <v>96</v>
      </c>
      <c r="C971" t="s">
        <v>294</v>
      </c>
    </row>
    <row r="972" spans="1:3" x14ac:dyDescent="0.3">
      <c r="A972" t="s">
        <v>2850</v>
      </c>
      <c r="B972" t="s">
        <v>96</v>
      </c>
      <c r="C972" t="s">
        <v>288</v>
      </c>
    </row>
    <row r="973" spans="1:3" x14ac:dyDescent="0.3">
      <c r="A973" t="s">
        <v>2850</v>
      </c>
      <c r="B973" t="s">
        <v>96</v>
      </c>
      <c r="C973" t="s">
        <v>1308</v>
      </c>
    </row>
    <row r="974" spans="1:3" x14ac:dyDescent="0.3">
      <c r="A974" t="s">
        <v>2850</v>
      </c>
      <c r="B974" t="s">
        <v>96</v>
      </c>
      <c r="C974" t="s">
        <v>201</v>
      </c>
    </row>
    <row r="975" spans="1:3" x14ac:dyDescent="0.3">
      <c r="A975" t="s">
        <v>2850</v>
      </c>
      <c r="B975" t="s">
        <v>96</v>
      </c>
      <c r="C975" t="s">
        <v>107</v>
      </c>
    </row>
    <row r="976" spans="1:3" x14ac:dyDescent="0.3">
      <c r="A976" t="s">
        <v>2850</v>
      </c>
      <c r="B976" t="s">
        <v>96</v>
      </c>
      <c r="C976" t="s">
        <v>1869</v>
      </c>
    </row>
    <row r="977" spans="1:3" x14ac:dyDescent="0.3">
      <c r="A977" t="s">
        <v>2850</v>
      </c>
      <c r="B977" t="s">
        <v>96</v>
      </c>
      <c r="C977" t="s">
        <v>3298</v>
      </c>
    </row>
    <row r="978" spans="1:3" x14ac:dyDescent="0.3">
      <c r="A978" t="s">
        <v>2850</v>
      </c>
      <c r="B978" t="s">
        <v>96</v>
      </c>
      <c r="C978" t="s">
        <v>657</v>
      </c>
    </row>
    <row r="979" spans="1:3" x14ac:dyDescent="0.3">
      <c r="A979" t="s">
        <v>2850</v>
      </c>
      <c r="B979" t="s">
        <v>96</v>
      </c>
      <c r="C979" t="s">
        <v>507</v>
      </c>
    </row>
    <row r="980" spans="1:3" x14ac:dyDescent="0.3">
      <c r="A980" t="s">
        <v>2850</v>
      </c>
      <c r="B980" t="s">
        <v>96</v>
      </c>
      <c r="C980" t="s">
        <v>1698</v>
      </c>
    </row>
    <row r="981" spans="1:3" x14ac:dyDescent="0.3">
      <c r="A981" t="s">
        <v>2850</v>
      </c>
      <c r="B981" t="s">
        <v>96</v>
      </c>
      <c r="C981" t="s">
        <v>681</v>
      </c>
    </row>
    <row r="982" spans="1:3" x14ac:dyDescent="0.3">
      <c r="A982" t="s">
        <v>2850</v>
      </c>
      <c r="B982" t="s">
        <v>96</v>
      </c>
      <c r="C982" t="s">
        <v>1827</v>
      </c>
    </row>
    <row r="983" spans="1:3" x14ac:dyDescent="0.3">
      <c r="A983" t="s">
        <v>2850</v>
      </c>
      <c r="B983" t="s">
        <v>96</v>
      </c>
      <c r="C983" t="s">
        <v>3912</v>
      </c>
    </row>
    <row r="984" spans="1:3" x14ac:dyDescent="0.3">
      <c r="A984" t="s">
        <v>2850</v>
      </c>
      <c r="B984" t="s">
        <v>96</v>
      </c>
      <c r="C984" t="s">
        <v>3913</v>
      </c>
    </row>
    <row r="985" spans="1:3" x14ac:dyDescent="0.3">
      <c r="A985" t="s">
        <v>2850</v>
      </c>
      <c r="B985" t="s">
        <v>96</v>
      </c>
      <c r="C985" t="s">
        <v>1927</v>
      </c>
    </row>
    <row r="986" spans="1:3" x14ac:dyDescent="0.3">
      <c r="A986" t="s">
        <v>2850</v>
      </c>
      <c r="B986" t="s">
        <v>96</v>
      </c>
      <c r="C986" t="s">
        <v>989</v>
      </c>
    </row>
    <row r="987" spans="1:3" x14ac:dyDescent="0.3">
      <c r="A987" t="s">
        <v>2850</v>
      </c>
      <c r="B987" t="s">
        <v>96</v>
      </c>
      <c r="C987" t="s">
        <v>976</v>
      </c>
    </row>
    <row r="988" spans="1:3" x14ac:dyDescent="0.3">
      <c r="A988" t="s">
        <v>2850</v>
      </c>
      <c r="B988" t="s">
        <v>96</v>
      </c>
      <c r="C988" t="s">
        <v>983</v>
      </c>
    </row>
    <row r="989" spans="1:3" x14ac:dyDescent="0.3">
      <c r="A989" t="s">
        <v>2850</v>
      </c>
      <c r="B989" t="s">
        <v>79</v>
      </c>
      <c r="C989" t="s">
        <v>3914</v>
      </c>
    </row>
    <row r="990" spans="1:3" x14ac:dyDescent="0.3">
      <c r="A990" t="s">
        <v>2850</v>
      </c>
      <c r="B990" t="s">
        <v>79</v>
      </c>
      <c r="C990" t="s">
        <v>2261</v>
      </c>
    </row>
    <row r="991" spans="1:3" x14ac:dyDescent="0.3">
      <c r="A991" t="s">
        <v>2850</v>
      </c>
      <c r="B991" t="s">
        <v>79</v>
      </c>
      <c r="C991" t="s">
        <v>182</v>
      </c>
    </row>
    <row r="992" spans="1:3" x14ac:dyDescent="0.3">
      <c r="A992" t="s">
        <v>2850</v>
      </c>
      <c r="B992" t="s">
        <v>79</v>
      </c>
      <c r="C992" t="s">
        <v>81</v>
      </c>
    </row>
    <row r="993" spans="1:3" x14ac:dyDescent="0.3">
      <c r="A993" t="s">
        <v>2850</v>
      </c>
      <c r="B993" t="s">
        <v>79</v>
      </c>
      <c r="C993" t="s">
        <v>241</v>
      </c>
    </row>
    <row r="994" spans="1:3" x14ac:dyDescent="0.3">
      <c r="A994" t="s">
        <v>2850</v>
      </c>
      <c r="B994" t="s">
        <v>79</v>
      </c>
      <c r="C994" t="s">
        <v>1169</v>
      </c>
    </row>
    <row r="995" spans="1:3" x14ac:dyDescent="0.3">
      <c r="A995" t="s">
        <v>2850</v>
      </c>
      <c r="B995" t="s">
        <v>79</v>
      </c>
      <c r="C995" t="s">
        <v>533</v>
      </c>
    </row>
    <row r="996" spans="1:3" x14ac:dyDescent="0.3">
      <c r="A996" t="s">
        <v>2850</v>
      </c>
      <c r="B996" t="s">
        <v>79</v>
      </c>
      <c r="C996" t="s">
        <v>163</v>
      </c>
    </row>
    <row r="997" spans="1:3" x14ac:dyDescent="0.3">
      <c r="A997" t="s">
        <v>2850</v>
      </c>
      <c r="B997" t="s">
        <v>79</v>
      </c>
      <c r="C997" t="s">
        <v>3915</v>
      </c>
    </row>
    <row r="998" spans="1:3" x14ac:dyDescent="0.3">
      <c r="A998" t="s">
        <v>2850</v>
      </c>
      <c r="B998" t="s">
        <v>853</v>
      </c>
      <c r="C998" t="s">
        <v>854</v>
      </c>
    </row>
    <row r="999" spans="1:3" x14ac:dyDescent="0.3">
      <c r="A999" t="s">
        <v>769</v>
      </c>
      <c r="B999" t="s">
        <v>79</v>
      </c>
      <c r="C999" t="s">
        <v>182</v>
      </c>
    </row>
    <row r="1000" spans="1:3" x14ac:dyDescent="0.3">
      <c r="A1000" t="s">
        <v>769</v>
      </c>
      <c r="B1000" t="s">
        <v>79</v>
      </c>
      <c r="C1000" t="s">
        <v>81</v>
      </c>
    </row>
    <row r="1001" spans="1:3" x14ac:dyDescent="0.3">
      <c r="A1001" t="s">
        <v>769</v>
      </c>
      <c r="B1001" t="s">
        <v>79</v>
      </c>
      <c r="C1001" t="s">
        <v>241</v>
      </c>
    </row>
    <row r="1002" spans="1:3" x14ac:dyDescent="0.3">
      <c r="A1002" t="s">
        <v>386</v>
      </c>
      <c r="B1002" t="s">
        <v>79</v>
      </c>
      <c r="C1002" t="s">
        <v>163</v>
      </c>
    </row>
    <row r="1003" spans="1:3" x14ac:dyDescent="0.3">
      <c r="A1003" t="s">
        <v>586</v>
      </c>
      <c r="B1003" t="s">
        <v>79</v>
      </c>
      <c r="C1003" t="s">
        <v>182</v>
      </c>
    </row>
    <row r="1004" spans="1:3" x14ac:dyDescent="0.3">
      <c r="A1004" t="s">
        <v>586</v>
      </c>
      <c r="B1004" t="s">
        <v>79</v>
      </c>
      <c r="C1004" t="s">
        <v>81</v>
      </c>
    </row>
    <row r="1005" spans="1:3" x14ac:dyDescent="0.3">
      <c r="A1005" t="s">
        <v>34</v>
      </c>
      <c r="B1005" s="2" t="s">
        <v>96</v>
      </c>
      <c r="C1005" s="2" t="s">
        <v>1869</v>
      </c>
    </row>
    <row r="1006" spans="1:3" x14ac:dyDescent="0.3">
      <c r="A1006" t="s">
        <v>34</v>
      </c>
      <c r="B1006" s="2" t="s">
        <v>96</v>
      </c>
      <c r="C1006" s="12" t="s">
        <v>507</v>
      </c>
    </row>
    <row r="1007" spans="1:3" x14ac:dyDescent="0.3">
      <c r="A1007" t="s">
        <v>34</v>
      </c>
      <c r="B1007" s="2" t="s">
        <v>79</v>
      </c>
      <c r="C1007" s="2" t="s">
        <v>182</v>
      </c>
    </row>
    <row r="1008" spans="1:3" x14ac:dyDescent="0.3">
      <c r="A1008" t="s">
        <v>34</v>
      </c>
      <c r="B1008" s="2" t="s">
        <v>79</v>
      </c>
      <c r="C1008" s="2" t="s">
        <v>81</v>
      </c>
    </row>
    <row r="1009" spans="1:3" x14ac:dyDescent="0.3">
      <c r="A1009" t="s">
        <v>1922</v>
      </c>
      <c r="B1009" t="s">
        <v>96</v>
      </c>
      <c r="C1009" t="s">
        <v>175</v>
      </c>
    </row>
    <row r="1010" spans="1:3" x14ac:dyDescent="0.3">
      <c r="A1010" t="s">
        <v>1922</v>
      </c>
      <c r="B1010" t="s">
        <v>96</v>
      </c>
      <c r="C1010" t="s">
        <v>1422</v>
      </c>
    </row>
    <row r="1011" spans="1:3" x14ac:dyDescent="0.3">
      <c r="A1011" t="s">
        <v>1922</v>
      </c>
      <c r="B1011" t="s">
        <v>96</v>
      </c>
      <c r="C1011" t="s">
        <v>2054</v>
      </c>
    </row>
    <row r="1012" spans="1:3" x14ac:dyDescent="0.3">
      <c r="A1012" t="s">
        <v>1922</v>
      </c>
      <c r="B1012" t="s">
        <v>96</v>
      </c>
      <c r="C1012" t="s">
        <v>1029</v>
      </c>
    </row>
    <row r="1013" spans="1:3" x14ac:dyDescent="0.3">
      <c r="A1013" t="s">
        <v>1922</v>
      </c>
      <c r="B1013" t="s">
        <v>96</v>
      </c>
      <c r="C1013" t="s">
        <v>3911</v>
      </c>
    </row>
    <row r="1014" spans="1:3" x14ac:dyDescent="0.3">
      <c r="A1014" t="s">
        <v>1922</v>
      </c>
      <c r="B1014" t="s">
        <v>96</v>
      </c>
      <c r="C1014" t="s">
        <v>97</v>
      </c>
    </row>
    <row r="1015" spans="1:3" x14ac:dyDescent="0.3">
      <c r="A1015" t="s">
        <v>1922</v>
      </c>
      <c r="B1015" t="s">
        <v>96</v>
      </c>
      <c r="C1015" t="s">
        <v>320</v>
      </c>
    </row>
    <row r="1016" spans="1:3" x14ac:dyDescent="0.3">
      <c r="A1016" t="s">
        <v>1922</v>
      </c>
      <c r="B1016" t="s">
        <v>96</v>
      </c>
      <c r="C1016" t="s">
        <v>169</v>
      </c>
    </row>
    <row r="1017" spans="1:3" x14ac:dyDescent="0.3">
      <c r="A1017" t="s">
        <v>1922</v>
      </c>
      <c r="B1017" t="s">
        <v>96</v>
      </c>
      <c r="C1017" t="s">
        <v>294</v>
      </c>
    </row>
    <row r="1018" spans="1:3" x14ac:dyDescent="0.3">
      <c r="A1018" t="s">
        <v>1922</v>
      </c>
      <c r="B1018" t="s">
        <v>96</v>
      </c>
      <c r="C1018" t="s">
        <v>288</v>
      </c>
    </row>
    <row r="1019" spans="1:3" x14ac:dyDescent="0.3">
      <c r="A1019" t="s">
        <v>1922</v>
      </c>
      <c r="B1019" t="s">
        <v>96</v>
      </c>
      <c r="C1019" t="s">
        <v>1308</v>
      </c>
    </row>
    <row r="1020" spans="1:3" x14ac:dyDescent="0.3">
      <c r="A1020" t="s">
        <v>1922</v>
      </c>
      <c r="B1020" t="s">
        <v>96</v>
      </c>
      <c r="C1020" t="s">
        <v>201</v>
      </c>
    </row>
    <row r="1021" spans="1:3" x14ac:dyDescent="0.3">
      <c r="A1021" t="s">
        <v>1922</v>
      </c>
      <c r="B1021" t="s">
        <v>96</v>
      </c>
      <c r="C1021" t="s">
        <v>107</v>
      </c>
    </row>
    <row r="1022" spans="1:3" x14ac:dyDescent="0.3">
      <c r="A1022" t="s">
        <v>1922</v>
      </c>
      <c r="B1022" t="s">
        <v>96</v>
      </c>
      <c r="C1022" t="s">
        <v>1869</v>
      </c>
    </row>
    <row r="1023" spans="1:3" x14ac:dyDescent="0.3">
      <c r="A1023" t="s">
        <v>1922</v>
      </c>
      <c r="B1023" t="s">
        <v>96</v>
      </c>
      <c r="C1023" t="s">
        <v>3298</v>
      </c>
    </row>
    <row r="1024" spans="1:3" x14ac:dyDescent="0.3">
      <c r="A1024" t="s">
        <v>1922</v>
      </c>
      <c r="B1024" t="s">
        <v>96</v>
      </c>
      <c r="C1024" t="s">
        <v>657</v>
      </c>
    </row>
    <row r="1025" spans="1:3" x14ac:dyDescent="0.3">
      <c r="A1025" t="s">
        <v>1922</v>
      </c>
      <c r="B1025" t="s">
        <v>96</v>
      </c>
      <c r="C1025" t="s">
        <v>507</v>
      </c>
    </row>
    <row r="1026" spans="1:3" x14ac:dyDescent="0.3">
      <c r="A1026" t="s">
        <v>1922</v>
      </c>
      <c r="B1026" t="s">
        <v>96</v>
      </c>
      <c r="C1026" t="s">
        <v>1698</v>
      </c>
    </row>
    <row r="1027" spans="1:3" x14ac:dyDescent="0.3">
      <c r="A1027" t="s">
        <v>1922</v>
      </c>
      <c r="B1027" t="s">
        <v>96</v>
      </c>
      <c r="C1027" t="s">
        <v>681</v>
      </c>
    </row>
    <row r="1028" spans="1:3" x14ac:dyDescent="0.3">
      <c r="A1028" t="s">
        <v>1922</v>
      </c>
      <c r="B1028" t="s">
        <v>96</v>
      </c>
      <c r="C1028" t="s">
        <v>1827</v>
      </c>
    </row>
    <row r="1029" spans="1:3" x14ac:dyDescent="0.3">
      <c r="A1029" t="s">
        <v>1922</v>
      </c>
      <c r="B1029" t="s">
        <v>96</v>
      </c>
      <c r="C1029" t="s">
        <v>3912</v>
      </c>
    </row>
    <row r="1030" spans="1:3" x14ac:dyDescent="0.3">
      <c r="A1030" t="s">
        <v>1922</v>
      </c>
      <c r="B1030" t="s">
        <v>96</v>
      </c>
      <c r="C1030" t="s">
        <v>1927</v>
      </c>
    </row>
    <row r="1031" spans="1:3" x14ac:dyDescent="0.3">
      <c r="A1031" t="s">
        <v>1922</v>
      </c>
      <c r="B1031" t="s">
        <v>96</v>
      </c>
      <c r="C1031" t="s">
        <v>989</v>
      </c>
    </row>
    <row r="1032" spans="1:3" x14ac:dyDescent="0.3">
      <c r="A1032" t="s">
        <v>1922</v>
      </c>
      <c r="B1032" t="s">
        <v>96</v>
      </c>
      <c r="C1032" t="s">
        <v>976</v>
      </c>
    </row>
    <row r="1033" spans="1:3" x14ac:dyDescent="0.3">
      <c r="A1033" t="s">
        <v>1922</v>
      </c>
      <c r="B1033" t="s">
        <v>96</v>
      </c>
      <c r="C1033" t="s">
        <v>983</v>
      </c>
    </row>
    <row r="1034" spans="1:3" x14ac:dyDescent="0.3">
      <c r="A1034" t="s">
        <v>1922</v>
      </c>
      <c r="B1034" t="s">
        <v>79</v>
      </c>
      <c r="C1034" t="s">
        <v>182</v>
      </c>
    </row>
    <row r="1035" spans="1:3" x14ac:dyDescent="0.3">
      <c r="A1035" t="s">
        <v>1922</v>
      </c>
      <c r="B1035" t="s">
        <v>79</v>
      </c>
      <c r="C1035" t="s">
        <v>81</v>
      </c>
    </row>
    <row r="1036" spans="1:3" x14ac:dyDescent="0.3">
      <c r="A1036" t="s">
        <v>1922</v>
      </c>
      <c r="B1036" t="s">
        <v>79</v>
      </c>
      <c r="C1036" t="s">
        <v>241</v>
      </c>
    </row>
    <row r="1037" spans="1:3" x14ac:dyDescent="0.3">
      <c r="A1037" t="s">
        <v>1922</v>
      </c>
      <c r="B1037" t="s">
        <v>79</v>
      </c>
      <c r="C1037" t="s">
        <v>1169</v>
      </c>
    </row>
    <row r="1038" spans="1:3" x14ac:dyDescent="0.3">
      <c r="A1038" t="s">
        <v>1922</v>
      </c>
      <c r="B1038" t="s">
        <v>79</v>
      </c>
      <c r="C1038" t="s">
        <v>163</v>
      </c>
    </row>
    <row r="1039" spans="1:3" x14ac:dyDescent="0.3">
      <c r="A1039" t="s">
        <v>35</v>
      </c>
      <c r="B1039" s="2" t="s">
        <v>96</v>
      </c>
      <c r="C1039" s="11" t="s">
        <v>175</v>
      </c>
    </row>
    <row r="1040" spans="1:3" x14ac:dyDescent="0.3">
      <c r="A1040" t="s">
        <v>35</v>
      </c>
      <c r="B1040" s="2" t="s">
        <v>96</v>
      </c>
      <c r="C1040" s="11" t="s">
        <v>1422</v>
      </c>
    </row>
    <row r="1041" spans="1:3" x14ac:dyDescent="0.3">
      <c r="A1041" t="s">
        <v>35</v>
      </c>
      <c r="B1041" s="2" t="s">
        <v>96</v>
      </c>
      <c r="C1041" s="12" t="s">
        <v>201</v>
      </c>
    </row>
    <row r="1042" spans="1:3" x14ac:dyDescent="0.3">
      <c r="A1042" t="s">
        <v>35</v>
      </c>
      <c r="B1042" s="2" t="s">
        <v>96</v>
      </c>
      <c r="C1042" s="2" t="s">
        <v>1869</v>
      </c>
    </row>
    <row r="1043" spans="1:3" x14ac:dyDescent="0.3">
      <c r="A1043" t="s">
        <v>35</v>
      </c>
      <c r="B1043" s="2" t="s">
        <v>96</v>
      </c>
      <c r="C1043" s="12" t="s">
        <v>3298</v>
      </c>
    </row>
    <row r="1044" spans="1:3" x14ac:dyDescent="0.3">
      <c r="A1044" t="s">
        <v>35</v>
      </c>
      <c r="B1044" s="2" t="s">
        <v>96</v>
      </c>
      <c r="C1044" s="12" t="s">
        <v>657</v>
      </c>
    </row>
    <row r="1045" spans="1:3" x14ac:dyDescent="0.3">
      <c r="A1045" t="s">
        <v>35</v>
      </c>
      <c r="B1045" s="2" t="s">
        <v>96</v>
      </c>
      <c r="C1045" s="12" t="s">
        <v>657</v>
      </c>
    </row>
    <row r="1046" spans="1:3" x14ac:dyDescent="0.3">
      <c r="A1046" t="s">
        <v>35</v>
      </c>
      <c r="B1046" t="s">
        <v>96</v>
      </c>
      <c r="C1046" t="s">
        <v>1827</v>
      </c>
    </row>
    <row r="1047" spans="1:3" x14ac:dyDescent="0.3">
      <c r="A1047" t="s">
        <v>35</v>
      </c>
      <c r="B1047" s="2" t="s">
        <v>79</v>
      </c>
      <c r="C1047" s="2" t="s">
        <v>182</v>
      </c>
    </row>
    <row r="1048" spans="1:3" x14ac:dyDescent="0.3">
      <c r="A1048" t="s">
        <v>35</v>
      </c>
      <c r="B1048" s="2" t="s">
        <v>79</v>
      </c>
      <c r="C1048" s="2" t="s">
        <v>81</v>
      </c>
    </row>
    <row r="1049" spans="1:3" x14ac:dyDescent="0.3">
      <c r="A1049" t="s">
        <v>2920</v>
      </c>
      <c r="B1049" t="s">
        <v>96</v>
      </c>
      <c r="C1049" t="s">
        <v>175</v>
      </c>
    </row>
    <row r="1050" spans="1:3" x14ac:dyDescent="0.3">
      <c r="A1050" t="s">
        <v>2920</v>
      </c>
      <c r="B1050" t="s">
        <v>96</v>
      </c>
      <c r="C1050" t="s">
        <v>1422</v>
      </c>
    </row>
    <row r="1051" spans="1:3" x14ac:dyDescent="0.3">
      <c r="A1051" t="s">
        <v>2920</v>
      </c>
      <c r="B1051" t="s">
        <v>96</v>
      </c>
      <c r="C1051" t="s">
        <v>2054</v>
      </c>
    </row>
    <row r="1052" spans="1:3" x14ac:dyDescent="0.3">
      <c r="A1052" t="s">
        <v>2920</v>
      </c>
      <c r="B1052" t="s">
        <v>96</v>
      </c>
      <c r="C1052" t="s">
        <v>1029</v>
      </c>
    </row>
    <row r="1053" spans="1:3" x14ac:dyDescent="0.3">
      <c r="A1053" t="s">
        <v>2920</v>
      </c>
      <c r="B1053" t="s">
        <v>96</v>
      </c>
      <c r="C1053" t="s">
        <v>3911</v>
      </c>
    </row>
    <row r="1054" spans="1:3" x14ac:dyDescent="0.3">
      <c r="A1054" t="s">
        <v>2920</v>
      </c>
      <c r="B1054" t="s">
        <v>96</v>
      </c>
      <c r="C1054" t="s">
        <v>97</v>
      </c>
    </row>
    <row r="1055" spans="1:3" x14ac:dyDescent="0.3">
      <c r="A1055" t="s">
        <v>2920</v>
      </c>
      <c r="B1055" t="s">
        <v>96</v>
      </c>
      <c r="C1055" t="s">
        <v>320</v>
      </c>
    </row>
    <row r="1056" spans="1:3" x14ac:dyDescent="0.3">
      <c r="A1056" t="s">
        <v>2920</v>
      </c>
      <c r="B1056" t="s">
        <v>96</v>
      </c>
      <c r="C1056" t="s">
        <v>169</v>
      </c>
    </row>
    <row r="1057" spans="1:3" x14ac:dyDescent="0.3">
      <c r="A1057" t="s">
        <v>2920</v>
      </c>
      <c r="B1057" t="s">
        <v>96</v>
      </c>
      <c r="C1057" t="s">
        <v>294</v>
      </c>
    </row>
    <row r="1058" spans="1:3" x14ac:dyDescent="0.3">
      <c r="A1058" t="s">
        <v>2920</v>
      </c>
      <c r="B1058" t="s">
        <v>96</v>
      </c>
      <c r="C1058" t="s">
        <v>288</v>
      </c>
    </row>
    <row r="1059" spans="1:3" x14ac:dyDescent="0.3">
      <c r="A1059" t="s">
        <v>2920</v>
      </c>
      <c r="B1059" t="s">
        <v>96</v>
      </c>
      <c r="C1059" t="s">
        <v>1308</v>
      </c>
    </row>
    <row r="1060" spans="1:3" x14ac:dyDescent="0.3">
      <c r="A1060" t="s">
        <v>2920</v>
      </c>
      <c r="B1060" t="s">
        <v>96</v>
      </c>
      <c r="C1060" t="s">
        <v>201</v>
      </c>
    </row>
    <row r="1061" spans="1:3" x14ac:dyDescent="0.3">
      <c r="A1061" t="s">
        <v>2920</v>
      </c>
      <c r="B1061" t="s">
        <v>96</v>
      </c>
      <c r="C1061" t="s">
        <v>107</v>
      </c>
    </row>
    <row r="1062" spans="1:3" x14ac:dyDescent="0.3">
      <c r="A1062" t="s">
        <v>2920</v>
      </c>
      <c r="B1062" t="s">
        <v>96</v>
      </c>
      <c r="C1062" t="s">
        <v>1869</v>
      </c>
    </row>
    <row r="1063" spans="1:3" x14ac:dyDescent="0.3">
      <c r="A1063" t="s">
        <v>2920</v>
      </c>
      <c r="B1063" t="s">
        <v>96</v>
      </c>
      <c r="C1063" t="s">
        <v>3298</v>
      </c>
    </row>
    <row r="1064" spans="1:3" x14ac:dyDescent="0.3">
      <c r="A1064" t="s">
        <v>2920</v>
      </c>
      <c r="B1064" t="s">
        <v>96</v>
      </c>
      <c r="C1064" t="s">
        <v>657</v>
      </c>
    </row>
    <row r="1065" spans="1:3" x14ac:dyDescent="0.3">
      <c r="A1065" t="s">
        <v>2920</v>
      </c>
      <c r="B1065" t="s">
        <v>96</v>
      </c>
      <c r="C1065" t="s">
        <v>507</v>
      </c>
    </row>
    <row r="1066" spans="1:3" x14ac:dyDescent="0.3">
      <c r="A1066" t="s">
        <v>2920</v>
      </c>
      <c r="B1066" t="s">
        <v>96</v>
      </c>
      <c r="C1066" t="s">
        <v>1698</v>
      </c>
    </row>
    <row r="1067" spans="1:3" x14ac:dyDescent="0.3">
      <c r="A1067" t="s">
        <v>2920</v>
      </c>
      <c r="B1067" t="s">
        <v>96</v>
      </c>
      <c r="C1067" t="s">
        <v>681</v>
      </c>
    </row>
    <row r="1068" spans="1:3" x14ac:dyDescent="0.3">
      <c r="A1068" t="s">
        <v>2920</v>
      </c>
      <c r="B1068" t="s">
        <v>96</v>
      </c>
      <c r="C1068" t="s">
        <v>1827</v>
      </c>
    </row>
    <row r="1069" spans="1:3" x14ac:dyDescent="0.3">
      <c r="A1069" t="s">
        <v>2920</v>
      </c>
      <c r="B1069" t="s">
        <v>96</v>
      </c>
      <c r="C1069" t="s">
        <v>3912</v>
      </c>
    </row>
    <row r="1070" spans="1:3" x14ac:dyDescent="0.3">
      <c r="A1070" t="s">
        <v>2920</v>
      </c>
      <c r="B1070" t="s">
        <v>96</v>
      </c>
      <c r="C1070" t="s">
        <v>3913</v>
      </c>
    </row>
    <row r="1071" spans="1:3" x14ac:dyDescent="0.3">
      <c r="A1071" t="s">
        <v>2920</v>
      </c>
      <c r="B1071" t="s">
        <v>96</v>
      </c>
      <c r="C1071" t="s">
        <v>1927</v>
      </c>
    </row>
    <row r="1072" spans="1:3" x14ac:dyDescent="0.3">
      <c r="A1072" t="s">
        <v>2920</v>
      </c>
      <c r="B1072" t="s">
        <v>96</v>
      </c>
      <c r="C1072" t="s">
        <v>989</v>
      </c>
    </row>
    <row r="1073" spans="1:3" x14ac:dyDescent="0.3">
      <c r="A1073" t="s">
        <v>2920</v>
      </c>
      <c r="B1073" t="s">
        <v>96</v>
      </c>
      <c r="C1073" t="s">
        <v>976</v>
      </c>
    </row>
    <row r="1074" spans="1:3" x14ac:dyDescent="0.3">
      <c r="A1074" t="s">
        <v>2920</v>
      </c>
      <c r="B1074" t="s">
        <v>96</v>
      </c>
      <c r="C1074" t="s">
        <v>983</v>
      </c>
    </row>
    <row r="1075" spans="1:3" x14ac:dyDescent="0.3">
      <c r="A1075" t="s">
        <v>2920</v>
      </c>
      <c r="B1075" t="s">
        <v>79</v>
      </c>
      <c r="C1075" t="s">
        <v>3914</v>
      </c>
    </row>
    <row r="1076" spans="1:3" x14ac:dyDescent="0.3">
      <c r="A1076" t="s">
        <v>2920</v>
      </c>
      <c r="B1076" t="s">
        <v>79</v>
      </c>
      <c r="C1076" t="s">
        <v>2261</v>
      </c>
    </row>
    <row r="1077" spans="1:3" x14ac:dyDescent="0.3">
      <c r="A1077" t="s">
        <v>2920</v>
      </c>
      <c r="B1077" t="s">
        <v>79</v>
      </c>
      <c r="C1077" t="s">
        <v>182</v>
      </c>
    </row>
    <row r="1078" spans="1:3" x14ac:dyDescent="0.3">
      <c r="A1078" t="s">
        <v>2920</v>
      </c>
      <c r="B1078" t="s">
        <v>79</v>
      </c>
      <c r="C1078" t="s">
        <v>81</v>
      </c>
    </row>
    <row r="1079" spans="1:3" x14ac:dyDescent="0.3">
      <c r="A1079" t="s">
        <v>2920</v>
      </c>
      <c r="B1079" t="s">
        <v>79</v>
      </c>
      <c r="C1079" t="s">
        <v>241</v>
      </c>
    </row>
    <row r="1080" spans="1:3" x14ac:dyDescent="0.3">
      <c r="A1080" t="s">
        <v>2920</v>
      </c>
      <c r="B1080" t="s">
        <v>79</v>
      </c>
      <c r="C1080" t="s">
        <v>1169</v>
      </c>
    </row>
    <row r="1081" spans="1:3" x14ac:dyDescent="0.3">
      <c r="A1081" t="s">
        <v>2920</v>
      </c>
      <c r="B1081" t="s">
        <v>79</v>
      </c>
      <c r="C1081" t="s">
        <v>533</v>
      </c>
    </row>
    <row r="1082" spans="1:3" x14ac:dyDescent="0.3">
      <c r="A1082" t="s">
        <v>2920</v>
      </c>
      <c r="B1082" t="s">
        <v>79</v>
      </c>
      <c r="C1082" t="s">
        <v>163</v>
      </c>
    </row>
    <row r="1083" spans="1:3" x14ac:dyDescent="0.3">
      <c r="A1083" t="s">
        <v>2920</v>
      </c>
      <c r="B1083" t="s">
        <v>79</v>
      </c>
      <c r="C1083" t="s">
        <v>3915</v>
      </c>
    </row>
    <row r="1084" spans="1:3" x14ac:dyDescent="0.3">
      <c r="A1084" t="s">
        <v>2920</v>
      </c>
      <c r="B1084" t="s">
        <v>853</v>
      </c>
      <c r="C1084" t="s">
        <v>854</v>
      </c>
    </row>
    <row r="1085" spans="1:3" x14ac:dyDescent="0.3">
      <c r="A1085" t="s">
        <v>2225</v>
      </c>
      <c r="B1085" t="s">
        <v>96</v>
      </c>
      <c r="C1085" t="s">
        <v>175</v>
      </c>
    </row>
    <row r="1086" spans="1:3" x14ac:dyDescent="0.3">
      <c r="A1086" t="s">
        <v>2225</v>
      </c>
      <c r="B1086" t="s">
        <v>96</v>
      </c>
      <c r="C1086" t="s">
        <v>1422</v>
      </c>
    </row>
    <row r="1087" spans="1:3" x14ac:dyDescent="0.3">
      <c r="A1087" t="s">
        <v>2225</v>
      </c>
      <c r="B1087" t="s">
        <v>96</v>
      </c>
      <c r="C1087" t="s">
        <v>2054</v>
      </c>
    </row>
    <row r="1088" spans="1:3" x14ac:dyDescent="0.3">
      <c r="A1088" t="s">
        <v>2225</v>
      </c>
      <c r="B1088" t="s">
        <v>96</v>
      </c>
      <c r="C1088" t="s">
        <v>1029</v>
      </c>
    </row>
    <row r="1089" spans="1:3" x14ac:dyDescent="0.3">
      <c r="A1089" t="s">
        <v>2225</v>
      </c>
      <c r="B1089" t="s">
        <v>96</v>
      </c>
      <c r="C1089" t="s">
        <v>3911</v>
      </c>
    </row>
    <row r="1090" spans="1:3" x14ac:dyDescent="0.3">
      <c r="A1090" t="s">
        <v>2225</v>
      </c>
      <c r="B1090" t="s">
        <v>96</v>
      </c>
      <c r="C1090" t="s">
        <v>97</v>
      </c>
    </row>
    <row r="1091" spans="1:3" x14ac:dyDescent="0.3">
      <c r="A1091" t="s">
        <v>2225</v>
      </c>
      <c r="B1091" t="s">
        <v>96</v>
      </c>
      <c r="C1091" t="s">
        <v>320</v>
      </c>
    </row>
    <row r="1092" spans="1:3" x14ac:dyDescent="0.3">
      <c r="A1092" t="s">
        <v>2225</v>
      </c>
      <c r="B1092" t="s">
        <v>96</v>
      </c>
      <c r="C1092" t="s">
        <v>169</v>
      </c>
    </row>
    <row r="1093" spans="1:3" x14ac:dyDescent="0.3">
      <c r="A1093" t="s">
        <v>2225</v>
      </c>
      <c r="B1093" t="s">
        <v>96</v>
      </c>
      <c r="C1093" t="s">
        <v>294</v>
      </c>
    </row>
    <row r="1094" spans="1:3" x14ac:dyDescent="0.3">
      <c r="A1094" t="s">
        <v>2225</v>
      </c>
      <c r="B1094" t="s">
        <v>96</v>
      </c>
      <c r="C1094" t="s">
        <v>288</v>
      </c>
    </row>
    <row r="1095" spans="1:3" x14ac:dyDescent="0.3">
      <c r="A1095" t="s">
        <v>2225</v>
      </c>
      <c r="B1095" t="s">
        <v>96</v>
      </c>
      <c r="C1095" t="s">
        <v>1308</v>
      </c>
    </row>
    <row r="1096" spans="1:3" x14ac:dyDescent="0.3">
      <c r="A1096" t="s">
        <v>2225</v>
      </c>
      <c r="B1096" t="s">
        <v>96</v>
      </c>
      <c r="C1096" t="s">
        <v>201</v>
      </c>
    </row>
    <row r="1097" spans="1:3" x14ac:dyDescent="0.3">
      <c r="A1097" t="s">
        <v>2225</v>
      </c>
      <c r="B1097" t="s">
        <v>96</v>
      </c>
      <c r="C1097" t="s">
        <v>107</v>
      </c>
    </row>
    <row r="1098" spans="1:3" x14ac:dyDescent="0.3">
      <c r="A1098" t="s">
        <v>2225</v>
      </c>
      <c r="B1098" t="s">
        <v>96</v>
      </c>
      <c r="C1098" t="s">
        <v>1869</v>
      </c>
    </row>
    <row r="1099" spans="1:3" x14ac:dyDescent="0.3">
      <c r="A1099" t="s">
        <v>2225</v>
      </c>
      <c r="B1099" t="s">
        <v>96</v>
      </c>
      <c r="C1099" t="s">
        <v>3298</v>
      </c>
    </row>
    <row r="1100" spans="1:3" x14ac:dyDescent="0.3">
      <c r="A1100" t="s">
        <v>2225</v>
      </c>
      <c r="B1100" t="s">
        <v>96</v>
      </c>
      <c r="C1100" t="s">
        <v>657</v>
      </c>
    </row>
    <row r="1101" spans="1:3" x14ac:dyDescent="0.3">
      <c r="A1101" t="s">
        <v>2225</v>
      </c>
      <c r="B1101" t="s">
        <v>96</v>
      </c>
      <c r="C1101" t="s">
        <v>507</v>
      </c>
    </row>
    <row r="1102" spans="1:3" x14ac:dyDescent="0.3">
      <c r="A1102" t="s">
        <v>2225</v>
      </c>
      <c r="B1102" t="s">
        <v>96</v>
      </c>
      <c r="C1102" t="s">
        <v>1698</v>
      </c>
    </row>
    <row r="1103" spans="1:3" x14ac:dyDescent="0.3">
      <c r="A1103" t="s">
        <v>2225</v>
      </c>
      <c r="B1103" t="s">
        <v>96</v>
      </c>
      <c r="C1103" t="s">
        <v>681</v>
      </c>
    </row>
    <row r="1104" spans="1:3" x14ac:dyDescent="0.3">
      <c r="A1104" t="s">
        <v>2225</v>
      </c>
      <c r="B1104" t="s">
        <v>96</v>
      </c>
      <c r="C1104" t="s">
        <v>1827</v>
      </c>
    </row>
    <row r="1105" spans="1:3" x14ac:dyDescent="0.3">
      <c r="A1105" t="s">
        <v>2225</v>
      </c>
      <c r="B1105" t="s">
        <v>96</v>
      </c>
      <c r="C1105" t="s">
        <v>3912</v>
      </c>
    </row>
    <row r="1106" spans="1:3" x14ac:dyDescent="0.3">
      <c r="A1106" t="s">
        <v>2225</v>
      </c>
      <c r="B1106" t="s">
        <v>96</v>
      </c>
      <c r="C1106" t="s">
        <v>3913</v>
      </c>
    </row>
    <row r="1107" spans="1:3" x14ac:dyDescent="0.3">
      <c r="A1107" t="s">
        <v>2225</v>
      </c>
      <c r="B1107" t="s">
        <v>96</v>
      </c>
      <c r="C1107" t="s">
        <v>1927</v>
      </c>
    </row>
    <row r="1108" spans="1:3" x14ac:dyDescent="0.3">
      <c r="A1108" t="s">
        <v>2225</v>
      </c>
      <c r="B1108" t="s">
        <v>96</v>
      </c>
      <c r="C1108" t="s">
        <v>989</v>
      </c>
    </row>
    <row r="1109" spans="1:3" x14ac:dyDescent="0.3">
      <c r="A1109" t="s">
        <v>2225</v>
      </c>
      <c r="B1109" t="s">
        <v>96</v>
      </c>
      <c r="C1109" t="s">
        <v>976</v>
      </c>
    </row>
    <row r="1110" spans="1:3" x14ac:dyDescent="0.3">
      <c r="A1110" t="s">
        <v>2225</v>
      </c>
      <c r="B1110" t="s">
        <v>96</v>
      </c>
      <c r="C1110" t="s">
        <v>983</v>
      </c>
    </row>
    <row r="1111" spans="1:3" x14ac:dyDescent="0.3">
      <c r="A1111" t="s">
        <v>2225</v>
      </c>
      <c r="B1111" t="s">
        <v>79</v>
      </c>
      <c r="C1111" t="s">
        <v>182</v>
      </c>
    </row>
    <row r="1112" spans="1:3" x14ac:dyDescent="0.3">
      <c r="A1112" t="s">
        <v>2225</v>
      </c>
      <c r="B1112" t="s">
        <v>79</v>
      </c>
      <c r="C1112" t="s">
        <v>81</v>
      </c>
    </row>
    <row r="1113" spans="1:3" x14ac:dyDescent="0.3">
      <c r="A1113" t="s">
        <v>2225</v>
      </c>
      <c r="B1113" t="s">
        <v>79</v>
      </c>
      <c r="C1113" t="s">
        <v>241</v>
      </c>
    </row>
    <row r="1114" spans="1:3" x14ac:dyDescent="0.3">
      <c r="A1114" t="s">
        <v>2225</v>
      </c>
      <c r="B1114" t="s">
        <v>79</v>
      </c>
      <c r="C1114" t="s">
        <v>1169</v>
      </c>
    </row>
    <row r="1115" spans="1:3" x14ac:dyDescent="0.3">
      <c r="A1115" t="s">
        <v>2225</v>
      </c>
      <c r="B1115" t="s">
        <v>79</v>
      </c>
      <c r="C1115" t="s">
        <v>533</v>
      </c>
    </row>
    <row r="1116" spans="1:3" x14ac:dyDescent="0.3">
      <c r="A1116" t="s">
        <v>2225</v>
      </c>
      <c r="B1116" t="s">
        <v>79</v>
      </c>
      <c r="C1116" t="s">
        <v>163</v>
      </c>
    </row>
    <row r="1117" spans="1:3" x14ac:dyDescent="0.3">
      <c r="A1117" t="s">
        <v>2448</v>
      </c>
      <c r="B1117" t="s">
        <v>79</v>
      </c>
      <c r="C1117" t="s">
        <v>182</v>
      </c>
    </row>
    <row r="1118" spans="1:3" x14ac:dyDescent="0.3">
      <c r="A1118" t="s">
        <v>2448</v>
      </c>
      <c r="B1118" t="s">
        <v>79</v>
      </c>
      <c r="C1118" t="s">
        <v>81</v>
      </c>
    </row>
    <row r="1119" spans="1:3" x14ac:dyDescent="0.3">
      <c r="A1119" t="s">
        <v>2448</v>
      </c>
      <c r="B1119" t="s">
        <v>79</v>
      </c>
      <c r="C1119" t="s">
        <v>241</v>
      </c>
    </row>
    <row r="1120" spans="1:3" x14ac:dyDescent="0.3">
      <c r="A1120" t="s">
        <v>2448</v>
      </c>
      <c r="B1120" t="s">
        <v>79</v>
      </c>
      <c r="C1120" t="s">
        <v>163</v>
      </c>
    </row>
    <row r="1121" spans="1:3" x14ac:dyDescent="0.3">
      <c r="A1121" t="s">
        <v>36</v>
      </c>
      <c r="B1121" s="2" t="s">
        <v>96</v>
      </c>
      <c r="C1121" s="12" t="s">
        <v>1029</v>
      </c>
    </row>
    <row r="1122" spans="1:3" x14ac:dyDescent="0.3">
      <c r="A1122" t="s">
        <v>36</v>
      </c>
      <c r="B1122" s="2" t="s">
        <v>79</v>
      </c>
      <c r="C1122" s="12" t="s">
        <v>241</v>
      </c>
    </row>
    <row r="1123" spans="1:3" x14ac:dyDescent="0.3">
      <c r="A1123" t="s">
        <v>37</v>
      </c>
      <c r="B1123" s="2" t="s">
        <v>79</v>
      </c>
      <c r="C1123" s="12" t="s">
        <v>241</v>
      </c>
    </row>
  </sheetData>
  <sortState xmlns:xlrd2="http://schemas.microsoft.com/office/spreadsheetml/2017/richdata2" ref="A2:C1123">
    <sortCondition ref="A2"/>
    <sortCondition ref="B2"/>
    <sortCondition ref="C2"/>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F8742-6831-4433-96EA-026D6CFE9AF1}">
  <sheetPr codeName="Feuil7"/>
  <dimension ref="A1:F55"/>
  <sheetViews>
    <sheetView topLeftCell="A10" workbookViewId="0">
      <selection activeCell="F53" sqref="F53:F54"/>
    </sheetView>
  </sheetViews>
  <sheetFormatPr baseColWidth="10" defaultColWidth="11.44140625" defaultRowHeight="14.4" x14ac:dyDescent="0.3"/>
  <cols>
    <col min="1" max="1" width="24.5546875" bestFit="1" customWidth="1"/>
    <col min="3" max="3" width="55.44140625" bestFit="1" customWidth="1"/>
    <col min="4" max="4" width="76.44140625" bestFit="1" customWidth="1"/>
    <col min="6" max="6" width="76.5546875" bestFit="1" customWidth="1"/>
  </cols>
  <sheetData>
    <row r="1" spans="1:6" x14ac:dyDescent="0.3">
      <c r="A1" s="1" t="s">
        <v>3904</v>
      </c>
      <c r="B1" t="s">
        <v>3909</v>
      </c>
      <c r="C1" t="s">
        <v>56</v>
      </c>
      <c r="D1" s="1" t="s">
        <v>3916</v>
      </c>
    </row>
    <row r="2" spans="1:6" x14ac:dyDescent="0.3">
      <c r="A2" t="s">
        <v>30</v>
      </c>
      <c r="B2" t="s">
        <v>79</v>
      </c>
      <c r="C2" t="s">
        <v>182</v>
      </c>
      <c r="D2" t="s">
        <v>211</v>
      </c>
      <c r="F2" t="str">
        <f>A2&amp;"_"&amp;B2&amp;"_"&amp;C2</f>
        <v>SANICOTHERM_Classe 6_615222 - Classe 6 Travaux Pôle</v>
      </c>
    </row>
    <row r="3" spans="1:6" x14ac:dyDescent="0.3">
      <c r="A3" t="s">
        <v>30</v>
      </c>
      <c r="B3" t="s">
        <v>79</v>
      </c>
      <c r="C3" t="s">
        <v>81</v>
      </c>
      <c r="D3" t="s">
        <v>211</v>
      </c>
      <c r="F3" t="str">
        <f t="shared" ref="F3:F55" si="0">A3&amp;"_"&amp;B3&amp;"_"&amp;C3</f>
        <v>SANICOTHERM_Classe 6_615223 - Classe 6 Travaux Hors Pôle</v>
      </c>
    </row>
    <row r="4" spans="1:6" x14ac:dyDescent="0.3">
      <c r="A4" t="s">
        <v>30</v>
      </c>
      <c r="B4" t="s">
        <v>79</v>
      </c>
      <c r="C4" t="s">
        <v>182</v>
      </c>
      <c r="D4" t="s">
        <v>82</v>
      </c>
      <c r="F4" t="str">
        <f t="shared" si="0"/>
        <v>SANICOTHERM_Classe 6_615222 - Classe 6 Travaux Pôle</v>
      </c>
    </row>
    <row r="5" spans="1:6" x14ac:dyDescent="0.3">
      <c r="A5" t="s">
        <v>30</v>
      </c>
      <c r="B5" t="s">
        <v>79</v>
      </c>
      <c r="C5" t="s">
        <v>81</v>
      </c>
      <c r="D5" t="s">
        <v>82</v>
      </c>
      <c r="F5" t="str">
        <f t="shared" si="0"/>
        <v>SANICOTHERM_Classe 6_615223 - Classe 6 Travaux Hors Pôle</v>
      </c>
    </row>
    <row r="6" spans="1:6" x14ac:dyDescent="0.3">
      <c r="A6" t="s">
        <v>11</v>
      </c>
      <c r="B6" t="s">
        <v>79</v>
      </c>
      <c r="C6" t="s">
        <v>182</v>
      </c>
      <c r="D6" t="s">
        <v>211</v>
      </c>
      <c r="F6" t="str">
        <f t="shared" si="0"/>
        <v>ART ET LE BOIS_Classe 6_615222 - Classe 6 Travaux Pôle</v>
      </c>
    </row>
    <row r="7" spans="1:6" x14ac:dyDescent="0.3">
      <c r="A7" t="s">
        <v>11</v>
      </c>
      <c r="B7" t="s">
        <v>79</v>
      </c>
      <c r="C7" t="s">
        <v>81</v>
      </c>
      <c r="D7" t="s">
        <v>211</v>
      </c>
      <c r="F7" t="str">
        <f t="shared" si="0"/>
        <v>ART ET LE BOIS_Classe 6_615223 - Classe 6 Travaux Hors Pôle</v>
      </c>
    </row>
    <row r="8" spans="1:6" x14ac:dyDescent="0.3">
      <c r="A8" t="s">
        <v>11</v>
      </c>
      <c r="B8" t="s">
        <v>79</v>
      </c>
      <c r="C8" t="s">
        <v>182</v>
      </c>
      <c r="D8" t="s">
        <v>82</v>
      </c>
      <c r="F8" t="str">
        <f t="shared" si="0"/>
        <v>ART ET LE BOIS_Classe 6_615222 - Classe 6 Travaux Pôle</v>
      </c>
    </row>
    <row r="9" spans="1:6" x14ac:dyDescent="0.3">
      <c r="A9" t="s">
        <v>11</v>
      </c>
      <c r="B9" t="s">
        <v>79</v>
      </c>
      <c r="C9" t="s">
        <v>81</v>
      </c>
      <c r="D9" t="s">
        <v>82</v>
      </c>
      <c r="F9" t="str">
        <f t="shared" si="0"/>
        <v>ART ET LE BOIS_Classe 6_615223 - Classe 6 Travaux Hors Pôle</v>
      </c>
    </row>
    <row r="10" spans="1:6" x14ac:dyDescent="0.3">
      <c r="A10" t="s">
        <v>28</v>
      </c>
      <c r="B10" t="s">
        <v>79</v>
      </c>
      <c r="C10" t="s">
        <v>182</v>
      </c>
      <c r="D10" t="s">
        <v>82</v>
      </c>
      <c r="F10" t="str">
        <f t="shared" si="0"/>
        <v>LES PEINTURES PARISIENNES_Classe 6_615222 - Classe 6 Travaux Pôle</v>
      </c>
    </row>
    <row r="11" spans="1:6" x14ac:dyDescent="0.3">
      <c r="A11" t="s">
        <v>28</v>
      </c>
      <c r="B11" t="s">
        <v>79</v>
      </c>
      <c r="C11" t="s">
        <v>81</v>
      </c>
      <c r="D11" t="s">
        <v>82</v>
      </c>
      <c r="F11" t="str">
        <f t="shared" si="0"/>
        <v>LES PEINTURES PARISIENNES_Classe 6_615223 - Classe 6 Travaux Hors Pôle</v>
      </c>
    </row>
    <row r="12" spans="1:6" x14ac:dyDescent="0.3">
      <c r="A12" t="s">
        <v>35</v>
      </c>
      <c r="B12" t="s">
        <v>79</v>
      </c>
      <c r="C12" t="s">
        <v>182</v>
      </c>
      <c r="D12" t="s">
        <v>215</v>
      </c>
      <c r="F12" t="str">
        <f t="shared" si="0"/>
        <v>TBES_Classe 6_615222 - Classe 6 Travaux Pôle</v>
      </c>
    </row>
    <row r="13" spans="1:6" x14ac:dyDescent="0.3">
      <c r="A13" t="s">
        <v>35</v>
      </c>
      <c r="B13" t="s">
        <v>79</v>
      </c>
      <c r="C13" t="s">
        <v>81</v>
      </c>
      <c r="D13" t="s">
        <v>215</v>
      </c>
      <c r="F13" t="str">
        <f t="shared" si="0"/>
        <v>TBES_Classe 6_615223 - Classe 6 Travaux Hors Pôle</v>
      </c>
    </row>
    <row r="14" spans="1:6" x14ac:dyDescent="0.3">
      <c r="A14" t="s">
        <v>35</v>
      </c>
      <c r="B14" t="s">
        <v>79</v>
      </c>
      <c r="C14" t="s">
        <v>182</v>
      </c>
      <c r="D14" t="s">
        <v>426</v>
      </c>
      <c r="F14" t="str">
        <f t="shared" si="0"/>
        <v>TBES_Classe 6_615222 - Classe 6 Travaux Pôle</v>
      </c>
    </row>
    <row r="15" spans="1:6" x14ac:dyDescent="0.3">
      <c r="A15" t="s">
        <v>35</v>
      </c>
      <c r="B15" t="s">
        <v>79</v>
      </c>
      <c r="C15" t="s">
        <v>81</v>
      </c>
      <c r="D15" t="s">
        <v>426</v>
      </c>
      <c r="F15" t="str">
        <f t="shared" si="0"/>
        <v>TBES_Classe 6_615223 - Classe 6 Travaux Hors Pôle</v>
      </c>
    </row>
    <row r="16" spans="1:6" x14ac:dyDescent="0.3">
      <c r="A16" t="s">
        <v>15</v>
      </c>
      <c r="B16" t="s">
        <v>79</v>
      </c>
      <c r="C16" t="s">
        <v>182</v>
      </c>
      <c r="D16" t="s">
        <v>517</v>
      </c>
      <c r="F16" t="str">
        <f t="shared" si="0"/>
        <v>BSMG_Classe 6_615222 - Classe 6 Travaux Pôle</v>
      </c>
    </row>
    <row r="17" spans="1:6" x14ac:dyDescent="0.3">
      <c r="A17" t="s">
        <v>15</v>
      </c>
      <c r="B17" t="s">
        <v>79</v>
      </c>
      <c r="C17" t="s">
        <v>81</v>
      </c>
      <c r="D17" t="s">
        <v>517</v>
      </c>
      <c r="F17" t="str">
        <f t="shared" si="0"/>
        <v>BSMG_Classe 6_615223 - Classe 6 Travaux Hors Pôle</v>
      </c>
    </row>
    <row r="18" spans="1:6" x14ac:dyDescent="0.3">
      <c r="A18" t="s">
        <v>15</v>
      </c>
      <c r="B18" t="s">
        <v>79</v>
      </c>
      <c r="C18" t="s">
        <v>182</v>
      </c>
      <c r="D18" t="s">
        <v>139</v>
      </c>
      <c r="F18" t="str">
        <f t="shared" si="0"/>
        <v>BSMG_Classe 6_615222 - Classe 6 Travaux Pôle</v>
      </c>
    </row>
    <row r="19" spans="1:6" x14ac:dyDescent="0.3">
      <c r="A19" t="s">
        <v>15</v>
      </c>
      <c r="B19" t="s">
        <v>79</v>
      </c>
      <c r="C19" t="s">
        <v>81</v>
      </c>
      <c r="D19" t="s">
        <v>139</v>
      </c>
      <c r="F19" t="str">
        <f t="shared" si="0"/>
        <v>BSMG_Classe 6_615223 - Classe 6 Travaux Hors Pôle</v>
      </c>
    </row>
    <row r="20" spans="1:6" x14ac:dyDescent="0.3">
      <c r="A20" t="s">
        <v>15</v>
      </c>
      <c r="B20" t="s">
        <v>79</v>
      </c>
      <c r="C20" t="s">
        <v>182</v>
      </c>
      <c r="D20" t="s">
        <v>577</v>
      </c>
      <c r="F20" t="str">
        <f t="shared" si="0"/>
        <v>BSMG_Classe 6_615222 - Classe 6 Travaux Pôle</v>
      </c>
    </row>
    <row r="21" spans="1:6" x14ac:dyDescent="0.3">
      <c r="A21" t="s">
        <v>15</v>
      </c>
      <c r="B21" t="s">
        <v>79</v>
      </c>
      <c r="C21" t="s">
        <v>81</v>
      </c>
      <c r="D21" t="s">
        <v>577</v>
      </c>
      <c r="F21" t="str">
        <f t="shared" si="0"/>
        <v>BSMG_Classe 6_615223 - Classe 6 Travaux Hors Pôle</v>
      </c>
    </row>
    <row r="22" spans="1:6" x14ac:dyDescent="0.3">
      <c r="A22" t="s">
        <v>19</v>
      </c>
      <c r="B22" t="s">
        <v>79</v>
      </c>
      <c r="C22" t="s">
        <v>182</v>
      </c>
      <c r="D22" t="s">
        <v>211</v>
      </c>
      <c r="F22" t="str">
        <f t="shared" si="0"/>
        <v>COBAT_Classe 6_615222 - Classe 6 Travaux Pôle</v>
      </c>
    </row>
    <row r="23" spans="1:6" x14ac:dyDescent="0.3">
      <c r="A23" t="s">
        <v>19</v>
      </c>
      <c r="B23" t="s">
        <v>79</v>
      </c>
      <c r="C23" t="s">
        <v>81</v>
      </c>
      <c r="D23" t="s">
        <v>211</v>
      </c>
      <c r="F23" t="str">
        <f t="shared" si="0"/>
        <v>COBAT_Classe 6_615223 - Classe 6 Travaux Hors Pôle</v>
      </c>
    </row>
    <row r="24" spans="1:6" x14ac:dyDescent="0.3">
      <c r="A24" t="s">
        <v>151</v>
      </c>
      <c r="B24" t="s">
        <v>79</v>
      </c>
      <c r="C24" t="s">
        <v>182</v>
      </c>
      <c r="D24" t="s">
        <v>82</v>
      </c>
      <c r="F24" t="str">
        <f>A24&amp;"_"&amp;B24&amp;"_"&amp;C24</f>
        <v>CMP_Classe 6_615222 - Classe 6 Travaux Pôle</v>
      </c>
    </row>
    <row r="25" spans="1:6" x14ac:dyDescent="0.3">
      <c r="A25" t="s">
        <v>151</v>
      </c>
      <c r="B25" t="s">
        <v>79</v>
      </c>
      <c r="C25" t="s">
        <v>81</v>
      </c>
      <c r="D25" t="s">
        <v>82</v>
      </c>
      <c r="F25" t="str">
        <f>A25&amp;"_"&amp;B25&amp;"_"&amp;C25</f>
        <v>CMP_Classe 6_615223 - Classe 6 Travaux Hors Pôle</v>
      </c>
    </row>
    <row r="26" spans="1:6" x14ac:dyDescent="0.3">
      <c r="A26" t="s">
        <v>32</v>
      </c>
      <c r="B26" t="s">
        <v>79</v>
      </c>
      <c r="C26" t="s">
        <v>182</v>
      </c>
      <c r="D26" t="s">
        <v>211</v>
      </c>
      <c r="F26" t="str">
        <f t="shared" si="0"/>
        <v>SCHNEIDER_Classe 6_615222 - Classe 6 Travaux Pôle</v>
      </c>
    </row>
    <row r="27" spans="1:6" x14ac:dyDescent="0.3">
      <c r="A27" t="s">
        <v>32</v>
      </c>
      <c r="B27" t="s">
        <v>79</v>
      </c>
      <c r="C27" t="s">
        <v>81</v>
      </c>
      <c r="D27" t="s">
        <v>211</v>
      </c>
      <c r="F27" t="str">
        <f t="shared" si="0"/>
        <v>SCHNEIDER_Classe 6_615223 - Classe 6 Travaux Hors Pôle</v>
      </c>
    </row>
    <row r="28" spans="1:6" x14ac:dyDescent="0.3">
      <c r="A28" t="s">
        <v>1</v>
      </c>
      <c r="B28" t="s">
        <v>79</v>
      </c>
      <c r="C28" t="s">
        <v>182</v>
      </c>
      <c r="D28" t="s">
        <v>82</v>
      </c>
      <c r="F28" t="str">
        <f t="shared" si="0"/>
        <v>ABPSI_Classe 6_615222 - Classe 6 Travaux Pôle</v>
      </c>
    </row>
    <row r="29" spans="1:6" x14ac:dyDescent="0.3">
      <c r="A29" t="s">
        <v>1</v>
      </c>
      <c r="B29" t="s">
        <v>79</v>
      </c>
      <c r="C29" t="s">
        <v>81</v>
      </c>
      <c r="D29" t="s">
        <v>82</v>
      </c>
      <c r="F29" t="str">
        <f t="shared" si="0"/>
        <v>ABPSI_Classe 6_615223 - Classe 6 Travaux Hors Pôle</v>
      </c>
    </row>
    <row r="30" spans="1:6" x14ac:dyDescent="0.3">
      <c r="A30" t="s">
        <v>34</v>
      </c>
      <c r="B30" t="s">
        <v>79</v>
      </c>
      <c r="C30" t="s">
        <v>182</v>
      </c>
      <c r="D30" t="s">
        <v>267</v>
      </c>
      <c r="F30" t="str">
        <f t="shared" si="0"/>
        <v>SNTPP_Classe 6_615222 - Classe 6 Travaux Pôle</v>
      </c>
    </row>
    <row r="31" spans="1:6" x14ac:dyDescent="0.3">
      <c r="A31" t="s">
        <v>34</v>
      </c>
      <c r="B31" t="s">
        <v>79</v>
      </c>
      <c r="C31" t="s">
        <v>81</v>
      </c>
      <c r="D31" t="s">
        <v>267</v>
      </c>
      <c r="F31" t="str">
        <f t="shared" si="0"/>
        <v>SNTPP_Classe 6_615223 - Classe 6 Travaux Hors Pôle</v>
      </c>
    </row>
    <row r="32" spans="1:6" x14ac:dyDescent="0.3">
      <c r="A32" t="s">
        <v>25</v>
      </c>
      <c r="B32" t="s">
        <v>79</v>
      </c>
      <c r="C32" t="s">
        <v>182</v>
      </c>
      <c r="D32" t="s">
        <v>82</v>
      </c>
      <c r="F32" t="str">
        <f t="shared" si="0"/>
        <v>FDS CORPUS_Classe 6_615222 - Classe 6 Travaux Pôle</v>
      </c>
    </row>
    <row r="33" spans="1:6" x14ac:dyDescent="0.3">
      <c r="A33" t="s">
        <v>25</v>
      </c>
      <c r="B33" t="s">
        <v>79</v>
      </c>
      <c r="C33" t="s">
        <v>81</v>
      </c>
      <c r="D33" t="s">
        <v>82</v>
      </c>
      <c r="F33" t="str">
        <f t="shared" si="0"/>
        <v>FDS CORPUS_Classe 6_615223 - Classe 6 Travaux Hors Pôle</v>
      </c>
    </row>
    <row r="34" spans="1:6" x14ac:dyDescent="0.3">
      <c r="A34" t="s">
        <v>33</v>
      </c>
      <c r="B34" t="s">
        <v>79</v>
      </c>
      <c r="C34" t="s">
        <v>182</v>
      </c>
      <c r="D34" t="s">
        <v>234</v>
      </c>
      <c r="F34" t="str">
        <f t="shared" si="0"/>
        <v>SEA_Classe 6_615222 - Classe 6 Travaux Pôle</v>
      </c>
    </row>
    <row r="35" spans="1:6" x14ac:dyDescent="0.3">
      <c r="A35" t="s">
        <v>33</v>
      </c>
      <c r="B35" t="s">
        <v>79</v>
      </c>
      <c r="C35" t="s">
        <v>81</v>
      </c>
      <c r="D35" t="s">
        <v>234</v>
      </c>
      <c r="F35" t="str">
        <f t="shared" si="0"/>
        <v>SEA_Classe 6_615223 - Classe 6 Travaux Hors Pôle</v>
      </c>
    </row>
    <row r="36" spans="1:6" x14ac:dyDescent="0.3">
      <c r="A36" t="s">
        <v>13</v>
      </c>
      <c r="B36" t="s">
        <v>79</v>
      </c>
      <c r="C36" t="s">
        <v>182</v>
      </c>
      <c r="D36" t="s">
        <v>3608</v>
      </c>
      <c r="F36" t="str">
        <f t="shared" si="0"/>
        <v>AVENIR DECONSTRUCTION_Classe 6_615222 - Classe 6 Travaux Pôle</v>
      </c>
    </row>
    <row r="37" spans="1:6" x14ac:dyDescent="0.3">
      <c r="A37" t="s">
        <v>13</v>
      </c>
      <c r="B37" t="s">
        <v>79</v>
      </c>
      <c r="C37" t="s">
        <v>81</v>
      </c>
      <c r="D37" t="s">
        <v>3608</v>
      </c>
      <c r="F37" t="str">
        <f t="shared" si="0"/>
        <v>AVENIR DECONSTRUCTION_Classe 6_615223 - Classe 6 Travaux Hors Pôle</v>
      </c>
    </row>
    <row r="38" spans="1:6" x14ac:dyDescent="0.3">
      <c r="A38" t="s">
        <v>5</v>
      </c>
      <c r="B38" t="s">
        <v>79</v>
      </c>
      <c r="C38" t="s">
        <v>182</v>
      </c>
      <c r="D38" t="s">
        <v>82</v>
      </c>
      <c r="F38" t="str">
        <f t="shared" si="0"/>
        <v>AC2P_Classe 6_615222 - Classe 6 Travaux Pôle</v>
      </c>
    </row>
    <row r="39" spans="1:6" x14ac:dyDescent="0.3">
      <c r="A39" t="s">
        <v>5</v>
      </c>
      <c r="B39" t="s">
        <v>79</v>
      </c>
      <c r="C39" t="s">
        <v>81</v>
      </c>
      <c r="D39" t="s">
        <v>82</v>
      </c>
      <c r="F39" t="str">
        <f t="shared" si="0"/>
        <v>AC2P_Classe 6_615223 - Classe 6 Travaux Hors Pôle</v>
      </c>
    </row>
    <row r="40" spans="1:6" x14ac:dyDescent="0.3">
      <c r="A40" t="s">
        <v>31</v>
      </c>
      <c r="B40" t="s">
        <v>79</v>
      </c>
      <c r="C40" s="8" t="s">
        <v>241</v>
      </c>
      <c r="D40" t="s">
        <v>242</v>
      </c>
      <c r="F40" t="str">
        <f t="shared" si="0"/>
        <v>SCHINDLER_Classe 6_6152582 - Classe 6 Maintenance Hors Forfait</v>
      </c>
    </row>
    <row r="41" spans="1:6" x14ac:dyDescent="0.3">
      <c r="A41" t="s">
        <v>17</v>
      </c>
      <c r="B41" t="s">
        <v>79</v>
      </c>
      <c r="C41" s="8" t="s">
        <v>241</v>
      </c>
      <c r="D41" t="s">
        <v>517</v>
      </c>
      <c r="F41" t="str">
        <f t="shared" si="0"/>
        <v>CLIMATER_Classe 6_6152582 - Classe 6 Maintenance Hors Forfait</v>
      </c>
    </row>
    <row r="42" spans="1:6" x14ac:dyDescent="0.3">
      <c r="A42" t="s">
        <v>17</v>
      </c>
      <c r="B42" t="s">
        <v>79</v>
      </c>
      <c r="C42" s="8" t="s">
        <v>241</v>
      </c>
      <c r="D42" t="s">
        <v>252</v>
      </c>
      <c r="F42" t="str">
        <f t="shared" si="0"/>
        <v>CLIMATER_Classe 6_6152582 - Classe 6 Maintenance Hors Forfait</v>
      </c>
    </row>
    <row r="43" spans="1:6" x14ac:dyDescent="0.3">
      <c r="A43" t="s">
        <v>36</v>
      </c>
      <c r="B43" t="s">
        <v>79</v>
      </c>
      <c r="C43" s="8" t="s">
        <v>241</v>
      </c>
      <c r="D43" t="s">
        <v>252</v>
      </c>
      <c r="F43" t="str">
        <f t="shared" si="0"/>
        <v>UTB_Classe 6_6152582 - Classe 6 Maintenance Hors Forfait</v>
      </c>
    </row>
    <row r="44" spans="1:6" x14ac:dyDescent="0.3">
      <c r="A44" t="s">
        <v>23</v>
      </c>
      <c r="B44" t="s">
        <v>79</v>
      </c>
      <c r="C44" s="8" t="s">
        <v>241</v>
      </c>
      <c r="D44" t="s">
        <v>643</v>
      </c>
      <c r="F44" t="str">
        <f t="shared" si="0"/>
        <v>ERIS_Classe 6_6152582 - Classe 6 Maintenance Hors Forfait</v>
      </c>
    </row>
    <row r="45" spans="1:6" x14ac:dyDescent="0.3">
      <c r="A45" t="s">
        <v>1357</v>
      </c>
      <c r="B45" t="s">
        <v>79</v>
      </c>
      <c r="C45" s="8" t="s">
        <v>241</v>
      </c>
      <c r="D45" t="s">
        <v>381</v>
      </c>
      <c r="F45" t="str">
        <f>A45&amp;"_"&amp;B45&amp;"_"&amp;C45</f>
        <v>EAU+_Classe 6_6152582 - Classe 6 Maintenance Hors Forfait</v>
      </c>
    </row>
    <row r="46" spans="1:6" x14ac:dyDescent="0.3">
      <c r="A46" t="s">
        <v>29</v>
      </c>
      <c r="B46" t="s">
        <v>79</v>
      </c>
      <c r="C46" s="8" t="s">
        <v>241</v>
      </c>
      <c r="D46" t="s">
        <v>261</v>
      </c>
      <c r="F46" t="str">
        <f t="shared" si="0"/>
        <v>ROUGNON_Classe 6_6152582 - Classe 6 Maintenance Hors Forfait</v>
      </c>
    </row>
    <row r="47" spans="1:6" x14ac:dyDescent="0.3">
      <c r="A47" t="s">
        <v>7</v>
      </c>
      <c r="B47" t="s">
        <v>79</v>
      </c>
      <c r="C47" s="8" t="s">
        <v>241</v>
      </c>
      <c r="D47" t="s">
        <v>261</v>
      </c>
      <c r="F47" t="str">
        <f t="shared" si="0"/>
        <v>AGS_Classe 6_6152582 - Classe 6 Maintenance Hors Forfait</v>
      </c>
    </row>
    <row r="48" spans="1:6" x14ac:dyDescent="0.3">
      <c r="A48" t="s">
        <v>27</v>
      </c>
      <c r="B48" t="s">
        <v>79</v>
      </c>
      <c r="C48" s="8" t="s">
        <v>241</v>
      </c>
      <c r="D48" t="s">
        <v>381</v>
      </c>
      <c r="F48" t="str">
        <f t="shared" si="0"/>
        <v>GULDAGIL_Classe 6_6152582 - Classe 6 Maintenance Hors Forfait</v>
      </c>
    </row>
    <row r="49" spans="1:6" x14ac:dyDescent="0.3">
      <c r="A49" t="s">
        <v>37</v>
      </c>
      <c r="B49" t="s">
        <v>79</v>
      </c>
      <c r="C49" s="8" t="s">
        <v>241</v>
      </c>
      <c r="D49" t="s">
        <v>367</v>
      </c>
      <c r="F49" t="str">
        <f t="shared" si="0"/>
        <v>VULCAIN_Classe 6_6152582 - Classe 6 Maintenance Hors Forfait</v>
      </c>
    </row>
    <row r="50" spans="1:6" x14ac:dyDescent="0.3">
      <c r="A50" t="s">
        <v>21</v>
      </c>
      <c r="B50" t="s">
        <v>79</v>
      </c>
      <c r="C50" s="8" t="s">
        <v>533</v>
      </c>
      <c r="D50" t="s">
        <v>534</v>
      </c>
      <c r="F50" t="str">
        <f t="shared" si="0"/>
        <v>DALKIA_Classe 6_628811 - Prestations chauffage P2/Px</v>
      </c>
    </row>
    <row r="51" spans="1:6" x14ac:dyDescent="0.3">
      <c r="A51" t="s">
        <v>21</v>
      </c>
      <c r="B51" t="s">
        <v>853</v>
      </c>
      <c r="C51" s="8" t="s">
        <v>854</v>
      </c>
      <c r="D51" t="s">
        <v>534</v>
      </c>
      <c r="F51" t="str">
        <f t="shared" si="0"/>
        <v>DALKIA_Fictif_P3</v>
      </c>
    </row>
    <row r="52" spans="1:6" x14ac:dyDescent="0.3">
      <c r="A52" t="s">
        <v>3</v>
      </c>
      <c r="B52" t="s">
        <v>79</v>
      </c>
      <c r="C52" t="s">
        <v>182</v>
      </c>
      <c r="D52" t="s">
        <v>3917</v>
      </c>
      <c r="F52" t="str">
        <f t="shared" si="0"/>
        <v>AC ENVIRONNEMENT_Classe 6_615222 - Classe 6 Travaux Pôle</v>
      </c>
    </row>
    <row r="53" spans="1:6" x14ac:dyDescent="0.3">
      <c r="A53" t="s">
        <v>3</v>
      </c>
      <c r="B53" t="s">
        <v>79</v>
      </c>
      <c r="C53" t="s">
        <v>81</v>
      </c>
      <c r="D53" t="s">
        <v>3917</v>
      </c>
      <c r="F53" t="str">
        <f t="shared" si="0"/>
        <v>AC ENVIRONNEMENT_Classe 6_615223 - Classe 6 Travaux Hors Pôle</v>
      </c>
    </row>
    <row r="54" spans="1:6" x14ac:dyDescent="0.3">
      <c r="A54" t="s">
        <v>9</v>
      </c>
      <c r="B54" t="s">
        <v>79</v>
      </c>
      <c r="C54" s="8" t="s">
        <v>163</v>
      </c>
      <c r="D54" t="s">
        <v>1085</v>
      </c>
      <c r="F54" t="str">
        <f t="shared" si="0"/>
        <v>APAVE_Classe 6_62884 - Classe 6 Autres presta diverses DPT (Vérif. Réglementaires)</v>
      </c>
    </row>
    <row r="55" spans="1:6" x14ac:dyDescent="0.3">
      <c r="A55" t="s">
        <v>1168</v>
      </c>
      <c r="B55" t="s">
        <v>79</v>
      </c>
      <c r="C55" t="s">
        <v>1169</v>
      </c>
      <c r="D55" t="s">
        <v>1085</v>
      </c>
      <c r="F55" t="str">
        <f t="shared" si="0"/>
        <v>NEPSEN_Classe 6_62281 - Classe 6 Autres rémunération et honoraires</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F0F2B-B9C6-414D-963F-9BF6124CC423}">
  <sheetPr codeName="Feuil8"/>
  <dimension ref="A1:F711"/>
  <sheetViews>
    <sheetView topLeftCell="C1" workbookViewId="0">
      <selection activeCell="F2" sqref="F2:F680"/>
    </sheetView>
  </sheetViews>
  <sheetFormatPr baseColWidth="10" defaultColWidth="11.44140625" defaultRowHeight="14.4" x14ac:dyDescent="0.3"/>
  <cols>
    <col min="1" max="1" width="24.5546875" bestFit="1" customWidth="1"/>
    <col min="3" max="3" width="82" bestFit="1" customWidth="1"/>
    <col min="4" max="4" width="45.5546875" bestFit="1" customWidth="1"/>
    <col min="5" max="5" width="103.5546875" bestFit="1" customWidth="1"/>
    <col min="6" max="6" width="11.44140625" style="112"/>
  </cols>
  <sheetData>
    <row r="1" spans="1:6" x14ac:dyDescent="0.3">
      <c r="A1" s="1" t="s">
        <v>3904</v>
      </c>
      <c r="B1" t="s">
        <v>3909</v>
      </c>
      <c r="C1" t="s">
        <v>56</v>
      </c>
      <c r="D1" s="1" t="s">
        <v>3918</v>
      </c>
      <c r="F1" s="112" t="s">
        <v>3919</v>
      </c>
    </row>
    <row r="2" spans="1:6" x14ac:dyDescent="0.3">
      <c r="A2" t="s">
        <v>1</v>
      </c>
      <c r="B2" t="s">
        <v>96</v>
      </c>
      <c r="C2" s="8" t="s">
        <v>288</v>
      </c>
      <c r="D2" t="s">
        <v>3920</v>
      </c>
      <c r="E2" t="str">
        <f>A2&amp;"_"&amp;B2&amp;"_"&amp;C2</f>
        <v>ABPSI_Classe 2_21351820 - Autres IGAAC : Petits travaux et agencement</v>
      </c>
      <c r="F2" s="112" t="s">
        <v>3921</v>
      </c>
    </row>
    <row r="3" spans="1:6" x14ac:dyDescent="0.3">
      <c r="A3" t="s">
        <v>1</v>
      </c>
      <c r="B3" t="s">
        <v>96</v>
      </c>
      <c r="C3" s="8" t="s">
        <v>288</v>
      </c>
      <c r="D3" t="s">
        <v>38</v>
      </c>
      <c r="E3" t="str">
        <f>A3&amp;"_"&amp;B3&amp;"_"&amp;C3</f>
        <v>ABPSI_Classe 2_21351820 - Autres IGAAC : Petits travaux et agencement</v>
      </c>
      <c r="F3" s="112" t="s">
        <v>3922</v>
      </c>
    </row>
    <row r="4" spans="1:6" x14ac:dyDescent="0.3">
      <c r="A4" t="s">
        <v>1</v>
      </c>
      <c r="B4" t="s">
        <v>96</v>
      </c>
      <c r="C4" s="8" t="s">
        <v>288</v>
      </c>
      <c r="D4" t="s">
        <v>3923</v>
      </c>
      <c r="E4" t="str">
        <f>A4&amp;"_"&amp;B4&amp;"_"&amp;C4</f>
        <v>ABPSI_Classe 2_21351820 - Autres IGAAC : Petits travaux et agencement</v>
      </c>
      <c r="F4" s="112" t="s">
        <v>3921</v>
      </c>
    </row>
    <row r="5" spans="1:6" x14ac:dyDescent="0.3">
      <c r="A5" t="s">
        <v>1</v>
      </c>
      <c r="B5" t="s">
        <v>96</v>
      </c>
      <c r="C5" s="8" t="s">
        <v>288</v>
      </c>
      <c r="D5" t="s">
        <v>170</v>
      </c>
      <c r="E5" t="str">
        <f>A5&amp;"_"&amp;B5&amp;"_"&amp;C5</f>
        <v>ABPSI_Classe 2_21351820 - Autres IGAAC : Petits travaux et agencement</v>
      </c>
      <c r="F5" s="112" t="s">
        <v>3921</v>
      </c>
    </row>
    <row r="6" spans="1:6" x14ac:dyDescent="0.3">
      <c r="A6" t="s">
        <v>1</v>
      </c>
      <c r="B6" t="s">
        <v>96</v>
      </c>
      <c r="C6" s="8" t="s">
        <v>288</v>
      </c>
      <c r="D6" t="s">
        <v>39</v>
      </c>
      <c r="E6" t="str">
        <f>A6&amp;"_"&amp;B6&amp;"_"&amp;C6</f>
        <v>ABPSI_Classe 2_21351820 - Autres IGAAC : Petits travaux et agencement</v>
      </c>
      <c r="F6" s="112" t="s">
        <v>3922</v>
      </c>
    </row>
    <row r="7" spans="1:6" x14ac:dyDescent="0.3">
      <c r="A7" t="s">
        <v>1</v>
      </c>
      <c r="B7" t="s">
        <v>96</v>
      </c>
      <c r="C7" s="8" t="s">
        <v>288</v>
      </c>
      <c r="D7" t="s">
        <v>3924</v>
      </c>
      <c r="F7" s="112" t="s">
        <v>3921</v>
      </c>
    </row>
    <row r="8" spans="1:6" x14ac:dyDescent="0.3">
      <c r="A8" t="s">
        <v>1</v>
      </c>
      <c r="B8" t="s">
        <v>96</v>
      </c>
      <c r="C8" s="8" t="s">
        <v>288</v>
      </c>
      <c r="D8" t="s">
        <v>40</v>
      </c>
      <c r="E8" t="str">
        <f t="shared" ref="E8:E13" si="0">A8&amp;"_"&amp;B8&amp;"_"&amp;C8</f>
        <v>ABPSI_Classe 2_21351820 - Autres IGAAC : Petits travaux et agencement</v>
      </c>
      <c r="F8" s="112" t="s">
        <v>3922</v>
      </c>
    </row>
    <row r="9" spans="1:6" x14ac:dyDescent="0.3">
      <c r="A9" t="s">
        <v>1</v>
      </c>
      <c r="B9" t="s">
        <v>96</v>
      </c>
      <c r="C9" s="8" t="s">
        <v>288</v>
      </c>
      <c r="D9" t="s">
        <v>41</v>
      </c>
      <c r="E9" t="str">
        <f t="shared" si="0"/>
        <v>ABPSI_Classe 2_21351820 - Autres IGAAC : Petits travaux et agencement</v>
      </c>
      <c r="F9" s="112" t="s">
        <v>3922</v>
      </c>
    </row>
    <row r="10" spans="1:6" x14ac:dyDescent="0.3">
      <c r="A10" t="s">
        <v>1</v>
      </c>
      <c r="B10" t="s">
        <v>96</v>
      </c>
      <c r="C10" s="8" t="s">
        <v>288</v>
      </c>
      <c r="D10" t="s">
        <v>3925</v>
      </c>
      <c r="E10" t="str">
        <f t="shared" si="0"/>
        <v>ABPSI_Classe 2_21351820 - Autres IGAAC : Petits travaux et agencement</v>
      </c>
      <c r="F10" s="112" t="s">
        <v>3921</v>
      </c>
    </row>
    <row r="11" spans="1:6" x14ac:dyDescent="0.3">
      <c r="A11" t="s">
        <v>1</v>
      </c>
      <c r="B11" t="s">
        <v>96</v>
      </c>
      <c r="C11" s="8" t="s">
        <v>288</v>
      </c>
      <c r="D11" t="s">
        <v>42</v>
      </c>
      <c r="E11" t="str">
        <f t="shared" si="0"/>
        <v>ABPSI_Classe 2_21351820 - Autres IGAAC : Petits travaux et agencement</v>
      </c>
      <c r="F11" s="112" t="s">
        <v>3922</v>
      </c>
    </row>
    <row r="12" spans="1:6" x14ac:dyDescent="0.3">
      <c r="A12" t="s">
        <v>1</v>
      </c>
      <c r="B12" t="s">
        <v>96</v>
      </c>
      <c r="C12" s="8" t="s">
        <v>288</v>
      </c>
      <c r="D12" t="s">
        <v>3926</v>
      </c>
      <c r="E12" t="str">
        <f t="shared" si="0"/>
        <v>ABPSI_Classe 2_21351820 - Autres IGAAC : Petits travaux et agencement</v>
      </c>
      <c r="F12" s="112" t="s">
        <v>3921</v>
      </c>
    </row>
    <row r="13" spans="1:6" x14ac:dyDescent="0.3">
      <c r="A13" t="s">
        <v>1</v>
      </c>
      <c r="B13" t="s">
        <v>96</v>
      </c>
      <c r="C13" s="8" t="s">
        <v>288</v>
      </c>
      <c r="D13" t="s">
        <v>43</v>
      </c>
      <c r="E13" t="str">
        <f t="shared" si="0"/>
        <v>ABPSI_Classe 2_21351820 - Autres IGAAC : Petits travaux et agencement</v>
      </c>
      <c r="F13" s="112" t="s">
        <v>3922</v>
      </c>
    </row>
    <row r="14" spans="1:6" x14ac:dyDescent="0.3">
      <c r="A14" t="s">
        <v>1</v>
      </c>
      <c r="B14" t="s">
        <v>96</v>
      </c>
      <c r="C14" s="8" t="s">
        <v>288</v>
      </c>
      <c r="D14" t="s">
        <v>1892</v>
      </c>
      <c r="F14" s="112" t="s">
        <v>3921</v>
      </c>
    </row>
    <row r="15" spans="1:6" x14ac:dyDescent="0.3">
      <c r="A15" t="s">
        <v>1</v>
      </c>
      <c r="B15" t="s">
        <v>96</v>
      </c>
      <c r="C15" s="8" t="s">
        <v>288</v>
      </c>
      <c r="D15" t="s">
        <v>44</v>
      </c>
      <c r="E15" t="str">
        <f t="shared" ref="E15:E46" si="1">A15&amp;"_"&amp;B15&amp;"_"&amp;C15</f>
        <v>ABPSI_Classe 2_21351820 - Autres IGAAC : Petits travaux et agencement</v>
      </c>
      <c r="F15" s="112" t="s">
        <v>3922</v>
      </c>
    </row>
    <row r="16" spans="1:6" x14ac:dyDescent="0.3">
      <c r="A16" t="s">
        <v>1</v>
      </c>
      <c r="B16" t="s">
        <v>96</v>
      </c>
      <c r="C16" s="8" t="s">
        <v>288</v>
      </c>
      <c r="D16" t="s">
        <v>45</v>
      </c>
      <c r="E16" t="str">
        <f t="shared" si="1"/>
        <v>ABPSI_Classe 2_21351820 - Autres IGAAC : Petits travaux et agencement</v>
      </c>
      <c r="F16" s="112" t="s">
        <v>3922</v>
      </c>
    </row>
    <row r="17" spans="1:6" x14ac:dyDescent="0.3">
      <c r="A17" t="s">
        <v>1</v>
      </c>
      <c r="B17" t="s">
        <v>96</v>
      </c>
      <c r="C17" s="8" t="s">
        <v>288</v>
      </c>
      <c r="D17" t="s">
        <v>1039</v>
      </c>
      <c r="E17" t="str">
        <f t="shared" si="1"/>
        <v>ABPSI_Classe 2_21351820 - Autres IGAAC : Petits travaux et agencement</v>
      </c>
      <c r="F17" s="112" t="s">
        <v>3921</v>
      </c>
    </row>
    <row r="18" spans="1:6" x14ac:dyDescent="0.3">
      <c r="A18" t="s">
        <v>1</v>
      </c>
      <c r="B18" t="s">
        <v>96</v>
      </c>
      <c r="C18" s="8" t="s">
        <v>288</v>
      </c>
      <c r="D18" t="s">
        <v>46</v>
      </c>
      <c r="E18" t="str">
        <f t="shared" si="1"/>
        <v>ABPSI_Classe 2_21351820 - Autres IGAAC : Petits travaux et agencement</v>
      </c>
      <c r="F18" s="112" t="s">
        <v>3922</v>
      </c>
    </row>
    <row r="19" spans="1:6" x14ac:dyDescent="0.3">
      <c r="A19" t="s">
        <v>1</v>
      </c>
      <c r="B19" t="s">
        <v>96</v>
      </c>
      <c r="C19" s="8" t="s">
        <v>288</v>
      </c>
      <c r="D19" t="s">
        <v>3927</v>
      </c>
      <c r="E19" t="str">
        <f t="shared" si="1"/>
        <v>ABPSI_Classe 2_21351820 - Autres IGAAC : Petits travaux et agencement</v>
      </c>
      <c r="F19" s="112" t="s">
        <v>3921</v>
      </c>
    </row>
    <row r="20" spans="1:6" x14ac:dyDescent="0.3">
      <c r="A20" t="s">
        <v>1</v>
      </c>
      <c r="B20" t="s">
        <v>96</v>
      </c>
      <c r="C20" s="8" t="s">
        <v>288</v>
      </c>
      <c r="D20" t="s">
        <v>47</v>
      </c>
      <c r="E20" t="str">
        <f t="shared" si="1"/>
        <v>ABPSI_Classe 2_21351820 - Autres IGAAC : Petits travaux et agencement</v>
      </c>
      <c r="F20" s="112" t="s">
        <v>3922</v>
      </c>
    </row>
    <row r="21" spans="1:6" x14ac:dyDescent="0.3">
      <c r="A21" t="s">
        <v>1</v>
      </c>
      <c r="B21" t="s">
        <v>96</v>
      </c>
      <c r="C21" s="8" t="s">
        <v>288</v>
      </c>
      <c r="D21" t="s">
        <v>48</v>
      </c>
      <c r="E21" t="str">
        <f t="shared" si="1"/>
        <v>ABPSI_Classe 2_21351820 - Autres IGAAC : Petits travaux et agencement</v>
      </c>
      <c r="F21" s="112" t="s">
        <v>3922</v>
      </c>
    </row>
    <row r="22" spans="1:6" x14ac:dyDescent="0.3">
      <c r="A22" t="s">
        <v>1</v>
      </c>
      <c r="B22" t="s">
        <v>96</v>
      </c>
      <c r="C22" t="s">
        <v>288</v>
      </c>
      <c r="D22" t="s">
        <v>49</v>
      </c>
      <c r="E22" t="str">
        <f t="shared" si="1"/>
        <v>ABPSI_Classe 2_21351820 - Autres IGAAC : Petits travaux et agencement</v>
      </c>
      <c r="F22" s="112" t="s">
        <v>3922</v>
      </c>
    </row>
    <row r="23" spans="1:6" x14ac:dyDescent="0.3">
      <c r="A23" t="s">
        <v>1</v>
      </c>
      <c r="B23" t="s">
        <v>79</v>
      </c>
      <c r="C23" t="s">
        <v>182</v>
      </c>
      <c r="D23" t="s">
        <v>83</v>
      </c>
      <c r="E23" t="str">
        <f t="shared" si="1"/>
        <v>ABPSI_Classe 6_615222 - Classe 6 Travaux Pôle</v>
      </c>
      <c r="F23" s="112" t="s">
        <v>3922</v>
      </c>
    </row>
    <row r="24" spans="1:6" x14ac:dyDescent="0.3">
      <c r="A24" t="s">
        <v>1</v>
      </c>
      <c r="B24" t="s">
        <v>79</v>
      </c>
      <c r="C24" t="s">
        <v>81</v>
      </c>
      <c r="D24" t="s">
        <v>83</v>
      </c>
      <c r="E24" t="str">
        <f t="shared" si="1"/>
        <v>ABPSI_Classe 6_615223 - Classe 6 Travaux Hors Pôle</v>
      </c>
      <c r="F24" s="112" t="s">
        <v>3922</v>
      </c>
    </row>
    <row r="25" spans="1:6" x14ac:dyDescent="0.3">
      <c r="A25" t="s">
        <v>5</v>
      </c>
      <c r="B25" t="s">
        <v>96</v>
      </c>
      <c r="C25" t="s">
        <v>294</v>
      </c>
      <c r="D25" t="s">
        <v>2034</v>
      </c>
      <c r="E25" t="str">
        <f t="shared" si="1"/>
        <v>AC2P_Classe 2_21351820 -  Autres IGAAC : Petits travaux et agencement</v>
      </c>
      <c r="F25" s="112" t="s">
        <v>3921</v>
      </c>
    </row>
    <row r="26" spans="1:6" x14ac:dyDescent="0.3">
      <c r="A26" t="s">
        <v>5</v>
      </c>
      <c r="B26" t="s">
        <v>96</v>
      </c>
      <c r="C26" s="8" t="s">
        <v>288</v>
      </c>
      <c r="D26" t="s">
        <v>3920</v>
      </c>
      <c r="E26" t="str">
        <f t="shared" si="1"/>
        <v>AC2P_Classe 2_21351820 - Autres IGAAC : Petits travaux et agencement</v>
      </c>
      <c r="F26" s="112" t="s">
        <v>3922</v>
      </c>
    </row>
    <row r="27" spans="1:6" x14ac:dyDescent="0.3">
      <c r="A27" t="s">
        <v>5</v>
      </c>
      <c r="B27" t="s">
        <v>96</v>
      </c>
      <c r="C27" s="8" t="s">
        <v>288</v>
      </c>
      <c r="D27" t="s">
        <v>38</v>
      </c>
      <c r="E27" t="str">
        <f t="shared" si="1"/>
        <v>AC2P_Classe 2_21351820 - Autres IGAAC : Petits travaux et agencement</v>
      </c>
      <c r="F27" s="112" t="s">
        <v>3921</v>
      </c>
    </row>
    <row r="28" spans="1:6" x14ac:dyDescent="0.3">
      <c r="A28" t="s">
        <v>5</v>
      </c>
      <c r="B28" t="s">
        <v>96</v>
      </c>
      <c r="C28" s="8" t="s">
        <v>288</v>
      </c>
      <c r="D28" t="s">
        <v>3923</v>
      </c>
      <c r="E28" t="str">
        <f t="shared" si="1"/>
        <v>AC2P_Classe 2_21351820 - Autres IGAAC : Petits travaux et agencement</v>
      </c>
      <c r="F28" s="112" t="s">
        <v>3921</v>
      </c>
    </row>
    <row r="29" spans="1:6" x14ac:dyDescent="0.3">
      <c r="A29" t="s">
        <v>5</v>
      </c>
      <c r="B29" t="s">
        <v>96</v>
      </c>
      <c r="C29" s="8" t="s">
        <v>288</v>
      </c>
      <c r="D29" t="s">
        <v>170</v>
      </c>
      <c r="E29" t="str">
        <f t="shared" si="1"/>
        <v>AC2P_Classe 2_21351820 - Autres IGAAC : Petits travaux et agencement</v>
      </c>
      <c r="F29" s="112" t="s">
        <v>3922</v>
      </c>
    </row>
    <row r="30" spans="1:6" x14ac:dyDescent="0.3">
      <c r="A30" t="s">
        <v>5</v>
      </c>
      <c r="B30" t="s">
        <v>96</v>
      </c>
      <c r="C30" s="8" t="s">
        <v>288</v>
      </c>
      <c r="D30" t="s">
        <v>39</v>
      </c>
      <c r="E30" t="str">
        <f t="shared" si="1"/>
        <v>AC2P_Classe 2_21351820 - Autres IGAAC : Petits travaux et agencement</v>
      </c>
      <c r="F30" s="112" t="s">
        <v>3921</v>
      </c>
    </row>
    <row r="31" spans="1:6" x14ac:dyDescent="0.3">
      <c r="A31" t="s">
        <v>5</v>
      </c>
      <c r="B31" t="s">
        <v>96</v>
      </c>
      <c r="C31" s="8" t="s">
        <v>288</v>
      </c>
      <c r="D31" t="s">
        <v>3924</v>
      </c>
      <c r="E31" t="str">
        <f t="shared" si="1"/>
        <v>AC2P_Classe 2_21351820 - Autres IGAAC : Petits travaux et agencement</v>
      </c>
      <c r="F31" s="112" t="s">
        <v>3922</v>
      </c>
    </row>
    <row r="32" spans="1:6" x14ac:dyDescent="0.3">
      <c r="A32" t="s">
        <v>5</v>
      </c>
      <c r="B32" t="s">
        <v>96</v>
      </c>
      <c r="C32" s="8" t="s">
        <v>288</v>
      </c>
      <c r="D32" t="s">
        <v>40</v>
      </c>
      <c r="E32" t="str">
        <f t="shared" si="1"/>
        <v>AC2P_Classe 2_21351820 - Autres IGAAC : Petits travaux et agencement</v>
      </c>
      <c r="F32" s="112" t="s">
        <v>3922</v>
      </c>
    </row>
    <row r="33" spans="1:6" x14ac:dyDescent="0.3">
      <c r="A33" t="s">
        <v>5</v>
      </c>
      <c r="B33" t="s">
        <v>96</v>
      </c>
      <c r="C33" s="8" t="s">
        <v>288</v>
      </c>
      <c r="D33" t="s">
        <v>41</v>
      </c>
      <c r="E33" t="str">
        <f t="shared" si="1"/>
        <v>AC2P_Classe 2_21351820 - Autres IGAAC : Petits travaux et agencement</v>
      </c>
      <c r="F33" s="112" t="s">
        <v>3921</v>
      </c>
    </row>
    <row r="34" spans="1:6" x14ac:dyDescent="0.3">
      <c r="A34" t="s">
        <v>5</v>
      </c>
      <c r="B34" t="s">
        <v>96</v>
      </c>
      <c r="C34" s="8" t="s">
        <v>288</v>
      </c>
      <c r="D34" t="s">
        <v>3925</v>
      </c>
      <c r="E34" t="str">
        <f t="shared" si="1"/>
        <v>AC2P_Classe 2_21351820 - Autres IGAAC : Petits travaux et agencement</v>
      </c>
      <c r="F34" s="112" t="s">
        <v>3922</v>
      </c>
    </row>
    <row r="35" spans="1:6" x14ac:dyDescent="0.3">
      <c r="A35" t="s">
        <v>5</v>
      </c>
      <c r="B35" t="s">
        <v>96</v>
      </c>
      <c r="C35" s="8" t="s">
        <v>288</v>
      </c>
      <c r="D35" t="s">
        <v>42</v>
      </c>
      <c r="E35" t="str">
        <f t="shared" si="1"/>
        <v>AC2P_Classe 2_21351820 - Autres IGAAC : Petits travaux et agencement</v>
      </c>
      <c r="F35" s="112" t="s">
        <v>3921</v>
      </c>
    </row>
    <row r="36" spans="1:6" x14ac:dyDescent="0.3">
      <c r="A36" t="s">
        <v>5</v>
      </c>
      <c r="B36" t="s">
        <v>96</v>
      </c>
      <c r="C36" s="8" t="s">
        <v>288</v>
      </c>
      <c r="D36" t="s">
        <v>3926</v>
      </c>
      <c r="E36" t="str">
        <f t="shared" si="1"/>
        <v>AC2P_Classe 2_21351820 - Autres IGAAC : Petits travaux et agencement</v>
      </c>
      <c r="F36" s="112" t="s">
        <v>3922</v>
      </c>
    </row>
    <row r="37" spans="1:6" x14ac:dyDescent="0.3">
      <c r="A37" t="s">
        <v>5</v>
      </c>
      <c r="B37" t="s">
        <v>96</v>
      </c>
      <c r="C37" s="8" t="s">
        <v>288</v>
      </c>
      <c r="D37" t="s">
        <v>43</v>
      </c>
      <c r="E37" t="str">
        <f t="shared" si="1"/>
        <v>AC2P_Classe 2_21351820 - Autres IGAAC : Petits travaux et agencement</v>
      </c>
      <c r="F37" s="112" t="s">
        <v>3921</v>
      </c>
    </row>
    <row r="38" spans="1:6" x14ac:dyDescent="0.3">
      <c r="A38" t="s">
        <v>5</v>
      </c>
      <c r="B38" t="s">
        <v>96</v>
      </c>
      <c r="C38" s="8" t="s">
        <v>288</v>
      </c>
      <c r="D38" t="s">
        <v>1892</v>
      </c>
      <c r="E38" t="str">
        <f t="shared" si="1"/>
        <v>AC2P_Classe 2_21351820 - Autres IGAAC : Petits travaux et agencement</v>
      </c>
      <c r="F38" s="112" t="s">
        <v>3922</v>
      </c>
    </row>
    <row r="39" spans="1:6" x14ac:dyDescent="0.3">
      <c r="A39" t="s">
        <v>5</v>
      </c>
      <c r="B39" t="s">
        <v>96</v>
      </c>
      <c r="C39" s="8" t="s">
        <v>288</v>
      </c>
      <c r="D39" t="s">
        <v>44</v>
      </c>
      <c r="E39" t="str">
        <f t="shared" si="1"/>
        <v>AC2P_Classe 2_21351820 - Autres IGAAC : Petits travaux et agencement</v>
      </c>
      <c r="F39" s="112" t="s">
        <v>3922</v>
      </c>
    </row>
    <row r="40" spans="1:6" x14ac:dyDescent="0.3">
      <c r="A40" t="s">
        <v>5</v>
      </c>
      <c r="B40" t="s">
        <v>96</v>
      </c>
      <c r="C40" s="8" t="s">
        <v>288</v>
      </c>
      <c r="D40" t="s">
        <v>45</v>
      </c>
      <c r="E40" t="str">
        <f t="shared" si="1"/>
        <v>AC2P_Classe 2_21351820 - Autres IGAAC : Petits travaux et agencement</v>
      </c>
      <c r="F40" s="112" t="s">
        <v>3921</v>
      </c>
    </row>
    <row r="41" spans="1:6" x14ac:dyDescent="0.3">
      <c r="A41" t="s">
        <v>5</v>
      </c>
      <c r="B41" t="s">
        <v>96</v>
      </c>
      <c r="C41" s="8" t="s">
        <v>288</v>
      </c>
      <c r="D41" t="s">
        <v>1039</v>
      </c>
      <c r="E41" t="str">
        <f t="shared" si="1"/>
        <v>AC2P_Classe 2_21351820 - Autres IGAAC : Petits travaux et agencement</v>
      </c>
      <c r="F41" s="112" t="s">
        <v>3922</v>
      </c>
    </row>
    <row r="42" spans="1:6" x14ac:dyDescent="0.3">
      <c r="A42" t="s">
        <v>5</v>
      </c>
      <c r="B42" t="s">
        <v>96</v>
      </c>
      <c r="C42" s="8" t="s">
        <v>288</v>
      </c>
      <c r="D42" t="s">
        <v>46</v>
      </c>
      <c r="E42" t="str">
        <f t="shared" si="1"/>
        <v>AC2P_Classe 2_21351820 - Autres IGAAC : Petits travaux et agencement</v>
      </c>
      <c r="F42" s="112" t="s">
        <v>3921</v>
      </c>
    </row>
    <row r="43" spans="1:6" x14ac:dyDescent="0.3">
      <c r="A43" t="s">
        <v>5</v>
      </c>
      <c r="B43" t="s">
        <v>96</v>
      </c>
      <c r="C43" s="8" t="s">
        <v>288</v>
      </c>
      <c r="D43" t="s">
        <v>3927</v>
      </c>
      <c r="E43" t="str">
        <f t="shared" si="1"/>
        <v>AC2P_Classe 2_21351820 - Autres IGAAC : Petits travaux et agencement</v>
      </c>
      <c r="F43" s="112" t="s">
        <v>3922</v>
      </c>
    </row>
    <row r="44" spans="1:6" x14ac:dyDescent="0.3">
      <c r="A44" t="s">
        <v>5</v>
      </c>
      <c r="B44" t="s">
        <v>96</v>
      </c>
      <c r="C44" s="8" t="s">
        <v>288</v>
      </c>
      <c r="D44" t="s">
        <v>47</v>
      </c>
      <c r="E44" t="str">
        <f t="shared" si="1"/>
        <v>AC2P_Classe 2_21351820 - Autres IGAAC : Petits travaux et agencement</v>
      </c>
      <c r="F44" s="112" t="s">
        <v>3922</v>
      </c>
    </row>
    <row r="45" spans="1:6" x14ac:dyDescent="0.3">
      <c r="A45" t="s">
        <v>5</v>
      </c>
      <c r="B45" t="s">
        <v>96</v>
      </c>
      <c r="C45" s="8" t="s">
        <v>288</v>
      </c>
      <c r="D45" t="s">
        <v>48</v>
      </c>
      <c r="E45" t="str">
        <f t="shared" si="1"/>
        <v>AC2P_Classe 2_21351820 - Autres IGAAC : Petits travaux et agencement</v>
      </c>
      <c r="F45" s="112" t="s">
        <v>3921</v>
      </c>
    </row>
    <row r="46" spans="1:6" x14ac:dyDescent="0.3">
      <c r="A46" t="s">
        <v>5</v>
      </c>
      <c r="B46" t="s">
        <v>96</v>
      </c>
      <c r="C46" t="s">
        <v>288</v>
      </c>
      <c r="D46" t="s">
        <v>176</v>
      </c>
      <c r="E46" t="str">
        <f t="shared" si="1"/>
        <v>AC2P_Classe 2_21351820 - Autres IGAAC : Petits travaux et agencement</v>
      </c>
      <c r="F46" s="112" t="s">
        <v>3922</v>
      </c>
    </row>
    <row r="47" spans="1:6" x14ac:dyDescent="0.3">
      <c r="A47" t="s">
        <v>5</v>
      </c>
      <c r="B47" t="s">
        <v>96</v>
      </c>
      <c r="C47" t="s">
        <v>288</v>
      </c>
      <c r="D47" t="s">
        <v>826</v>
      </c>
      <c r="E47" t="str">
        <f t="shared" ref="E47:E78" si="2">A47&amp;"_"&amp;B47&amp;"_"&amp;C47</f>
        <v>AC2P_Classe 2_21351820 - Autres IGAAC : Petits travaux et agencement</v>
      </c>
      <c r="F47" s="112" t="s">
        <v>3922</v>
      </c>
    </row>
    <row r="48" spans="1:6" x14ac:dyDescent="0.3">
      <c r="A48" t="s">
        <v>5</v>
      </c>
      <c r="B48" t="s">
        <v>96</v>
      </c>
      <c r="C48" t="s">
        <v>288</v>
      </c>
      <c r="D48" t="s">
        <v>2441</v>
      </c>
      <c r="E48" t="str">
        <f t="shared" si="2"/>
        <v>AC2P_Classe 2_21351820 - Autres IGAAC : Petits travaux et agencement</v>
      </c>
      <c r="F48" s="112" t="s">
        <v>3922</v>
      </c>
    </row>
    <row r="49" spans="1:6" x14ac:dyDescent="0.3">
      <c r="A49" t="s">
        <v>5</v>
      </c>
      <c r="B49" t="s">
        <v>96</v>
      </c>
      <c r="C49" t="s">
        <v>288</v>
      </c>
      <c r="D49" t="s">
        <v>2889</v>
      </c>
      <c r="E49" t="str">
        <f t="shared" si="2"/>
        <v>AC2P_Classe 2_21351820 - Autres IGAAC : Petits travaux et agencement</v>
      </c>
      <c r="F49" s="112" t="s">
        <v>3921</v>
      </c>
    </row>
    <row r="50" spans="1:6" x14ac:dyDescent="0.3">
      <c r="A50" t="s">
        <v>5</v>
      </c>
      <c r="B50" t="s">
        <v>96</v>
      </c>
      <c r="C50" t="s">
        <v>288</v>
      </c>
      <c r="D50" t="s">
        <v>3097</v>
      </c>
      <c r="E50" t="str">
        <f t="shared" si="2"/>
        <v>AC2P_Classe 2_21351820 - Autres IGAAC : Petits travaux et agencement</v>
      </c>
      <c r="F50" s="112" t="s">
        <v>3922</v>
      </c>
    </row>
    <row r="51" spans="1:6" x14ac:dyDescent="0.3">
      <c r="A51" t="s">
        <v>5</v>
      </c>
      <c r="B51" t="s">
        <v>96</v>
      </c>
      <c r="C51" t="s">
        <v>288</v>
      </c>
      <c r="D51" t="s">
        <v>3125</v>
      </c>
      <c r="E51" t="str">
        <f t="shared" si="2"/>
        <v>AC2P_Classe 2_21351820 - Autres IGAAC : Petits travaux et agencement</v>
      </c>
      <c r="F51" s="112" t="s">
        <v>3921</v>
      </c>
    </row>
    <row r="52" spans="1:6" x14ac:dyDescent="0.3">
      <c r="A52" t="s">
        <v>5</v>
      </c>
      <c r="B52" t="s">
        <v>96</v>
      </c>
      <c r="C52" s="2" t="s">
        <v>1869</v>
      </c>
      <c r="D52" t="s">
        <v>1870</v>
      </c>
      <c r="E52" t="str">
        <f t="shared" si="2"/>
        <v>AC2P_Classe 2_213518999 - Accessibilité EPSVE opération AD'AP</v>
      </c>
      <c r="F52" s="112" t="s">
        <v>3921</v>
      </c>
    </row>
    <row r="53" spans="1:6" x14ac:dyDescent="0.3">
      <c r="A53" t="s">
        <v>5</v>
      </c>
      <c r="B53" t="s">
        <v>96</v>
      </c>
      <c r="C53" s="8" t="s">
        <v>3298</v>
      </c>
      <c r="D53" t="s">
        <v>3920</v>
      </c>
      <c r="E53" t="str">
        <f t="shared" si="2"/>
        <v>AC2P_Classe 2_21354010 - IGAAC agencement (bât. Sociaux et Médico-sociaux)</v>
      </c>
      <c r="F53" s="112" t="s">
        <v>3922</v>
      </c>
    </row>
    <row r="54" spans="1:6" x14ac:dyDescent="0.3">
      <c r="A54" t="s">
        <v>5</v>
      </c>
      <c r="B54" t="s">
        <v>96</v>
      </c>
      <c r="C54" s="8" t="s">
        <v>3298</v>
      </c>
      <c r="D54" t="s">
        <v>38</v>
      </c>
      <c r="E54" t="str">
        <f t="shared" si="2"/>
        <v>AC2P_Classe 2_21354010 - IGAAC agencement (bât. Sociaux et Médico-sociaux)</v>
      </c>
      <c r="F54" s="112" t="s">
        <v>3921</v>
      </c>
    </row>
    <row r="55" spans="1:6" x14ac:dyDescent="0.3">
      <c r="A55" t="s">
        <v>5</v>
      </c>
      <c r="B55" t="s">
        <v>96</v>
      </c>
      <c r="C55" s="8" t="s">
        <v>3298</v>
      </c>
      <c r="D55" t="s">
        <v>3923</v>
      </c>
      <c r="E55" t="str">
        <f t="shared" si="2"/>
        <v>AC2P_Classe 2_21354010 - IGAAC agencement (bât. Sociaux et Médico-sociaux)</v>
      </c>
      <c r="F55" s="112" t="s">
        <v>3922</v>
      </c>
    </row>
    <row r="56" spans="1:6" x14ac:dyDescent="0.3">
      <c r="A56" t="s">
        <v>5</v>
      </c>
      <c r="B56" t="s">
        <v>96</v>
      </c>
      <c r="C56" s="8" t="s">
        <v>3298</v>
      </c>
      <c r="D56" t="s">
        <v>170</v>
      </c>
      <c r="E56" t="str">
        <f t="shared" si="2"/>
        <v>AC2P_Classe 2_21354010 - IGAAC agencement (bât. Sociaux et Médico-sociaux)</v>
      </c>
      <c r="F56" s="112" t="s">
        <v>3922</v>
      </c>
    </row>
    <row r="57" spans="1:6" x14ac:dyDescent="0.3">
      <c r="A57" t="s">
        <v>5</v>
      </c>
      <c r="B57" t="s">
        <v>96</v>
      </c>
      <c r="C57" s="8" t="s">
        <v>3298</v>
      </c>
      <c r="D57" t="s">
        <v>39</v>
      </c>
      <c r="E57" t="str">
        <f t="shared" si="2"/>
        <v>AC2P_Classe 2_21354010 - IGAAC agencement (bât. Sociaux et Médico-sociaux)</v>
      </c>
      <c r="F57" s="112" t="s">
        <v>3921</v>
      </c>
    </row>
    <row r="58" spans="1:6" x14ac:dyDescent="0.3">
      <c r="A58" t="s">
        <v>5</v>
      </c>
      <c r="B58" t="s">
        <v>96</v>
      </c>
      <c r="C58" s="8" t="s">
        <v>3298</v>
      </c>
      <c r="D58" t="s">
        <v>3924</v>
      </c>
      <c r="E58" t="str">
        <f t="shared" si="2"/>
        <v>AC2P_Classe 2_21354010 - IGAAC agencement (bât. Sociaux et Médico-sociaux)</v>
      </c>
      <c r="F58" s="112" t="s">
        <v>3922</v>
      </c>
    </row>
    <row r="59" spans="1:6" x14ac:dyDescent="0.3">
      <c r="A59" t="s">
        <v>5</v>
      </c>
      <c r="B59" t="s">
        <v>96</v>
      </c>
      <c r="C59" s="8" t="s">
        <v>3298</v>
      </c>
      <c r="D59" t="s">
        <v>40</v>
      </c>
      <c r="E59" t="str">
        <f t="shared" si="2"/>
        <v>AC2P_Classe 2_21354010 - IGAAC agencement (bât. Sociaux et Médico-sociaux)</v>
      </c>
      <c r="F59" s="112" t="s">
        <v>3921</v>
      </c>
    </row>
    <row r="60" spans="1:6" x14ac:dyDescent="0.3">
      <c r="A60" t="s">
        <v>5</v>
      </c>
      <c r="B60" t="s">
        <v>96</v>
      </c>
      <c r="C60" s="8" t="s">
        <v>3298</v>
      </c>
      <c r="D60" t="s">
        <v>41</v>
      </c>
      <c r="E60" t="str">
        <f t="shared" si="2"/>
        <v>AC2P_Classe 2_21354010 - IGAAC agencement (bât. Sociaux et Médico-sociaux)</v>
      </c>
      <c r="F60" s="112" t="s">
        <v>3922</v>
      </c>
    </row>
    <row r="61" spans="1:6" x14ac:dyDescent="0.3">
      <c r="A61" t="s">
        <v>5</v>
      </c>
      <c r="B61" t="s">
        <v>96</v>
      </c>
      <c r="C61" s="8" t="s">
        <v>3298</v>
      </c>
      <c r="D61" t="s">
        <v>3925</v>
      </c>
      <c r="E61" t="str">
        <f t="shared" si="2"/>
        <v>AC2P_Classe 2_21354010 - IGAAC agencement (bât. Sociaux et Médico-sociaux)</v>
      </c>
      <c r="F61" s="112" t="s">
        <v>3921</v>
      </c>
    </row>
    <row r="62" spans="1:6" x14ac:dyDescent="0.3">
      <c r="A62" t="s">
        <v>5</v>
      </c>
      <c r="B62" t="s">
        <v>96</v>
      </c>
      <c r="C62" s="8" t="s">
        <v>3298</v>
      </c>
      <c r="D62" t="s">
        <v>42</v>
      </c>
      <c r="E62" t="str">
        <f t="shared" si="2"/>
        <v>AC2P_Classe 2_21354010 - IGAAC agencement (bât. Sociaux et Médico-sociaux)</v>
      </c>
      <c r="F62" s="112" t="s">
        <v>3922</v>
      </c>
    </row>
    <row r="63" spans="1:6" x14ac:dyDescent="0.3">
      <c r="A63" t="s">
        <v>5</v>
      </c>
      <c r="B63" t="s">
        <v>96</v>
      </c>
      <c r="C63" s="8" t="s">
        <v>3298</v>
      </c>
      <c r="D63" t="s">
        <v>3926</v>
      </c>
      <c r="E63" t="str">
        <f t="shared" si="2"/>
        <v>AC2P_Classe 2_21354010 - IGAAC agencement (bât. Sociaux et Médico-sociaux)</v>
      </c>
      <c r="F63" s="112" t="s">
        <v>3922</v>
      </c>
    </row>
    <row r="64" spans="1:6" x14ac:dyDescent="0.3">
      <c r="A64" t="s">
        <v>5</v>
      </c>
      <c r="B64" t="s">
        <v>96</v>
      </c>
      <c r="C64" s="8" t="s">
        <v>3298</v>
      </c>
      <c r="D64" t="s">
        <v>43</v>
      </c>
      <c r="E64" t="str">
        <f t="shared" si="2"/>
        <v>AC2P_Classe 2_21354010 - IGAAC agencement (bât. Sociaux et Médico-sociaux)</v>
      </c>
      <c r="F64" s="112" t="s">
        <v>3921</v>
      </c>
    </row>
    <row r="65" spans="1:6" x14ac:dyDescent="0.3">
      <c r="A65" t="s">
        <v>5</v>
      </c>
      <c r="B65" t="s">
        <v>96</v>
      </c>
      <c r="C65" s="8" t="s">
        <v>3298</v>
      </c>
      <c r="D65" t="s">
        <v>1892</v>
      </c>
      <c r="E65" t="str">
        <f t="shared" si="2"/>
        <v>AC2P_Classe 2_21354010 - IGAAC agencement (bât. Sociaux et Médico-sociaux)</v>
      </c>
      <c r="F65" s="112" t="s">
        <v>3922</v>
      </c>
    </row>
    <row r="66" spans="1:6" x14ac:dyDescent="0.3">
      <c r="A66" t="s">
        <v>5</v>
      </c>
      <c r="B66" t="s">
        <v>96</v>
      </c>
      <c r="C66" s="8" t="s">
        <v>3298</v>
      </c>
      <c r="D66" t="s">
        <v>44</v>
      </c>
      <c r="E66" t="str">
        <f t="shared" si="2"/>
        <v>AC2P_Classe 2_21354010 - IGAAC agencement (bât. Sociaux et Médico-sociaux)</v>
      </c>
      <c r="F66" s="112" t="s">
        <v>3921</v>
      </c>
    </row>
    <row r="67" spans="1:6" x14ac:dyDescent="0.3">
      <c r="A67" t="s">
        <v>5</v>
      </c>
      <c r="B67" t="s">
        <v>96</v>
      </c>
      <c r="C67" s="8" t="s">
        <v>3298</v>
      </c>
      <c r="D67" t="s">
        <v>45</v>
      </c>
      <c r="E67" t="str">
        <f t="shared" si="2"/>
        <v>AC2P_Classe 2_21354010 - IGAAC agencement (bât. Sociaux et Médico-sociaux)</v>
      </c>
      <c r="F67" s="112" t="s">
        <v>3922</v>
      </c>
    </row>
    <row r="68" spans="1:6" x14ac:dyDescent="0.3">
      <c r="A68" t="s">
        <v>5</v>
      </c>
      <c r="B68" t="s">
        <v>96</v>
      </c>
      <c r="C68" s="8" t="s">
        <v>3298</v>
      </c>
      <c r="D68" t="s">
        <v>1039</v>
      </c>
      <c r="E68" t="str">
        <f t="shared" si="2"/>
        <v>AC2P_Classe 2_21354010 - IGAAC agencement (bât. Sociaux et Médico-sociaux)</v>
      </c>
      <c r="F68" s="112" t="s">
        <v>3922</v>
      </c>
    </row>
    <row r="69" spans="1:6" x14ac:dyDescent="0.3">
      <c r="A69" t="s">
        <v>5</v>
      </c>
      <c r="B69" t="s">
        <v>96</v>
      </c>
      <c r="C69" s="8" t="s">
        <v>3298</v>
      </c>
      <c r="D69" t="s">
        <v>46</v>
      </c>
      <c r="E69" t="str">
        <f t="shared" si="2"/>
        <v>AC2P_Classe 2_21354010 - IGAAC agencement (bât. Sociaux et Médico-sociaux)</v>
      </c>
      <c r="F69" s="112" t="s">
        <v>3922</v>
      </c>
    </row>
    <row r="70" spans="1:6" x14ac:dyDescent="0.3">
      <c r="A70" t="s">
        <v>5</v>
      </c>
      <c r="B70" t="s">
        <v>96</v>
      </c>
      <c r="C70" s="8" t="s">
        <v>3298</v>
      </c>
      <c r="D70" t="s">
        <v>3927</v>
      </c>
      <c r="E70" t="str">
        <f t="shared" si="2"/>
        <v>AC2P_Classe 2_21354010 - IGAAC agencement (bât. Sociaux et Médico-sociaux)</v>
      </c>
      <c r="F70" s="112" t="s">
        <v>3922</v>
      </c>
    </row>
    <row r="71" spans="1:6" x14ac:dyDescent="0.3">
      <c r="A71" t="s">
        <v>5</v>
      </c>
      <c r="B71" t="s">
        <v>96</v>
      </c>
      <c r="C71" s="8" t="s">
        <v>3298</v>
      </c>
      <c r="D71" t="s">
        <v>47</v>
      </c>
      <c r="E71" t="str">
        <f t="shared" si="2"/>
        <v>AC2P_Classe 2_21354010 - IGAAC agencement (bât. Sociaux et Médico-sociaux)</v>
      </c>
      <c r="F71" s="112" t="s">
        <v>3922</v>
      </c>
    </row>
    <row r="72" spans="1:6" x14ac:dyDescent="0.3">
      <c r="A72" t="s">
        <v>5</v>
      </c>
      <c r="B72" t="s">
        <v>96</v>
      </c>
      <c r="C72" s="8" t="s">
        <v>3298</v>
      </c>
      <c r="D72" t="s">
        <v>48</v>
      </c>
      <c r="E72" t="str">
        <f t="shared" si="2"/>
        <v>AC2P_Classe 2_21354010 - IGAAC agencement (bât. Sociaux et Médico-sociaux)</v>
      </c>
      <c r="F72" s="112" t="s">
        <v>3921</v>
      </c>
    </row>
    <row r="73" spans="1:6" x14ac:dyDescent="0.3">
      <c r="A73" t="s">
        <v>5</v>
      </c>
      <c r="B73" t="s">
        <v>79</v>
      </c>
      <c r="C73" t="s">
        <v>182</v>
      </c>
      <c r="D73" t="s">
        <v>83</v>
      </c>
      <c r="E73" t="str">
        <f t="shared" si="2"/>
        <v>AC2P_Classe 6_615222 - Classe 6 Travaux Pôle</v>
      </c>
      <c r="F73" s="112" t="s">
        <v>3922</v>
      </c>
    </row>
    <row r="74" spans="1:6" x14ac:dyDescent="0.3">
      <c r="A74" t="s">
        <v>5</v>
      </c>
      <c r="B74" t="s">
        <v>79</v>
      </c>
      <c r="C74" t="s">
        <v>81</v>
      </c>
      <c r="D74" t="s">
        <v>83</v>
      </c>
      <c r="E74" t="str">
        <f t="shared" si="2"/>
        <v>AC2P_Classe 6_615223 - Classe 6 Travaux Hors Pôle</v>
      </c>
      <c r="F74" s="112" t="s">
        <v>3921</v>
      </c>
    </row>
    <row r="75" spans="1:6" x14ac:dyDescent="0.3">
      <c r="A75" t="s">
        <v>7</v>
      </c>
      <c r="B75" t="s">
        <v>79</v>
      </c>
      <c r="C75" s="8" t="s">
        <v>241</v>
      </c>
      <c r="D75" t="s">
        <v>262</v>
      </c>
      <c r="E75" t="str">
        <f t="shared" si="2"/>
        <v>AGS_Classe 6_6152582 - Classe 6 Maintenance Hors Forfait</v>
      </c>
      <c r="F75" s="112" t="s">
        <v>3921</v>
      </c>
    </row>
    <row r="76" spans="1:6" x14ac:dyDescent="0.3">
      <c r="A76" t="s">
        <v>11</v>
      </c>
      <c r="B76" t="s">
        <v>96</v>
      </c>
      <c r="C76" t="s">
        <v>320</v>
      </c>
      <c r="D76" t="s">
        <v>3920</v>
      </c>
      <c r="E76" t="str">
        <f t="shared" si="2"/>
        <v>ART ET LE BOIS_Classe 2_21351810 - Autres IGAAC : Clos et couvert</v>
      </c>
      <c r="F76" s="112" t="s">
        <v>3922</v>
      </c>
    </row>
    <row r="77" spans="1:6" x14ac:dyDescent="0.3">
      <c r="A77" t="s">
        <v>11</v>
      </c>
      <c r="B77" t="s">
        <v>96</v>
      </c>
      <c r="C77" t="s">
        <v>320</v>
      </c>
      <c r="D77" t="s">
        <v>38</v>
      </c>
      <c r="E77" t="str">
        <f t="shared" si="2"/>
        <v>ART ET LE BOIS_Classe 2_21351810 - Autres IGAAC : Clos et couvert</v>
      </c>
      <c r="F77" s="112" t="s">
        <v>3921</v>
      </c>
    </row>
    <row r="78" spans="1:6" x14ac:dyDescent="0.3">
      <c r="A78" t="s">
        <v>11</v>
      </c>
      <c r="B78" t="s">
        <v>96</v>
      </c>
      <c r="C78" t="s">
        <v>320</v>
      </c>
      <c r="D78" t="s">
        <v>3923</v>
      </c>
      <c r="E78" t="str">
        <f t="shared" si="2"/>
        <v>ART ET LE BOIS_Classe 2_21351810 - Autres IGAAC : Clos et couvert</v>
      </c>
      <c r="F78" s="112" t="s">
        <v>3922</v>
      </c>
    </row>
    <row r="79" spans="1:6" x14ac:dyDescent="0.3">
      <c r="A79" t="s">
        <v>11</v>
      </c>
      <c r="B79" t="s">
        <v>96</v>
      </c>
      <c r="C79" t="s">
        <v>320</v>
      </c>
      <c r="D79" t="s">
        <v>170</v>
      </c>
      <c r="E79" t="str">
        <f t="shared" ref="E79:E111" si="3">A79&amp;"_"&amp;B79&amp;"_"&amp;C79</f>
        <v>ART ET LE BOIS_Classe 2_21351810 - Autres IGAAC : Clos et couvert</v>
      </c>
      <c r="F79" s="112" t="s">
        <v>3922</v>
      </c>
    </row>
    <row r="80" spans="1:6" x14ac:dyDescent="0.3">
      <c r="A80" t="s">
        <v>11</v>
      </c>
      <c r="B80" t="s">
        <v>96</v>
      </c>
      <c r="C80" t="s">
        <v>320</v>
      </c>
      <c r="D80" t="s">
        <v>39</v>
      </c>
      <c r="E80" t="str">
        <f t="shared" si="3"/>
        <v>ART ET LE BOIS_Classe 2_21351810 - Autres IGAAC : Clos et couvert</v>
      </c>
      <c r="F80" s="112" t="s">
        <v>3921</v>
      </c>
    </row>
    <row r="81" spans="1:6" x14ac:dyDescent="0.3">
      <c r="A81" t="s">
        <v>11</v>
      </c>
      <c r="B81" t="s">
        <v>96</v>
      </c>
      <c r="C81" t="s">
        <v>320</v>
      </c>
      <c r="D81" t="s">
        <v>3924</v>
      </c>
      <c r="E81" t="str">
        <f t="shared" si="3"/>
        <v>ART ET LE BOIS_Classe 2_21351810 - Autres IGAAC : Clos et couvert</v>
      </c>
      <c r="F81" s="112" t="s">
        <v>3922</v>
      </c>
    </row>
    <row r="82" spans="1:6" x14ac:dyDescent="0.3">
      <c r="A82" t="s">
        <v>11</v>
      </c>
      <c r="B82" t="s">
        <v>96</v>
      </c>
      <c r="C82" t="s">
        <v>320</v>
      </c>
      <c r="D82" t="s">
        <v>40</v>
      </c>
      <c r="E82" t="str">
        <f t="shared" si="3"/>
        <v>ART ET LE BOIS_Classe 2_21351810 - Autres IGAAC : Clos et couvert</v>
      </c>
      <c r="F82" s="112" t="s">
        <v>3921</v>
      </c>
    </row>
    <row r="83" spans="1:6" x14ac:dyDescent="0.3">
      <c r="A83" t="s">
        <v>11</v>
      </c>
      <c r="B83" t="s">
        <v>96</v>
      </c>
      <c r="C83" t="s">
        <v>320</v>
      </c>
      <c r="D83" t="s">
        <v>41</v>
      </c>
      <c r="E83" t="str">
        <f t="shared" si="3"/>
        <v>ART ET LE BOIS_Classe 2_21351810 - Autres IGAAC : Clos et couvert</v>
      </c>
      <c r="F83" s="112" t="s">
        <v>3922</v>
      </c>
    </row>
    <row r="84" spans="1:6" x14ac:dyDescent="0.3">
      <c r="A84" t="s">
        <v>11</v>
      </c>
      <c r="B84" t="s">
        <v>96</v>
      </c>
      <c r="C84" t="s">
        <v>320</v>
      </c>
      <c r="D84" t="s">
        <v>3925</v>
      </c>
      <c r="E84" t="str">
        <f t="shared" si="3"/>
        <v>ART ET LE BOIS_Classe 2_21351810 - Autres IGAAC : Clos et couvert</v>
      </c>
      <c r="F84" s="112" t="s">
        <v>3921</v>
      </c>
    </row>
    <row r="85" spans="1:6" x14ac:dyDescent="0.3">
      <c r="A85" t="s">
        <v>11</v>
      </c>
      <c r="B85" t="s">
        <v>96</v>
      </c>
      <c r="C85" t="s">
        <v>320</v>
      </c>
      <c r="D85" t="s">
        <v>42</v>
      </c>
      <c r="E85" t="str">
        <f t="shared" si="3"/>
        <v>ART ET LE BOIS_Classe 2_21351810 - Autres IGAAC : Clos et couvert</v>
      </c>
      <c r="F85" s="112" t="s">
        <v>3922</v>
      </c>
    </row>
    <row r="86" spans="1:6" x14ac:dyDescent="0.3">
      <c r="A86" t="s">
        <v>11</v>
      </c>
      <c r="B86" t="s">
        <v>96</v>
      </c>
      <c r="C86" t="s">
        <v>320</v>
      </c>
      <c r="D86" t="s">
        <v>3926</v>
      </c>
      <c r="E86" t="str">
        <f t="shared" si="3"/>
        <v>ART ET LE BOIS_Classe 2_21351810 - Autres IGAAC : Clos et couvert</v>
      </c>
      <c r="F86" s="112" t="s">
        <v>3922</v>
      </c>
    </row>
    <row r="87" spans="1:6" x14ac:dyDescent="0.3">
      <c r="A87" t="s">
        <v>11</v>
      </c>
      <c r="B87" t="s">
        <v>96</v>
      </c>
      <c r="C87" t="s">
        <v>320</v>
      </c>
      <c r="D87" t="s">
        <v>43</v>
      </c>
      <c r="E87" t="str">
        <f t="shared" si="3"/>
        <v>ART ET LE BOIS_Classe 2_21351810 - Autres IGAAC : Clos et couvert</v>
      </c>
      <c r="F87" s="112" t="s">
        <v>3921</v>
      </c>
    </row>
    <row r="88" spans="1:6" x14ac:dyDescent="0.3">
      <c r="A88" t="s">
        <v>11</v>
      </c>
      <c r="B88" t="s">
        <v>96</v>
      </c>
      <c r="C88" t="s">
        <v>320</v>
      </c>
      <c r="D88" t="s">
        <v>1892</v>
      </c>
      <c r="E88" t="str">
        <f t="shared" si="3"/>
        <v>ART ET LE BOIS_Classe 2_21351810 - Autres IGAAC : Clos et couvert</v>
      </c>
      <c r="F88" s="112" t="s">
        <v>3922</v>
      </c>
    </row>
    <row r="89" spans="1:6" x14ac:dyDescent="0.3">
      <c r="A89" t="s">
        <v>11</v>
      </c>
      <c r="B89" t="s">
        <v>96</v>
      </c>
      <c r="C89" t="s">
        <v>320</v>
      </c>
      <c r="D89" t="s">
        <v>44</v>
      </c>
      <c r="E89" t="str">
        <f t="shared" si="3"/>
        <v>ART ET LE BOIS_Classe 2_21351810 - Autres IGAAC : Clos et couvert</v>
      </c>
      <c r="F89" s="112" t="s">
        <v>3921</v>
      </c>
    </row>
    <row r="90" spans="1:6" x14ac:dyDescent="0.3">
      <c r="A90" t="s">
        <v>11</v>
      </c>
      <c r="B90" t="s">
        <v>96</v>
      </c>
      <c r="C90" t="s">
        <v>320</v>
      </c>
      <c r="D90" t="s">
        <v>45</v>
      </c>
      <c r="E90" t="str">
        <f t="shared" si="3"/>
        <v>ART ET LE BOIS_Classe 2_21351810 - Autres IGAAC : Clos et couvert</v>
      </c>
      <c r="F90" s="112" t="s">
        <v>3922</v>
      </c>
    </row>
    <row r="91" spans="1:6" x14ac:dyDescent="0.3">
      <c r="A91" t="s">
        <v>11</v>
      </c>
      <c r="B91" t="s">
        <v>96</v>
      </c>
      <c r="C91" t="s">
        <v>320</v>
      </c>
      <c r="D91" t="s">
        <v>1039</v>
      </c>
      <c r="E91" t="str">
        <f t="shared" si="3"/>
        <v>ART ET LE BOIS_Classe 2_21351810 - Autres IGAAC : Clos et couvert</v>
      </c>
      <c r="F91" s="112" t="s">
        <v>3922</v>
      </c>
    </row>
    <row r="92" spans="1:6" x14ac:dyDescent="0.3">
      <c r="A92" t="s">
        <v>11</v>
      </c>
      <c r="B92" t="s">
        <v>96</v>
      </c>
      <c r="C92" t="s">
        <v>320</v>
      </c>
      <c r="D92" t="s">
        <v>46</v>
      </c>
      <c r="E92" t="str">
        <f t="shared" si="3"/>
        <v>ART ET LE BOIS_Classe 2_21351810 - Autres IGAAC : Clos et couvert</v>
      </c>
      <c r="F92" s="112" t="s">
        <v>3921</v>
      </c>
    </row>
    <row r="93" spans="1:6" x14ac:dyDescent="0.3">
      <c r="A93" t="s">
        <v>11</v>
      </c>
      <c r="B93" t="s">
        <v>96</v>
      </c>
      <c r="C93" t="s">
        <v>320</v>
      </c>
      <c r="D93" t="s">
        <v>3927</v>
      </c>
      <c r="E93" t="str">
        <f t="shared" si="3"/>
        <v>ART ET LE BOIS_Classe 2_21351810 - Autres IGAAC : Clos et couvert</v>
      </c>
      <c r="F93" s="112" t="s">
        <v>3921</v>
      </c>
    </row>
    <row r="94" spans="1:6" x14ac:dyDescent="0.3">
      <c r="A94" t="s">
        <v>11</v>
      </c>
      <c r="B94" t="s">
        <v>96</v>
      </c>
      <c r="C94" t="s">
        <v>320</v>
      </c>
      <c r="D94" t="s">
        <v>47</v>
      </c>
      <c r="E94" t="str">
        <f t="shared" si="3"/>
        <v>ART ET LE BOIS_Classe 2_21351810 - Autres IGAAC : Clos et couvert</v>
      </c>
      <c r="F94" s="112" t="s">
        <v>3921</v>
      </c>
    </row>
    <row r="95" spans="1:6" x14ac:dyDescent="0.3">
      <c r="A95" t="s">
        <v>11</v>
      </c>
      <c r="B95" t="s">
        <v>96</v>
      </c>
      <c r="C95" t="s">
        <v>320</v>
      </c>
      <c r="D95" t="s">
        <v>48</v>
      </c>
      <c r="E95" t="str">
        <f t="shared" si="3"/>
        <v>ART ET LE BOIS_Classe 2_21351810 - Autres IGAAC : Clos et couvert</v>
      </c>
      <c r="F95" s="112" t="s">
        <v>3922</v>
      </c>
    </row>
    <row r="96" spans="1:6" x14ac:dyDescent="0.3">
      <c r="A96" t="s">
        <v>11</v>
      </c>
      <c r="B96" t="s">
        <v>96</v>
      </c>
      <c r="C96" t="s">
        <v>320</v>
      </c>
      <c r="D96" t="s">
        <v>2104</v>
      </c>
      <c r="E96" t="str">
        <f t="shared" si="3"/>
        <v>ART ET LE BOIS_Classe 2_21351810 - Autres IGAAC : Clos et couvert</v>
      </c>
      <c r="F96" s="112" t="s">
        <v>3921</v>
      </c>
    </row>
    <row r="97" spans="1:6" x14ac:dyDescent="0.3">
      <c r="A97" t="s">
        <v>11</v>
      </c>
      <c r="B97" t="s">
        <v>96</v>
      </c>
      <c r="C97" t="s">
        <v>169</v>
      </c>
      <c r="D97" t="s">
        <v>191</v>
      </c>
      <c r="E97" t="str">
        <f t="shared" si="3"/>
        <v>ART ET LE BOIS_Classe 2_21351820  - Autres IGAAC : Petits travaux et agencement</v>
      </c>
      <c r="F97" s="112" t="s">
        <v>3921</v>
      </c>
    </row>
    <row r="98" spans="1:6" x14ac:dyDescent="0.3">
      <c r="A98" t="s">
        <v>11</v>
      </c>
      <c r="B98" t="s">
        <v>96</v>
      </c>
      <c r="C98" t="s">
        <v>169</v>
      </c>
      <c r="D98" t="s">
        <v>3920</v>
      </c>
      <c r="E98" t="str">
        <f t="shared" si="3"/>
        <v>ART ET LE BOIS_Classe 2_21351820  - Autres IGAAC : Petits travaux et agencement</v>
      </c>
      <c r="F98" s="112" t="s">
        <v>3922</v>
      </c>
    </row>
    <row r="99" spans="1:6" x14ac:dyDescent="0.3">
      <c r="A99" t="s">
        <v>11</v>
      </c>
      <c r="B99" t="s">
        <v>96</v>
      </c>
      <c r="C99" t="s">
        <v>169</v>
      </c>
      <c r="D99" t="s">
        <v>38</v>
      </c>
      <c r="E99" t="str">
        <f t="shared" si="3"/>
        <v>ART ET LE BOIS_Classe 2_21351820  - Autres IGAAC : Petits travaux et agencement</v>
      </c>
      <c r="F99" s="112" t="s">
        <v>3921</v>
      </c>
    </row>
    <row r="100" spans="1:6" x14ac:dyDescent="0.3">
      <c r="A100" t="s">
        <v>11</v>
      </c>
      <c r="B100" t="s">
        <v>96</v>
      </c>
      <c r="C100" t="s">
        <v>169</v>
      </c>
      <c r="D100" t="s">
        <v>3923</v>
      </c>
      <c r="E100" t="str">
        <f t="shared" si="3"/>
        <v>ART ET LE BOIS_Classe 2_21351820  - Autres IGAAC : Petits travaux et agencement</v>
      </c>
      <c r="F100" s="112" t="s">
        <v>3922</v>
      </c>
    </row>
    <row r="101" spans="1:6" x14ac:dyDescent="0.3">
      <c r="A101" t="s">
        <v>11</v>
      </c>
      <c r="B101" t="s">
        <v>96</v>
      </c>
      <c r="C101" t="s">
        <v>169</v>
      </c>
      <c r="D101" t="s">
        <v>170</v>
      </c>
      <c r="E101" t="str">
        <f t="shared" si="3"/>
        <v>ART ET LE BOIS_Classe 2_21351820  - Autres IGAAC : Petits travaux et agencement</v>
      </c>
      <c r="F101" s="112" t="s">
        <v>3922</v>
      </c>
    </row>
    <row r="102" spans="1:6" x14ac:dyDescent="0.3">
      <c r="A102" t="s">
        <v>11</v>
      </c>
      <c r="B102" t="s">
        <v>96</v>
      </c>
      <c r="C102" t="s">
        <v>169</v>
      </c>
      <c r="D102" t="s">
        <v>39</v>
      </c>
      <c r="E102" t="str">
        <f t="shared" si="3"/>
        <v>ART ET LE BOIS_Classe 2_21351820  - Autres IGAAC : Petits travaux et agencement</v>
      </c>
      <c r="F102" s="112" t="s">
        <v>3921</v>
      </c>
    </row>
    <row r="103" spans="1:6" x14ac:dyDescent="0.3">
      <c r="A103" t="s">
        <v>11</v>
      </c>
      <c r="B103" t="s">
        <v>96</v>
      </c>
      <c r="C103" t="s">
        <v>169</v>
      </c>
      <c r="D103" t="s">
        <v>3924</v>
      </c>
      <c r="E103" t="str">
        <f t="shared" si="3"/>
        <v>ART ET LE BOIS_Classe 2_21351820  - Autres IGAAC : Petits travaux et agencement</v>
      </c>
      <c r="F103" s="112" t="s">
        <v>3922</v>
      </c>
    </row>
    <row r="104" spans="1:6" x14ac:dyDescent="0.3">
      <c r="A104" t="s">
        <v>11</v>
      </c>
      <c r="B104" t="s">
        <v>96</v>
      </c>
      <c r="C104" t="s">
        <v>169</v>
      </c>
      <c r="D104" t="s">
        <v>40</v>
      </c>
      <c r="E104" t="str">
        <f t="shared" si="3"/>
        <v>ART ET LE BOIS_Classe 2_21351820  - Autres IGAAC : Petits travaux et agencement</v>
      </c>
      <c r="F104" s="112" t="s">
        <v>3921</v>
      </c>
    </row>
    <row r="105" spans="1:6" x14ac:dyDescent="0.3">
      <c r="A105" t="s">
        <v>11</v>
      </c>
      <c r="B105" t="s">
        <v>96</v>
      </c>
      <c r="C105" t="s">
        <v>169</v>
      </c>
      <c r="D105" t="s">
        <v>41</v>
      </c>
      <c r="E105" t="str">
        <f t="shared" si="3"/>
        <v>ART ET LE BOIS_Classe 2_21351820  - Autres IGAAC : Petits travaux et agencement</v>
      </c>
      <c r="F105" s="112" t="s">
        <v>3922</v>
      </c>
    </row>
    <row r="106" spans="1:6" x14ac:dyDescent="0.3">
      <c r="A106" t="s">
        <v>11</v>
      </c>
      <c r="B106" t="s">
        <v>96</v>
      </c>
      <c r="C106" t="s">
        <v>169</v>
      </c>
      <c r="D106" t="s">
        <v>3925</v>
      </c>
      <c r="E106" t="str">
        <f t="shared" si="3"/>
        <v>ART ET LE BOIS_Classe 2_21351820  - Autres IGAAC : Petits travaux et agencement</v>
      </c>
      <c r="F106" s="112" t="s">
        <v>3921</v>
      </c>
    </row>
    <row r="107" spans="1:6" x14ac:dyDescent="0.3">
      <c r="A107" t="s">
        <v>11</v>
      </c>
      <c r="B107" t="s">
        <v>96</v>
      </c>
      <c r="C107" t="s">
        <v>169</v>
      </c>
      <c r="D107" t="s">
        <v>42</v>
      </c>
      <c r="E107" t="str">
        <f t="shared" si="3"/>
        <v>ART ET LE BOIS_Classe 2_21351820  - Autres IGAAC : Petits travaux et agencement</v>
      </c>
      <c r="F107" s="112" t="s">
        <v>3922</v>
      </c>
    </row>
    <row r="108" spans="1:6" x14ac:dyDescent="0.3">
      <c r="A108" t="s">
        <v>11</v>
      </c>
      <c r="B108" t="s">
        <v>96</v>
      </c>
      <c r="C108" t="s">
        <v>169</v>
      </c>
      <c r="D108" t="s">
        <v>3926</v>
      </c>
      <c r="E108" t="str">
        <f>A108&amp;"_"&amp;B108&amp;"_"&amp;C108</f>
        <v>ART ET LE BOIS_Classe 2_21351820  - Autres IGAAC : Petits travaux et agencement</v>
      </c>
      <c r="F108" s="112" t="s">
        <v>3922</v>
      </c>
    </row>
    <row r="109" spans="1:6" x14ac:dyDescent="0.3">
      <c r="A109" t="s">
        <v>11</v>
      </c>
      <c r="B109" t="s">
        <v>96</v>
      </c>
      <c r="C109" t="s">
        <v>169</v>
      </c>
      <c r="D109" t="s">
        <v>43</v>
      </c>
      <c r="E109" t="str">
        <f t="shared" si="3"/>
        <v>ART ET LE BOIS_Classe 2_21351820  - Autres IGAAC : Petits travaux et agencement</v>
      </c>
      <c r="F109" s="112" t="s">
        <v>3921</v>
      </c>
    </row>
    <row r="110" spans="1:6" x14ac:dyDescent="0.3">
      <c r="A110" t="s">
        <v>11</v>
      </c>
      <c r="B110" t="s">
        <v>96</v>
      </c>
      <c r="C110" t="s">
        <v>169</v>
      </c>
      <c r="D110" t="s">
        <v>1892</v>
      </c>
      <c r="E110" t="str">
        <f t="shared" si="3"/>
        <v>ART ET LE BOIS_Classe 2_21351820  - Autres IGAAC : Petits travaux et agencement</v>
      </c>
      <c r="F110" s="112" t="s">
        <v>3922</v>
      </c>
    </row>
    <row r="111" spans="1:6" x14ac:dyDescent="0.3">
      <c r="A111" t="s">
        <v>11</v>
      </c>
      <c r="B111" t="s">
        <v>96</v>
      </c>
      <c r="C111" t="s">
        <v>169</v>
      </c>
      <c r="D111" t="s">
        <v>44</v>
      </c>
      <c r="E111" t="str">
        <f t="shared" si="3"/>
        <v>ART ET LE BOIS_Classe 2_21351820  - Autres IGAAC : Petits travaux et agencement</v>
      </c>
      <c r="F111" s="112" t="s">
        <v>3921</v>
      </c>
    </row>
    <row r="112" spans="1:6" x14ac:dyDescent="0.3">
      <c r="A112" t="s">
        <v>11</v>
      </c>
      <c r="B112" t="s">
        <v>96</v>
      </c>
      <c r="C112" t="s">
        <v>169</v>
      </c>
      <c r="D112" t="s">
        <v>45</v>
      </c>
      <c r="E112" t="str">
        <f t="shared" ref="E112:E120" si="4">A112&amp;"_"&amp;B112&amp;"_"&amp;C112</f>
        <v>ART ET LE BOIS_Classe 2_21351820  - Autres IGAAC : Petits travaux et agencement</v>
      </c>
      <c r="F112" s="112" t="s">
        <v>3921</v>
      </c>
    </row>
    <row r="113" spans="1:6" x14ac:dyDescent="0.3">
      <c r="A113" t="s">
        <v>11</v>
      </c>
      <c r="B113" t="s">
        <v>96</v>
      </c>
      <c r="C113" t="s">
        <v>169</v>
      </c>
      <c r="D113" t="s">
        <v>1039</v>
      </c>
      <c r="E113" t="str">
        <f t="shared" si="4"/>
        <v>ART ET LE BOIS_Classe 2_21351820  - Autres IGAAC : Petits travaux et agencement</v>
      </c>
      <c r="F113" s="112" t="s">
        <v>3922</v>
      </c>
    </row>
    <row r="114" spans="1:6" x14ac:dyDescent="0.3">
      <c r="A114" t="s">
        <v>11</v>
      </c>
      <c r="B114" t="s">
        <v>96</v>
      </c>
      <c r="C114" t="s">
        <v>169</v>
      </c>
      <c r="D114" t="s">
        <v>46</v>
      </c>
      <c r="E114" t="str">
        <f t="shared" si="4"/>
        <v>ART ET LE BOIS_Classe 2_21351820  - Autres IGAAC : Petits travaux et agencement</v>
      </c>
      <c r="F114" s="112" t="s">
        <v>3922</v>
      </c>
    </row>
    <row r="115" spans="1:6" x14ac:dyDescent="0.3">
      <c r="A115" t="s">
        <v>11</v>
      </c>
      <c r="B115" t="s">
        <v>96</v>
      </c>
      <c r="C115" t="s">
        <v>169</v>
      </c>
      <c r="D115" t="s">
        <v>3927</v>
      </c>
      <c r="E115" t="str">
        <f t="shared" si="4"/>
        <v>ART ET LE BOIS_Classe 2_21351820  - Autres IGAAC : Petits travaux et agencement</v>
      </c>
      <c r="F115" s="112" t="s">
        <v>3922</v>
      </c>
    </row>
    <row r="116" spans="1:6" x14ac:dyDescent="0.3">
      <c r="A116" t="s">
        <v>11</v>
      </c>
      <c r="B116" t="s">
        <v>96</v>
      </c>
      <c r="C116" t="s">
        <v>169</v>
      </c>
      <c r="D116" t="s">
        <v>176</v>
      </c>
      <c r="E116" t="str">
        <f t="shared" si="4"/>
        <v>ART ET LE BOIS_Classe 2_21351820  - Autres IGAAC : Petits travaux et agencement</v>
      </c>
      <c r="F116" s="112" t="s">
        <v>3922</v>
      </c>
    </row>
    <row r="117" spans="1:6" x14ac:dyDescent="0.3">
      <c r="A117" t="s">
        <v>11</v>
      </c>
      <c r="B117" t="s">
        <v>96</v>
      </c>
      <c r="C117" t="s">
        <v>169</v>
      </c>
      <c r="D117" t="s">
        <v>47</v>
      </c>
      <c r="E117" t="str">
        <f t="shared" si="4"/>
        <v>ART ET LE BOIS_Classe 2_21351820  - Autres IGAAC : Petits travaux et agencement</v>
      </c>
      <c r="F117" s="112" t="s">
        <v>3922</v>
      </c>
    </row>
    <row r="118" spans="1:6" x14ac:dyDescent="0.3">
      <c r="A118" t="s">
        <v>11</v>
      </c>
      <c r="B118" t="s">
        <v>96</v>
      </c>
      <c r="C118" t="s">
        <v>169</v>
      </c>
      <c r="D118" t="s">
        <v>48</v>
      </c>
      <c r="E118" t="str">
        <f t="shared" si="4"/>
        <v>ART ET LE BOIS_Classe 2_21351820  - Autres IGAAC : Petits travaux et agencement</v>
      </c>
      <c r="F118" s="112" t="s">
        <v>3922</v>
      </c>
    </row>
    <row r="119" spans="1:6" x14ac:dyDescent="0.3">
      <c r="A119" t="s">
        <v>11</v>
      </c>
      <c r="B119" t="s">
        <v>96</v>
      </c>
      <c r="C119" t="s">
        <v>169</v>
      </c>
      <c r="D119" t="s">
        <v>299</v>
      </c>
      <c r="E119" t="str">
        <f t="shared" si="4"/>
        <v>ART ET LE BOIS_Classe 2_21351820  - Autres IGAAC : Petits travaux et agencement</v>
      </c>
      <c r="F119" s="112" t="s">
        <v>3922</v>
      </c>
    </row>
    <row r="120" spans="1:6" x14ac:dyDescent="0.3">
      <c r="A120" t="s">
        <v>11</v>
      </c>
      <c r="B120" t="s">
        <v>96</v>
      </c>
      <c r="C120" t="s">
        <v>169</v>
      </c>
      <c r="D120">
        <v>2025009</v>
      </c>
      <c r="E120" t="str">
        <f t="shared" si="4"/>
        <v>ART ET LE BOIS_Classe 2_21351820  - Autres IGAAC : Petits travaux et agencement</v>
      </c>
      <c r="F120" s="112" t="s">
        <v>3922</v>
      </c>
    </row>
    <row r="121" spans="1:6" x14ac:dyDescent="0.3">
      <c r="A121" t="s">
        <v>11</v>
      </c>
      <c r="B121" t="s">
        <v>96</v>
      </c>
      <c r="C121" t="s">
        <v>169</v>
      </c>
      <c r="D121" t="s">
        <v>1174</v>
      </c>
      <c r="E121" t="str">
        <f t="shared" ref="E121:E185" si="5">A121&amp;"_"&amp;B121&amp;"_"&amp;C121</f>
        <v>ART ET LE BOIS_Classe 2_21351820  - Autres IGAAC : Petits travaux et agencement</v>
      </c>
      <c r="F121" s="112" t="s">
        <v>3921</v>
      </c>
    </row>
    <row r="122" spans="1:6" x14ac:dyDescent="0.3">
      <c r="A122" t="s">
        <v>11</v>
      </c>
      <c r="B122" t="s">
        <v>96</v>
      </c>
      <c r="C122" t="s">
        <v>169</v>
      </c>
      <c r="D122" t="s">
        <v>2137</v>
      </c>
      <c r="E122" t="str">
        <f t="shared" si="5"/>
        <v>ART ET LE BOIS_Classe 2_21351820  - Autres IGAAC : Petits travaux et agencement</v>
      </c>
      <c r="F122" s="112" t="s">
        <v>3922</v>
      </c>
    </row>
    <row r="123" spans="1:6" x14ac:dyDescent="0.3">
      <c r="A123" t="s">
        <v>11</v>
      </c>
      <c r="B123" t="s">
        <v>96</v>
      </c>
      <c r="C123" t="s">
        <v>169</v>
      </c>
      <c r="D123" t="s">
        <v>1746</v>
      </c>
      <c r="E123" t="str">
        <f t="shared" si="5"/>
        <v>ART ET LE BOIS_Classe 2_21351820  - Autres IGAAC : Petits travaux et agencement</v>
      </c>
      <c r="F123" s="112" t="s">
        <v>3921</v>
      </c>
    </row>
    <row r="124" spans="1:6" x14ac:dyDescent="0.3">
      <c r="A124" t="s">
        <v>11</v>
      </c>
      <c r="B124" t="s">
        <v>96</v>
      </c>
      <c r="C124" t="s">
        <v>169</v>
      </c>
      <c r="D124" t="s">
        <v>3125</v>
      </c>
      <c r="E124" t="str">
        <f t="shared" si="5"/>
        <v>ART ET LE BOIS_Classe 2_21351820  - Autres IGAAC : Petits travaux et agencement</v>
      </c>
      <c r="F124" s="112" t="s">
        <v>3921</v>
      </c>
    </row>
    <row r="125" spans="1:6" x14ac:dyDescent="0.3">
      <c r="A125" t="s">
        <v>11</v>
      </c>
      <c r="B125" t="s">
        <v>96</v>
      </c>
      <c r="C125" t="s">
        <v>169</v>
      </c>
      <c r="D125" t="s">
        <v>3310</v>
      </c>
      <c r="E125" t="str">
        <f t="shared" si="5"/>
        <v>ART ET LE BOIS_Classe 2_21351820  - Autres IGAAC : Petits travaux et agencement</v>
      </c>
      <c r="F125" s="112" t="s">
        <v>3922</v>
      </c>
    </row>
    <row r="126" spans="1:6" x14ac:dyDescent="0.3">
      <c r="A126" t="s">
        <v>11</v>
      </c>
      <c r="B126" t="s">
        <v>96</v>
      </c>
      <c r="C126" t="s">
        <v>294</v>
      </c>
      <c r="D126" t="s">
        <v>2661</v>
      </c>
      <c r="E126" t="str">
        <f t="shared" si="5"/>
        <v>ART ET LE BOIS_Classe 2_21351820 -  Autres IGAAC : Petits travaux et agencement</v>
      </c>
      <c r="F126" s="112" t="s">
        <v>3921</v>
      </c>
    </row>
    <row r="127" spans="1:6" x14ac:dyDescent="0.3">
      <c r="A127" t="s">
        <v>11</v>
      </c>
      <c r="B127" t="s">
        <v>96</v>
      </c>
      <c r="C127" s="2" t="s">
        <v>1869</v>
      </c>
      <c r="D127" t="s">
        <v>1870</v>
      </c>
      <c r="E127" t="str">
        <f t="shared" si="5"/>
        <v>ART ET LE BOIS_Classe 2_213518999 - Accessibilité EPSVE opération AD'AP</v>
      </c>
      <c r="F127" s="112" t="s">
        <v>3922</v>
      </c>
    </row>
    <row r="128" spans="1:6" x14ac:dyDescent="0.3">
      <c r="A128" t="s">
        <v>11</v>
      </c>
      <c r="B128" t="s">
        <v>96</v>
      </c>
      <c r="C128" t="s">
        <v>3298</v>
      </c>
      <c r="D128" t="s">
        <v>3920</v>
      </c>
      <c r="E128" t="str">
        <f t="shared" si="5"/>
        <v>ART ET LE BOIS_Classe 2_21354010 - IGAAC agencement (bât. Sociaux et Médico-sociaux)</v>
      </c>
      <c r="F128" s="112" t="s">
        <v>3922</v>
      </c>
    </row>
    <row r="129" spans="1:6" x14ac:dyDescent="0.3">
      <c r="A129" t="s">
        <v>11</v>
      </c>
      <c r="B129" t="s">
        <v>96</v>
      </c>
      <c r="C129" t="s">
        <v>3298</v>
      </c>
      <c r="D129" t="s">
        <v>38</v>
      </c>
      <c r="E129" t="str">
        <f t="shared" si="5"/>
        <v>ART ET LE BOIS_Classe 2_21354010 - IGAAC agencement (bât. Sociaux et Médico-sociaux)</v>
      </c>
      <c r="F129" s="112" t="s">
        <v>3921</v>
      </c>
    </row>
    <row r="130" spans="1:6" x14ac:dyDescent="0.3">
      <c r="A130" t="s">
        <v>11</v>
      </c>
      <c r="B130" t="s">
        <v>96</v>
      </c>
      <c r="C130" t="s">
        <v>3298</v>
      </c>
      <c r="D130" t="s">
        <v>3923</v>
      </c>
      <c r="E130" t="str">
        <f t="shared" si="5"/>
        <v>ART ET LE BOIS_Classe 2_21354010 - IGAAC agencement (bât. Sociaux et Médico-sociaux)</v>
      </c>
      <c r="F130" s="112" t="s">
        <v>3922</v>
      </c>
    </row>
    <row r="131" spans="1:6" x14ac:dyDescent="0.3">
      <c r="A131" t="s">
        <v>11</v>
      </c>
      <c r="B131" t="s">
        <v>96</v>
      </c>
      <c r="C131" t="s">
        <v>3298</v>
      </c>
      <c r="D131" t="s">
        <v>170</v>
      </c>
      <c r="E131" t="str">
        <f t="shared" si="5"/>
        <v>ART ET LE BOIS_Classe 2_21354010 - IGAAC agencement (bât. Sociaux et Médico-sociaux)</v>
      </c>
      <c r="F131" s="112" t="s">
        <v>3921</v>
      </c>
    </row>
    <row r="132" spans="1:6" x14ac:dyDescent="0.3">
      <c r="A132" t="s">
        <v>11</v>
      </c>
      <c r="B132" t="s">
        <v>96</v>
      </c>
      <c r="C132" t="s">
        <v>3298</v>
      </c>
      <c r="D132" t="s">
        <v>39</v>
      </c>
      <c r="E132" t="str">
        <f t="shared" si="5"/>
        <v>ART ET LE BOIS_Classe 2_21354010 - IGAAC agencement (bât. Sociaux et Médico-sociaux)</v>
      </c>
      <c r="F132" s="112" t="s">
        <v>3922</v>
      </c>
    </row>
    <row r="133" spans="1:6" x14ac:dyDescent="0.3">
      <c r="A133" t="s">
        <v>11</v>
      </c>
      <c r="B133" t="s">
        <v>96</v>
      </c>
      <c r="C133" t="s">
        <v>3298</v>
      </c>
      <c r="D133" t="s">
        <v>3924</v>
      </c>
      <c r="E133" t="str">
        <f t="shared" si="5"/>
        <v>ART ET LE BOIS_Classe 2_21354010 - IGAAC agencement (bât. Sociaux et Médico-sociaux)</v>
      </c>
      <c r="F133" s="112" t="s">
        <v>3921</v>
      </c>
    </row>
    <row r="134" spans="1:6" x14ac:dyDescent="0.3">
      <c r="A134" t="s">
        <v>11</v>
      </c>
      <c r="B134" t="s">
        <v>96</v>
      </c>
      <c r="C134" t="s">
        <v>3298</v>
      </c>
      <c r="D134" t="s">
        <v>40</v>
      </c>
      <c r="E134" t="str">
        <f t="shared" si="5"/>
        <v>ART ET LE BOIS_Classe 2_21354010 - IGAAC agencement (bât. Sociaux et Médico-sociaux)</v>
      </c>
      <c r="F134" s="112" t="s">
        <v>3922</v>
      </c>
    </row>
    <row r="135" spans="1:6" x14ac:dyDescent="0.3">
      <c r="A135" t="s">
        <v>11</v>
      </c>
      <c r="B135" t="s">
        <v>96</v>
      </c>
      <c r="C135" t="s">
        <v>3298</v>
      </c>
      <c r="D135" t="s">
        <v>41</v>
      </c>
      <c r="E135" t="str">
        <f t="shared" si="5"/>
        <v>ART ET LE BOIS_Classe 2_21354010 - IGAAC agencement (bât. Sociaux et Médico-sociaux)</v>
      </c>
      <c r="F135" s="112" t="s">
        <v>3922</v>
      </c>
    </row>
    <row r="136" spans="1:6" x14ac:dyDescent="0.3">
      <c r="A136" t="s">
        <v>11</v>
      </c>
      <c r="B136" t="s">
        <v>96</v>
      </c>
      <c r="C136" t="s">
        <v>3298</v>
      </c>
      <c r="D136" t="s">
        <v>3925</v>
      </c>
      <c r="E136" t="str">
        <f t="shared" si="5"/>
        <v>ART ET LE BOIS_Classe 2_21354010 - IGAAC agencement (bât. Sociaux et Médico-sociaux)</v>
      </c>
      <c r="F136" s="112" t="s">
        <v>3921</v>
      </c>
    </row>
    <row r="137" spans="1:6" x14ac:dyDescent="0.3">
      <c r="A137" t="s">
        <v>11</v>
      </c>
      <c r="B137" t="s">
        <v>96</v>
      </c>
      <c r="C137" t="s">
        <v>3298</v>
      </c>
      <c r="D137" t="s">
        <v>42</v>
      </c>
      <c r="E137" t="str">
        <f t="shared" si="5"/>
        <v>ART ET LE BOIS_Classe 2_21354010 - IGAAC agencement (bât. Sociaux et Médico-sociaux)</v>
      </c>
      <c r="F137" s="112" t="s">
        <v>3922</v>
      </c>
    </row>
    <row r="138" spans="1:6" x14ac:dyDescent="0.3">
      <c r="A138" t="s">
        <v>11</v>
      </c>
      <c r="B138" t="s">
        <v>96</v>
      </c>
      <c r="C138" t="s">
        <v>3298</v>
      </c>
      <c r="D138" t="s">
        <v>3926</v>
      </c>
      <c r="E138" t="str">
        <f t="shared" si="5"/>
        <v>ART ET LE BOIS_Classe 2_21354010 - IGAAC agencement (bât. Sociaux et Médico-sociaux)</v>
      </c>
      <c r="F138" s="112" t="s">
        <v>3921</v>
      </c>
    </row>
    <row r="139" spans="1:6" x14ac:dyDescent="0.3">
      <c r="A139" t="s">
        <v>11</v>
      </c>
      <c r="B139" t="s">
        <v>96</v>
      </c>
      <c r="C139" t="s">
        <v>3298</v>
      </c>
      <c r="D139" t="s">
        <v>43</v>
      </c>
      <c r="E139" t="str">
        <f>A139&amp;"_"&amp;B139&amp;"_"&amp;C139</f>
        <v>ART ET LE BOIS_Classe 2_21354010 - IGAAC agencement (bât. Sociaux et Médico-sociaux)</v>
      </c>
      <c r="F139" s="112" t="s">
        <v>3922</v>
      </c>
    </row>
    <row r="140" spans="1:6" x14ac:dyDescent="0.3">
      <c r="A140" t="s">
        <v>11</v>
      </c>
      <c r="B140" t="s">
        <v>96</v>
      </c>
      <c r="C140" t="s">
        <v>3298</v>
      </c>
      <c r="D140" t="s">
        <v>1892</v>
      </c>
      <c r="E140" t="str">
        <f t="shared" si="5"/>
        <v>ART ET LE BOIS_Classe 2_21354010 - IGAAC agencement (bât. Sociaux et Médico-sociaux)</v>
      </c>
      <c r="F140" s="112" t="s">
        <v>3922</v>
      </c>
    </row>
    <row r="141" spans="1:6" x14ac:dyDescent="0.3">
      <c r="A141" t="s">
        <v>11</v>
      </c>
      <c r="B141" t="s">
        <v>96</v>
      </c>
      <c r="C141" t="s">
        <v>3298</v>
      </c>
      <c r="D141" t="s">
        <v>44</v>
      </c>
      <c r="E141" t="str">
        <f t="shared" si="5"/>
        <v>ART ET LE BOIS_Classe 2_21354010 - IGAAC agencement (bât. Sociaux et Médico-sociaux)</v>
      </c>
      <c r="F141" s="112" t="s">
        <v>3922</v>
      </c>
    </row>
    <row r="142" spans="1:6" x14ac:dyDescent="0.3">
      <c r="A142" t="s">
        <v>11</v>
      </c>
      <c r="B142" t="s">
        <v>96</v>
      </c>
      <c r="C142" t="s">
        <v>3298</v>
      </c>
      <c r="D142" t="s">
        <v>45</v>
      </c>
      <c r="E142" t="str">
        <f t="shared" si="5"/>
        <v>ART ET LE BOIS_Classe 2_21354010 - IGAAC agencement (bât. Sociaux et Médico-sociaux)</v>
      </c>
      <c r="F142" s="112" t="s">
        <v>3922</v>
      </c>
    </row>
    <row r="143" spans="1:6" x14ac:dyDescent="0.3">
      <c r="A143" t="s">
        <v>11</v>
      </c>
      <c r="B143" t="s">
        <v>96</v>
      </c>
      <c r="C143" t="s">
        <v>3298</v>
      </c>
      <c r="D143" t="s">
        <v>1039</v>
      </c>
      <c r="E143" t="str">
        <f t="shared" si="5"/>
        <v>ART ET LE BOIS_Classe 2_21354010 - IGAAC agencement (bât. Sociaux et Médico-sociaux)</v>
      </c>
      <c r="F143" s="112" t="s">
        <v>3922</v>
      </c>
    </row>
    <row r="144" spans="1:6" x14ac:dyDescent="0.3">
      <c r="A144" t="s">
        <v>11</v>
      </c>
      <c r="B144" t="s">
        <v>96</v>
      </c>
      <c r="C144" t="s">
        <v>3298</v>
      </c>
      <c r="D144" t="s">
        <v>46</v>
      </c>
      <c r="E144" t="str">
        <f t="shared" si="5"/>
        <v>ART ET LE BOIS_Classe 2_21354010 - IGAAC agencement (bât. Sociaux et Médico-sociaux)</v>
      </c>
      <c r="F144" s="112" t="s">
        <v>3922</v>
      </c>
    </row>
    <row r="145" spans="1:6" x14ac:dyDescent="0.3">
      <c r="A145" t="s">
        <v>11</v>
      </c>
      <c r="B145" t="s">
        <v>96</v>
      </c>
      <c r="C145" t="s">
        <v>3298</v>
      </c>
      <c r="D145" t="s">
        <v>3927</v>
      </c>
      <c r="E145" t="str">
        <f t="shared" si="5"/>
        <v>ART ET LE BOIS_Classe 2_21354010 - IGAAC agencement (bât. Sociaux et Médico-sociaux)</v>
      </c>
      <c r="F145" s="112" t="s">
        <v>3922</v>
      </c>
    </row>
    <row r="146" spans="1:6" x14ac:dyDescent="0.3">
      <c r="A146" t="s">
        <v>11</v>
      </c>
      <c r="B146" t="s">
        <v>96</v>
      </c>
      <c r="C146" t="s">
        <v>3298</v>
      </c>
      <c r="D146" t="s">
        <v>47</v>
      </c>
      <c r="E146" t="str">
        <f t="shared" si="5"/>
        <v>ART ET LE BOIS_Classe 2_21354010 - IGAAC agencement (bât. Sociaux et Médico-sociaux)</v>
      </c>
      <c r="F146" s="112" t="s">
        <v>3922</v>
      </c>
    </row>
    <row r="147" spans="1:6" x14ac:dyDescent="0.3">
      <c r="A147" t="s">
        <v>11</v>
      </c>
      <c r="B147" t="s">
        <v>96</v>
      </c>
      <c r="C147" t="s">
        <v>3298</v>
      </c>
      <c r="D147" t="s">
        <v>48</v>
      </c>
      <c r="E147" t="str">
        <f t="shared" si="5"/>
        <v>ART ET LE BOIS_Classe 2_21354010 - IGAAC agencement (bât. Sociaux et Médico-sociaux)</v>
      </c>
      <c r="F147" s="112" t="s">
        <v>3922</v>
      </c>
    </row>
    <row r="148" spans="1:6" x14ac:dyDescent="0.3">
      <c r="A148" t="s">
        <v>11</v>
      </c>
      <c r="B148" t="s">
        <v>79</v>
      </c>
      <c r="C148" t="s">
        <v>182</v>
      </c>
      <c r="D148" t="s">
        <v>83</v>
      </c>
      <c r="E148" t="str">
        <f t="shared" si="5"/>
        <v>ART ET LE BOIS_Classe 6_615222 - Classe 6 Travaux Pôle</v>
      </c>
      <c r="F148" s="112" t="s">
        <v>3921</v>
      </c>
    </row>
    <row r="149" spans="1:6" x14ac:dyDescent="0.3">
      <c r="A149" t="s">
        <v>11</v>
      </c>
      <c r="B149" t="s">
        <v>79</v>
      </c>
      <c r="C149" t="s">
        <v>81</v>
      </c>
      <c r="D149" t="s">
        <v>83</v>
      </c>
      <c r="E149" t="str">
        <f t="shared" si="5"/>
        <v>ART ET LE BOIS_Classe 6_615223 - Classe 6 Travaux Hors Pôle</v>
      </c>
      <c r="F149" s="112" t="s">
        <v>3922</v>
      </c>
    </row>
    <row r="150" spans="1:6" x14ac:dyDescent="0.3">
      <c r="A150" t="s">
        <v>1697</v>
      </c>
      <c r="B150" t="s">
        <v>96</v>
      </c>
      <c r="C150" t="s">
        <v>1698</v>
      </c>
      <c r="D150" t="s">
        <v>1699</v>
      </c>
      <c r="E150" t="str">
        <f t="shared" si="5"/>
        <v>ATELIER AUDIOVISUEL_Classe 2_2382312703 - Pôle Enseignement formation</v>
      </c>
      <c r="F150" s="112" t="s">
        <v>3921</v>
      </c>
    </row>
    <row r="151" spans="1:6" x14ac:dyDescent="0.3">
      <c r="A151" t="s">
        <v>676</v>
      </c>
      <c r="B151" t="s">
        <v>79</v>
      </c>
      <c r="C151" s="8" t="s">
        <v>241</v>
      </c>
      <c r="D151" t="s">
        <v>677</v>
      </c>
      <c r="E151" t="str">
        <f t="shared" si="5"/>
        <v>ATRP TELECOM_Classe 6_6152582 - Classe 6 Maintenance Hors Forfait</v>
      </c>
      <c r="F151" s="112" t="s">
        <v>3921</v>
      </c>
    </row>
    <row r="152" spans="1:6" x14ac:dyDescent="0.3">
      <c r="A152" t="s">
        <v>13</v>
      </c>
      <c r="B152" t="s">
        <v>96</v>
      </c>
      <c r="C152" s="10" t="s">
        <v>681</v>
      </c>
      <c r="D152" t="s">
        <v>682</v>
      </c>
      <c r="E152" t="str">
        <f t="shared" si="5"/>
        <v>AVENIR DECONSTRUCTION_Classe 2_2382312704 - Pôle Santé</v>
      </c>
      <c r="F152" s="112" t="s">
        <v>3922</v>
      </c>
    </row>
    <row r="153" spans="1:6" x14ac:dyDescent="0.3">
      <c r="A153" t="s">
        <v>13</v>
      </c>
      <c r="B153" t="s">
        <v>79</v>
      </c>
      <c r="C153" t="s">
        <v>182</v>
      </c>
      <c r="D153" t="s">
        <v>83</v>
      </c>
      <c r="E153" t="str">
        <f t="shared" si="5"/>
        <v>AVENIR DECONSTRUCTION_Classe 6_615222 - Classe 6 Travaux Pôle</v>
      </c>
      <c r="F153" s="112" t="s">
        <v>3921</v>
      </c>
    </row>
    <row r="154" spans="1:6" x14ac:dyDescent="0.3">
      <c r="A154" t="s">
        <v>13</v>
      </c>
      <c r="B154" t="s">
        <v>79</v>
      </c>
      <c r="C154" t="s">
        <v>81</v>
      </c>
      <c r="D154" t="s">
        <v>83</v>
      </c>
      <c r="E154" t="str">
        <f t="shared" si="5"/>
        <v>AVENIR DECONSTRUCTION_Classe 6_615223 - Classe 6 Travaux Hors Pôle</v>
      </c>
      <c r="F154" s="112" t="s">
        <v>3922</v>
      </c>
    </row>
    <row r="155" spans="1:6" x14ac:dyDescent="0.3">
      <c r="A155" t="s">
        <v>15</v>
      </c>
      <c r="B155" t="s">
        <v>96</v>
      </c>
      <c r="C155" s="8" t="s">
        <v>2054</v>
      </c>
      <c r="D155" t="s">
        <v>3920</v>
      </c>
      <c r="E155" t="str">
        <f t="shared" si="5"/>
        <v>BSMG_Classe 2_21351300 - IGAAC : Matériel Froid (clim bâtiment)</v>
      </c>
      <c r="F155" s="112" t="s">
        <v>3922</v>
      </c>
    </row>
    <row r="156" spans="1:6" x14ac:dyDescent="0.3">
      <c r="A156" t="s">
        <v>15</v>
      </c>
      <c r="B156" t="s">
        <v>96</v>
      </c>
      <c r="C156" s="8" t="s">
        <v>2054</v>
      </c>
      <c r="D156" t="s">
        <v>38</v>
      </c>
      <c r="E156" t="str">
        <f t="shared" si="5"/>
        <v>BSMG_Classe 2_21351300 - IGAAC : Matériel Froid (clim bâtiment)</v>
      </c>
      <c r="F156" s="112" t="s">
        <v>3921</v>
      </c>
    </row>
    <row r="157" spans="1:6" x14ac:dyDescent="0.3">
      <c r="A157" t="s">
        <v>15</v>
      </c>
      <c r="B157" t="s">
        <v>96</v>
      </c>
      <c r="C157" s="8" t="s">
        <v>2054</v>
      </c>
      <c r="D157" t="s">
        <v>3923</v>
      </c>
      <c r="E157" t="str">
        <f t="shared" si="5"/>
        <v>BSMG_Classe 2_21351300 - IGAAC : Matériel Froid (clim bâtiment)</v>
      </c>
      <c r="F157" s="112" t="s">
        <v>3922</v>
      </c>
    </row>
    <row r="158" spans="1:6" x14ac:dyDescent="0.3">
      <c r="A158" t="s">
        <v>15</v>
      </c>
      <c r="B158" t="s">
        <v>96</v>
      </c>
      <c r="C158" s="8" t="s">
        <v>2054</v>
      </c>
      <c r="D158" t="s">
        <v>170</v>
      </c>
      <c r="E158" t="str">
        <f t="shared" si="5"/>
        <v>BSMG_Classe 2_21351300 - IGAAC : Matériel Froid (clim bâtiment)</v>
      </c>
      <c r="F158" s="112" t="s">
        <v>3921</v>
      </c>
    </row>
    <row r="159" spans="1:6" x14ac:dyDescent="0.3">
      <c r="A159" t="s">
        <v>15</v>
      </c>
      <c r="B159" t="s">
        <v>96</v>
      </c>
      <c r="C159" s="8" t="s">
        <v>2054</v>
      </c>
      <c r="D159" t="s">
        <v>39</v>
      </c>
      <c r="E159" t="str">
        <f t="shared" si="5"/>
        <v>BSMG_Classe 2_21351300 - IGAAC : Matériel Froid (clim bâtiment)</v>
      </c>
      <c r="F159" s="112" t="s">
        <v>3922</v>
      </c>
    </row>
    <row r="160" spans="1:6" x14ac:dyDescent="0.3">
      <c r="A160" t="s">
        <v>15</v>
      </c>
      <c r="B160" t="s">
        <v>96</v>
      </c>
      <c r="C160" s="8" t="s">
        <v>2054</v>
      </c>
      <c r="D160" t="s">
        <v>3924</v>
      </c>
      <c r="E160" t="str">
        <f t="shared" si="5"/>
        <v>BSMG_Classe 2_21351300 - IGAAC : Matériel Froid (clim bâtiment)</v>
      </c>
      <c r="F160" s="112" t="s">
        <v>3921</v>
      </c>
    </row>
    <row r="161" spans="1:6" x14ac:dyDescent="0.3">
      <c r="A161" t="s">
        <v>15</v>
      </c>
      <c r="B161" t="s">
        <v>96</v>
      </c>
      <c r="C161" s="8" t="s">
        <v>2054</v>
      </c>
      <c r="D161" t="s">
        <v>40</v>
      </c>
      <c r="E161" t="str">
        <f t="shared" si="5"/>
        <v>BSMG_Classe 2_21351300 - IGAAC : Matériel Froid (clim bâtiment)</v>
      </c>
      <c r="F161" s="112" t="s">
        <v>3922</v>
      </c>
    </row>
    <row r="162" spans="1:6" x14ac:dyDescent="0.3">
      <c r="A162" t="s">
        <v>15</v>
      </c>
      <c r="B162" t="s">
        <v>96</v>
      </c>
      <c r="C162" s="8" t="s">
        <v>2054</v>
      </c>
      <c r="D162" t="s">
        <v>41</v>
      </c>
      <c r="E162" t="str">
        <f t="shared" si="5"/>
        <v>BSMG_Classe 2_21351300 - IGAAC : Matériel Froid (clim bâtiment)</v>
      </c>
      <c r="F162" s="112" t="s">
        <v>3922</v>
      </c>
    </row>
    <row r="163" spans="1:6" x14ac:dyDescent="0.3">
      <c r="A163" t="s">
        <v>15</v>
      </c>
      <c r="B163" t="s">
        <v>96</v>
      </c>
      <c r="C163" s="8" t="s">
        <v>2054</v>
      </c>
      <c r="D163" t="s">
        <v>3925</v>
      </c>
      <c r="E163" t="str">
        <f t="shared" si="5"/>
        <v>BSMG_Classe 2_21351300 - IGAAC : Matériel Froid (clim bâtiment)</v>
      </c>
      <c r="F163" s="112" t="s">
        <v>3921</v>
      </c>
    </row>
    <row r="164" spans="1:6" x14ac:dyDescent="0.3">
      <c r="A164" t="s">
        <v>15</v>
      </c>
      <c r="B164" t="s">
        <v>96</v>
      </c>
      <c r="C164" s="8" t="s">
        <v>2054</v>
      </c>
      <c r="D164" t="s">
        <v>42</v>
      </c>
      <c r="E164" t="str">
        <f t="shared" si="5"/>
        <v>BSMG_Classe 2_21351300 - IGAAC : Matériel Froid (clim bâtiment)</v>
      </c>
      <c r="F164" s="112" t="s">
        <v>3922</v>
      </c>
    </row>
    <row r="165" spans="1:6" x14ac:dyDescent="0.3">
      <c r="A165" t="s">
        <v>15</v>
      </c>
      <c r="B165" t="s">
        <v>96</v>
      </c>
      <c r="C165" s="8" t="s">
        <v>2054</v>
      </c>
      <c r="D165" t="s">
        <v>3926</v>
      </c>
      <c r="E165" t="str">
        <f t="shared" si="5"/>
        <v>BSMG_Classe 2_21351300 - IGAAC : Matériel Froid (clim bâtiment)</v>
      </c>
      <c r="F165" s="112" t="s">
        <v>3921</v>
      </c>
    </row>
    <row r="166" spans="1:6" x14ac:dyDescent="0.3">
      <c r="A166" t="s">
        <v>15</v>
      </c>
      <c r="B166" t="s">
        <v>96</v>
      </c>
      <c r="C166" s="8" t="s">
        <v>2054</v>
      </c>
      <c r="D166" t="s">
        <v>43</v>
      </c>
      <c r="E166" t="str">
        <f t="shared" si="5"/>
        <v>BSMG_Classe 2_21351300 - IGAAC : Matériel Froid (clim bâtiment)</v>
      </c>
      <c r="F166" s="112" t="s">
        <v>3922</v>
      </c>
    </row>
    <row r="167" spans="1:6" x14ac:dyDescent="0.3">
      <c r="A167" t="s">
        <v>15</v>
      </c>
      <c r="B167" t="s">
        <v>96</v>
      </c>
      <c r="C167" s="8" t="s">
        <v>2054</v>
      </c>
      <c r="D167" t="s">
        <v>1892</v>
      </c>
      <c r="E167" t="str">
        <f t="shared" si="5"/>
        <v>BSMG_Classe 2_21351300 - IGAAC : Matériel Froid (clim bâtiment)</v>
      </c>
      <c r="F167" s="112" t="s">
        <v>3922</v>
      </c>
    </row>
    <row r="168" spans="1:6" x14ac:dyDescent="0.3">
      <c r="A168" t="s">
        <v>15</v>
      </c>
      <c r="B168" t="s">
        <v>96</v>
      </c>
      <c r="C168" s="8" t="s">
        <v>2054</v>
      </c>
      <c r="D168" t="s">
        <v>44</v>
      </c>
      <c r="E168" t="str">
        <f t="shared" si="5"/>
        <v>BSMG_Classe 2_21351300 - IGAAC : Matériel Froid (clim bâtiment)</v>
      </c>
      <c r="F168" s="112" t="s">
        <v>3922</v>
      </c>
    </row>
    <row r="169" spans="1:6" x14ac:dyDescent="0.3">
      <c r="A169" t="s">
        <v>15</v>
      </c>
      <c r="B169" t="s">
        <v>96</v>
      </c>
      <c r="C169" s="8" t="s">
        <v>2054</v>
      </c>
      <c r="D169" t="s">
        <v>45</v>
      </c>
      <c r="E169" t="str">
        <f t="shared" si="5"/>
        <v>BSMG_Classe 2_21351300 - IGAAC : Matériel Froid (clim bâtiment)</v>
      </c>
      <c r="F169" s="112" t="s">
        <v>3921</v>
      </c>
    </row>
    <row r="170" spans="1:6" x14ac:dyDescent="0.3">
      <c r="A170" t="s">
        <v>15</v>
      </c>
      <c r="B170" t="s">
        <v>96</v>
      </c>
      <c r="C170" s="8" t="s">
        <v>2054</v>
      </c>
      <c r="D170" t="s">
        <v>1039</v>
      </c>
      <c r="E170" t="str">
        <f t="shared" si="5"/>
        <v>BSMG_Classe 2_21351300 - IGAAC : Matériel Froid (clim bâtiment)</v>
      </c>
      <c r="F170" s="112" t="s">
        <v>3922</v>
      </c>
    </row>
    <row r="171" spans="1:6" x14ac:dyDescent="0.3">
      <c r="A171" t="s">
        <v>15</v>
      </c>
      <c r="B171" t="s">
        <v>96</v>
      </c>
      <c r="C171" s="8" t="s">
        <v>2054</v>
      </c>
      <c r="D171" t="s">
        <v>46</v>
      </c>
      <c r="E171" t="str">
        <f t="shared" si="5"/>
        <v>BSMG_Classe 2_21351300 - IGAAC : Matériel Froid (clim bâtiment)</v>
      </c>
      <c r="F171" s="112" t="s">
        <v>3921</v>
      </c>
    </row>
    <row r="172" spans="1:6" x14ac:dyDescent="0.3">
      <c r="A172" t="s">
        <v>15</v>
      </c>
      <c r="B172" t="s">
        <v>96</v>
      </c>
      <c r="C172" s="8" t="s">
        <v>2054</v>
      </c>
      <c r="D172" t="s">
        <v>3927</v>
      </c>
      <c r="E172" t="str">
        <f t="shared" si="5"/>
        <v>BSMG_Classe 2_21351300 - IGAAC : Matériel Froid (clim bâtiment)</v>
      </c>
      <c r="F172" s="112" t="s">
        <v>3921</v>
      </c>
    </row>
    <row r="173" spans="1:6" x14ac:dyDescent="0.3">
      <c r="A173" t="s">
        <v>15</v>
      </c>
      <c r="B173" t="s">
        <v>96</v>
      </c>
      <c r="C173" s="8" t="s">
        <v>2054</v>
      </c>
      <c r="D173" t="s">
        <v>47</v>
      </c>
      <c r="E173" t="str">
        <f t="shared" si="5"/>
        <v>BSMG_Classe 2_21351300 - IGAAC : Matériel Froid (clim bâtiment)</v>
      </c>
      <c r="F173" s="112" t="s">
        <v>3922</v>
      </c>
    </row>
    <row r="174" spans="1:6" x14ac:dyDescent="0.3">
      <c r="A174" t="s">
        <v>15</v>
      </c>
      <c r="B174" t="s">
        <v>96</v>
      </c>
      <c r="C174" s="8" t="s">
        <v>2054</v>
      </c>
      <c r="D174" t="s">
        <v>48</v>
      </c>
      <c r="E174" t="str">
        <f t="shared" si="5"/>
        <v>BSMG_Classe 2_21351300 - IGAAC : Matériel Froid (clim bâtiment)</v>
      </c>
      <c r="F174" s="112" t="s">
        <v>3921</v>
      </c>
    </row>
    <row r="175" spans="1:6" x14ac:dyDescent="0.3">
      <c r="A175" t="s">
        <v>15</v>
      </c>
      <c r="B175" t="s">
        <v>96</v>
      </c>
      <c r="C175" t="s">
        <v>2054</v>
      </c>
      <c r="D175" t="s">
        <v>2055</v>
      </c>
      <c r="E175" t="str">
        <f t="shared" si="5"/>
        <v>BSMG_Classe 2_21351300 - IGAAC : Matériel Froid (clim bâtiment)</v>
      </c>
      <c r="F175" s="112" t="s">
        <v>3922</v>
      </c>
    </row>
    <row r="176" spans="1:6" x14ac:dyDescent="0.3">
      <c r="A176" t="s">
        <v>15</v>
      </c>
      <c r="B176" t="s">
        <v>96</v>
      </c>
      <c r="C176" s="8" t="s">
        <v>1029</v>
      </c>
      <c r="D176" t="s">
        <v>3920</v>
      </c>
      <c r="E176" t="str">
        <f t="shared" si="5"/>
        <v>BSMG_Classe 2_21351400 - IGAAC : Installations chauffage (chauff bâtiment)</v>
      </c>
      <c r="F176" s="112" t="s">
        <v>3922</v>
      </c>
    </row>
    <row r="177" spans="1:6" x14ac:dyDescent="0.3">
      <c r="A177" t="s">
        <v>15</v>
      </c>
      <c r="B177" t="s">
        <v>96</v>
      </c>
      <c r="C177" s="8" t="s">
        <v>1029</v>
      </c>
      <c r="D177" t="s">
        <v>38</v>
      </c>
      <c r="E177" t="str">
        <f t="shared" si="5"/>
        <v>BSMG_Classe 2_21351400 - IGAAC : Installations chauffage (chauff bâtiment)</v>
      </c>
      <c r="F177" s="112" t="s">
        <v>3921</v>
      </c>
    </row>
    <row r="178" spans="1:6" x14ac:dyDescent="0.3">
      <c r="A178" t="s">
        <v>15</v>
      </c>
      <c r="B178" t="s">
        <v>96</v>
      </c>
      <c r="C178" s="8" t="s">
        <v>1029</v>
      </c>
      <c r="D178" t="s">
        <v>3923</v>
      </c>
      <c r="E178" t="str">
        <f t="shared" si="5"/>
        <v>BSMG_Classe 2_21351400 - IGAAC : Installations chauffage (chauff bâtiment)</v>
      </c>
      <c r="F178" s="112" t="s">
        <v>3922</v>
      </c>
    </row>
    <row r="179" spans="1:6" x14ac:dyDescent="0.3">
      <c r="A179" t="s">
        <v>15</v>
      </c>
      <c r="B179" t="s">
        <v>96</v>
      </c>
      <c r="C179" s="8" t="s">
        <v>1029</v>
      </c>
      <c r="D179" t="s">
        <v>170</v>
      </c>
      <c r="E179" t="str">
        <f t="shared" si="5"/>
        <v>BSMG_Classe 2_21351400 - IGAAC : Installations chauffage (chauff bâtiment)</v>
      </c>
      <c r="F179" s="112" t="s">
        <v>3921</v>
      </c>
    </row>
    <row r="180" spans="1:6" x14ac:dyDescent="0.3">
      <c r="A180" t="s">
        <v>15</v>
      </c>
      <c r="B180" t="s">
        <v>96</v>
      </c>
      <c r="C180" s="8" t="s">
        <v>1029</v>
      </c>
      <c r="D180" t="s">
        <v>39</v>
      </c>
      <c r="E180" t="str">
        <f t="shared" si="5"/>
        <v>BSMG_Classe 2_21351400 - IGAAC : Installations chauffage (chauff bâtiment)</v>
      </c>
      <c r="F180" s="112" t="s">
        <v>3922</v>
      </c>
    </row>
    <row r="181" spans="1:6" x14ac:dyDescent="0.3">
      <c r="A181" t="s">
        <v>15</v>
      </c>
      <c r="B181" t="s">
        <v>96</v>
      </c>
      <c r="C181" s="8" t="s">
        <v>1029</v>
      </c>
      <c r="D181" t="s">
        <v>3924</v>
      </c>
      <c r="E181" t="str">
        <f t="shared" si="5"/>
        <v>BSMG_Classe 2_21351400 - IGAAC : Installations chauffage (chauff bâtiment)</v>
      </c>
      <c r="F181" s="112" t="s">
        <v>3921</v>
      </c>
    </row>
    <row r="182" spans="1:6" x14ac:dyDescent="0.3">
      <c r="A182" t="s">
        <v>15</v>
      </c>
      <c r="B182" t="s">
        <v>96</v>
      </c>
      <c r="C182" s="8" t="s">
        <v>1029</v>
      </c>
      <c r="D182" t="s">
        <v>40</v>
      </c>
      <c r="E182" t="str">
        <f t="shared" si="5"/>
        <v>BSMG_Classe 2_21351400 - IGAAC : Installations chauffage (chauff bâtiment)</v>
      </c>
      <c r="F182" s="112" t="s">
        <v>3922</v>
      </c>
    </row>
    <row r="183" spans="1:6" x14ac:dyDescent="0.3">
      <c r="A183" t="s">
        <v>15</v>
      </c>
      <c r="B183" t="s">
        <v>96</v>
      </c>
      <c r="C183" s="8" t="s">
        <v>1029</v>
      </c>
      <c r="D183" t="s">
        <v>41</v>
      </c>
      <c r="E183" t="str">
        <f t="shared" si="5"/>
        <v>BSMG_Classe 2_21351400 - IGAAC : Installations chauffage (chauff bâtiment)</v>
      </c>
      <c r="F183" s="112" t="s">
        <v>3922</v>
      </c>
    </row>
    <row r="184" spans="1:6" x14ac:dyDescent="0.3">
      <c r="A184" t="s">
        <v>15</v>
      </c>
      <c r="B184" t="s">
        <v>96</v>
      </c>
      <c r="C184" s="8" t="s">
        <v>1029</v>
      </c>
      <c r="D184" t="s">
        <v>3925</v>
      </c>
      <c r="E184" t="str">
        <f t="shared" si="5"/>
        <v>BSMG_Classe 2_21351400 - IGAAC : Installations chauffage (chauff bâtiment)</v>
      </c>
      <c r="F184" s="112" t="s">
        <v>3921</v>
      </c>
    </row>
    <row r="185" spans="1:6" x14ac:dyDescent="0.3">
      <c r="A185" t="s">
        <v>15</v>
      </c>
      <c r="B185" t="s">
        <v>96</v>
      </c>
      <c r="C185" s="8" t="s">
        <v>1029</v>
      </c>
      <c r="D185" t="s">
        <v>42</v>
      </c>
      <c r="E185" t="str">
        <f t="shared" si="5"/>
        <v>BSMG_Classe 2_21351400 - IGAAC : Installations chauffage (chauff bâtiment)</v>
      </c>
      <c r="F185" s="112" t="s">
        <v>3922</v>
      </c>
    </row>
    <row r="186" spans="1:6" x14ac:dyDescent="0.3">
      <c r="A186" t="s">
        <v>15</v>
      </c>
      <c r="B186" t="s">
        <v>96</v>
      </c>
      <c r="C186" s="8" t="s">
        <v>1029</v>
      </c>
      <c r="D186" t="s">
        <v>3926</v>
      </c>
      <c r="E186" t="str">
        <f t="shared" ref="E186:E250" si="6">A186&amp;"_"&amp;B186&amp;"_"&amp;C186</f>
        <v>BSMG_Classe 2_21351400 - IGAAC : Installations chauffage (chauff bâtiment)</v>
      </c>
      <c r="F186" s="112" t="s">
        <v>3921</v>
      </c>
    </row>
    <row r="187" spans="1:6" x14ac:dyDescent="0.3">
      <c r="A187" t="s">
        <v>15</v>
      </c>
      <c r="B187" t="s">
        <v>96</v>
      </c>
      <c r="C187" s="8" t="s">
        <v>1029</v>
      </c>
      <c r="D187" t="s">
        <v>43</v>
      </c>
      <c r="E187" t="str">
        <f t="shared" si="6"/>
        <v>BSMG_Classe 2_21351400 - IGAAC : Installations chauffage (chauff bâtiment)</v>
      </c>
      <c r="F187" s="112" t="s">
        <v>3922</v>
      </c>
    </row>
    <row r="188" spans="1:6" x14ac:dyDescent="0.3">
      <c r="A188" t="s">
        <v>15</v>
      </c>
      <c r="B188" t="s">
        <v>96</v>
      </c>
      <c r="C188" s="8" t="s">
        <v>1029</v>
      </c>
      <c r="D188" t="s">
        <v>1892</v>
      </c>
      <c r="E188" t="str">
        <f t="shared" si="6"/>
        <v>BSMG_Classe 2_21351400 - IGAAC : Installations chauffage (chauff bâtiment)</v>
      </c>
      <c r="F188" s="112" t="s">
        <v>3922</v>
      </c>
    </row>
    <row r="189" spans="1:6" x14ac:dyDescent="0.3">
      <c r="A189" t="s">
        <v>15</v>
      </c>
      <c r="B189" t="s">
        <v>96</v>
      </c>
      <c r="C189" s="8" t="s">
        <v>1029</v>
      </c>
      <c r="D189" t="s">
        <v>44</v>
      </c>
      <c r="E189" t="str">
        <f t="shared" si="6"/>
        <v>BSMG_Classe 2_21351400 - IGAAC : Installations chauffage (chauff bâtiment)</v>
      </c>
      <c r="F189" s="112" t="s">
        <v>3922</v>
      </c>
    </row>
    <row r="190" spans="1:6" x14ac:dyDescent="0.3">
      <c r="A190" t="s">
        <v>15</v>
      </c>
      <c r="B190" t="s">
        <v>96</v>
      </c>
      <c r="C190" s="8" t="s">
        <v>1029</v>
      </c>
      <c r="D190" t="s">
        <v>45</v>
      </c>
      <c r="E190" t="str">
        <f t="shared" si="6"/>
        <v>BSMG_Classe 2_21351400 - IGAAC : Installations chauffage (chauff bâtiment)</v>
      </c>
      <c r="F190" s="112" t="s">
        <v>3921</v>
      </c>
    </row>
    <row r="191" spans="1:6" x14ac:dyDescent="0.3">
      <c r="A191" t="s">
        <v>15</v>
      </c>
      <c r="B191" t="s">
        <v>96</v>
      </c>
      <c r="C191" s="8" t="s">
        <v>1029</v>
      </c>
      <c r="D191" t="s">
        <v>1039</v>
      </c>
      <c r="E191" t="str">
        <f t="shared" si="6"/>
        <v>BSMG_Classe 2_21351400 - IGAAC : Installations chauffage (chauff bâtiment)</v>
      </c>
      <c r="F191" s="112" t="s">
        <v>3922</v>
      </c>
    </row>
    <row r="192" spans="1:6" x14ac:dyDescent="0.3">
      <c r="A192" t="s">
        <v>15</v>
      </c>
      <c r="B192" t="s">
        <v>96</v>
      </c>
      <c r="C192" s="8" t="s">
        <v>1029</v>
      </c>
      <c r="D192" t="s">
        <v>46</v>
      </c>
      <c r="E192" t="str">
        <f t="shared" si="6"/>
        <v>BSMG_Classe 2_21351400 - IGAAC : Installations chauffage (chauff bâtiment)</v>
      </c>
      <c r="F192" s="112" t="s">
        <v>3921</v>
      </c>
    </row>
    <row r="193" spans="1:6" x14ac:dyDescent="0.3">
      <c r="A193" t="s">
        <v>15</v>
      </c>
      <c r="B193" t="s">
        <v>96</v>
      </c>
      <c r="C193" s="8" t="s">
        <v>1029</v>
      </c>
      <c r="D193" t="s">
        <v>3927</v>
      </c>
      <c r="E193" t="str">
        <f t="shared" si="6"/>
        <v>BSMG_Classe 2_21351400 - IGAAC : Installations chauffage (chauff bâtiment)</v>
      </c>
      <c r="F193" s="112" t="s">
        <v>3921</v>
      </c>
    </row>
    <row r="194" spans="1:6" x14ac:dyDescent="0.3">
      <c r="A194" t="s">
        <v>15</v>
      </c>
      <c r="B194" t="s">
        <v>96</v>
      </c>
      <c r="C194" s="8" t="s">
        <v>1029</v>
      </c>
      <c r="D194" t="s">
        <v>47</v>
      </c>
      <c r="E194" t="str">
        <f t="shared" si="6"/>
        <v>BSMG_Classe 2_21351400 - IGAAC : Installations chauffage (chauff bâtiment)</v>
      </c>
      <c r="F194" s="112" t="s">
        <v>3922</v>
      </c>
    </row>
    <row r="195" spans="1:6" x14ac:dyDescent="0.3">
      <c r="A195" t="s">
        <v>15</v>
      </c>
      <c r="B195" t="s">
        <v>96</v>
      </c>
      <c r="C195" s="8" t="s">
        <v>1029</v>
      </c>
      <c r="D195" t="s">
        <v>48</v>
      </c>
      <c r="E195" t="str">
        <f t="shared" si="6"/>
        <v>BSMG_Classe 2_21351400 - IGAAC : Installations chauffage (chauff bâtiment)</v>
      </c>
      <c r="F195" s="112" t="s">
        <v>3921</v>
      </c>
    </row>
    <row r="196" spans="1:6" x14ac:dyDescent="0.3">
      <c r="A196" t="s">
        <v>15</v>
      </c>
      <c r="B196" t="s">
        <v>96</v>
      </c>
      <c r="C196" t="s">
        <v>1029</v>
      </c>
      <c r="D196" t="s">
        <v>2148</v>
      </c>
      <c r="E196" t="str">
        <f t="shared" si="6"/>
        <v>BSMG_Classe 2_21351400 - IGAAC : Installations chauffage (chauff bâtiment)</v>
      </c>
      <c r="F196" s="112" t="s">
        <v>3922</v>
      </c>
    </row>
    <row r="197" spans="1:6" x14ac:dyDescent="0.3">
      <c r="A197" t="s">
        <v>15</v>
      </c>
      <c r="B197" t="s">
        <v>96</v>
      </c>
      <c r="C197" t="s">
        <v>1029</v>
      </c>
      <c r="D197" t="s">
        <v>2441</v>
      </c>
      <c r="E197" t="str">
        <f t="shared" si="6"/>
        <v>BSMG_Classe 2_21351400 - IGAAC : Installations chauffage (chauff bâtiment)</v>
      </c>
      <c r="F197" s="112" t="s">
        <v>3922</v>
      </c>
    </row>
    <row r="198" spans="1:6" x14ac:dyDescent="0.3">
      <c r="A198" t="s">
        <v>15</v>
      </c>
      <c r="B198" t="s">
        <v>96</v>
      </c>
      <c r="C198" s="8" t="s">
        <v>97</v>
      </c>
      <c r="D198" t="s">
        <v>3920</v>
      </c>
      <c r="E198" t="str">
        <f t="shared" si="6"/>
        <v>BSMG_Classe 2_21351600 - IGAAC : Equipements sanitaires (plomberie bâtiment)</v>
      </c>
      <c r="F198" s="112" t="s">
        <v>3921</v>
      </c>
    </row>
    <row r="199" spans="1:6" x14ac:dyDescent="0.3">
      <c r="A199" t="s">
        <v>15</v>
      </c>
      <c r="B199" t="s">
        <v>96</v>
      </c>
      <c r="C199" s="8" t="s">
        <v>97</v>
      </c>
      <c r="D199" t="s">
        <v>38</v>
      </c>
      <c r="E199" t="str">
        <f t="shared" si="6"/>
        <v>BSMG_Classe 2_21351600 - IGAAC : Equipements sanitaires (plomberie bâtiment)</v>
      </c>
      <c r="F199" s="112" t="s">
        <v>3922</v>
      </c>
    </row>
    <row r="200" spans="1:6" x14ac:dyDescent="0.3">
      <c r="A200" t="s">
        <v>15</v>
      </c>
      <c r="B200" t="s">
        <v>96</v>
      </c>
      <c r="C200" s="8" t="s">
        <v>97</v>
      </c>
      <c r="D200" t="s">
        <v>3923</v>
      </c>
      <c r="E200" t="str">
        <f t="shared" si="6"/>
        <v>BSMG_Classe 2_21351600 - IGAAC : Equipements sanitaires (plomberie bâtiment)</v>
      </c>
      <c r="F200" s="112" t="s">
        <v>3921</v>
      </c>
    </row>
    <row r="201" spans="1:6" x14ac:dyDescent="0.3">
      <c r="A201" t="s">
        <v>15</v>
      </c>
      <c r="B201" t="s">
        <v>96</v>
      </c>
      <c r="C201" s="8" t="s">
        <v>97</v>
      </c>
      <c r="D201" t="s">
        <v>170</v>
      </c>
      <c r="E201" t="str">
        <f t="shared" si="6"/>
        <v>BSMG_Classe 2_21351600 - IGAAC : Equipements sanitaires (plomberie bâtiment)</v>
      </c>
      <c r="F201" s="112" t="s">
        <v>3922</v>
      </c>
    </row>
    <row r="202" spans="1:6" x14ac:dyDescent="0.3">
      <c r="A202" t="s">
        <v>15</v>
      </c>
      <c r="B202" t="s">
        <v>96</v>
      </c>
      <c r="C202" s="8" t="s">
        <v>97</v>
      </c>
      <c r="D202" t="s">
        <v>39</v>
      </c>
      <c r="E202" t="str">
        <f t="shared" si="6"/>
        <v>BSMG_Classe 2_21351600 - IGAAC : Equipements sanitaires (plomberie bâtiment)</v>
      </c>
      <c r="F202" s="112" t="s">
        <v>3921</v>
      </c>
    </row>
    <row r="203" spans="1:6" x14ac:dyDescent="0.3">
      <c r="A203" t="s">
        <v>15</v>
      </c>
      <c r="B203" t="s">
        <v>96</v>
      </c>
      <c r="C203" s="8" t="s">
        <v>97</v>
      </c>
      <c r="D203" t="s">
        <v>3924</v>
      </c>
      <c r="E203" t="str">
        <f t="shared" si="6"/>
        <v>BSMG_Classe 2_21351600 - IGAAC : Equipements sanitaires (plomberie bâtiment)</v>
      </c>
      <c r="F203" s="112" t="s">
        <v>3922</v>
      </c>
    </row>
    <row r="204" spans="1:6" x14ac:dyDescent="0.3">
      <c r="A204" t="s">
        <v>15</v>
      </c>
      <c r="B204" t="s">
        <v>96</v>
      </c>
      <c r="C204" s="8" t="s">
        <v>97</v>
      </c>
      <c r="D204" t="s">
        <v>40</v>
      </c>
      <c r="E204" t="str">
        <f t="shared" si="6"/>
        <v>BSMG_Classe 2_21351600 - IGAAC : Equipements sanitaires (plomberie bâtiment)</v>
      </c>
      <c r="F204" s="112" t="s">
        <v>3922</v>
      </c>
    </row>
    <row r="205" spans="1:6" x14ac:dyDescent="0.3">
      <c r="A205" t="s">
        <v>15</v>
      </c>
      <c r="B205" t="s">
        <v>96</v>
      </c>
      <c r="C205" s="8" t="s">
        <v>97</v>
      </c>
      <c r="D205" t="s">
        <v>41</v>
      </c>
      <c r="E205" t="str">
        <f t="shared" si="6"/>
        <v>BSMG_Classe 2_21351600 - IGAAC : Equipements sanitaires (plomberie bâtiment)</v>
      </c>
      <c r="F205" s="112" t="s">
        <v>3921</v>
      </c>
    </row>
    <row r="206" spans="1:6" x14ac:dyDescent="0.3">
      <c r="A206" t="s">
        <v>15</v>
      </c>
      <c r="B206" t="s">
        <v>96</v>
      </c>
      <c r="C206" s="8" t="s">
        <v>97</v>
      </c>
      <c r="D206" t="s">
        <v>3925</v>
      </c>
      <c r="E206" t="str">
        <f t="shared" si="6"/>
        <v>BSMG_Classe 2_21351600 - IGAAC : Equipements sanitaires (plomberie bâtiment)</v>
      </c>
      <c r="F206" s="112" t="s">
        <v>3922</v>
      </c>
    </row>
    <row r="207" spans="1:6" x14ac:dyDescent="0.3">
      <c r="A207" t="s">
        <v>15</v>
      </c>
      <c r="B207" t="s">
        <v>96</v>
      </c>
      <c r="C207" s="8" t="s">
        <v>97</v>
      </c>
      <c r="D207" t="s">
        <v>42</v>
      </c>
      <c r="E207" t="str">
        <f t="shared" si="6"/>
        <v>BSMG_Classe 2_21351600 - IGAAC : Equipements sanitaires (plomberie bâtiment)</v>
      </c>
      <c r="F207" s="112" t="s">
        <v>3921</v>
      </c>
    </row>
    <row r="208" spans="1:6" x14ac:dyDescent="0.3">
      <c r="A208" t="s">
        <v>15</v>
      </c>
      <c r="B208" t="s">
        <v>96</v>
      </c>
      <c r="C208" s="8" t="s">
        <v>97</v>
      </c>
      <c r="D208" t="s">
        <v>3926</v>
      </c>
      <c r="E208" t="str">
        <f t="shared" si="6"/>
        <v>BSMG_Classe 2_21351600 - IGAAC : Equipements sanitaires (plomberie bâtiment)</v>
      </c>
      <c r="F208" s="112" t="s">
        <v>3922</v>
      </c>
    </row>
    <row r="209" spans="1:6" x14ac:dyDescent="0.3">
      <c r="A209" t="s">
        <v>15</v>
      </c>
      <c r="B209" t="s">
        <v>96</v>
      </c>
      <c r="C209" s="8" t="s">
        <v>97</v>
      </c>
      <c r="D209" t="s">
        <v>43</v>
      </c>
      <c r="E209" t="str">
        <f t="shared" si="6"/>
        <v>BSMG_Classe 2_21351600 - IGAAC : Equipements sanitaires (plomberie bâtiment)</v>
      </c>
      <c r="F209" s="112" t="s">
        <v>3922</v>
      </c>
    </row>
    <row r="210" spans="1:6" x14ac:dyDescent="0.3">
      <c r="A210" t="s">
        <v>15</v>
      </c>
      <c r="B210" t="s">
        <v>96</v>
      </c>
      <c r="C210" s="8" t="s">
        <v>97</v>
      </c>
      <c r="D210" t="s">
        <v>1892</v>
      </c>
      <c r="E210" t="str">
        <f t="shared" si="6"/>
        <v>BSMG_Classe 2_21351600 - IGAAC : Equipements sanitaires (plomberie bâtiment)</v>
      </c>
      <c r="F210" s="112" t="s">
        <v>3921</v>
      </c>
    </row>
    <row r="211" spans="1:6" x14ac:dyDescent="0.3">
      <c r="A211" t="s">
        <v>15</v>
      </c>
      <c r="B211" t="s">
        <v>96</v>
      </c>
      <c r="C211" s="8" t="s">
        <v>97</v>
      </c>
      <c r="D211" t="s">
        <v>44</v>
      </c>
      <c r="E211" t="str">
        <f t="shared" si="6"/>
        <v>BSMG_Classe 2_21351600 - IGAAC : Equipements sanitaires (plomberie bâtiment)</v>
      </c>
      <c r="F211" s="112" t="s">
        <v>3922</v>
      </c>
    </row>
    <row r="212" spans="1:6" x14ac:dyDescent="0.3">
      <c r="A212" t="s">
        <v>15</v>
      </c>
      <c r="B212" t="s">
        <v>96</v>
      </c>
      <c r="C212" s="8" t="s">
        <v>97</v>
      </c>
      <c r="D212" t="s">
        <v>45</v>
      </c>
      <c r="E212" t="str">
        <f t="shared" si="6"/>
        <v>BSMG_Classe 2_21351600 - IGAAC : Equipements sanitaires (plomberie bâtiment)</v>
      </c>
      <c r="F212" s="112" t="s">
        <v>3922</v>
      </c>
    </row>
    <row r="213" spans="1:6" x14ac:dyDescent="0.3">
      <c r="A213" t="s">
        <v>15</v>
      </c>
      <c r="B213" t="s">
        <v>96</v>
      </c>
      <c r="C213" s="8" t="s">
        <v>97</v>
      </c>
      <c r="D213" t="s">
        <v>1039</v>
      </c>
      <c r="E213" t="str">
        <f t="shared" si="6"/>
        <v>BSMG_Classe 2_21351600 - IGAAC : Equipements sanitaires (plomberie bâtiment)</v>
      </c>
      <c r="F213" s="112" t="s">
        <v>3922</v>
      </c>
    </row>
    <row r="214" spans="1:6" x14ac:dyDescent="0.3">
      <c r="A214" t="s">
        <v>15</v>
      </c>
      <c r="B214" t="s">
        <v>96</v>
      </c>
      <c r="C214" s="8" t="s">
        <v>97</v>
      </c>
      <c r="D214" t="s">
        <v>46</v>
      </c>
      <c r="E214" t="str">
        <f t="shared" si="6"/>
        <v>BSMG_Classe 2_21351600 - IGAAC : Equipements sanitaires (plomberie bâtiment)</v>
      </c>
      <c r="F214" s="112" t="s">
        <v>3921</v>
      </c>
    </row>
    <row r="215" spans="1:6" x14ac:dyDescent="0.3">
      <c r="A215" t="s">
        <v>15</v>
      </c>
      <c r="B215" t="s">
        <v>96</v>
      </c>
      <c r="C215" s="8" t="s">
        <v>97</v>
      </c>
      <c r="D215" t="s">
        <v>3927</v>
      </c>
      <c r="E215" t="str">
        <f t="shared" si="6"/>
        <v>BSMG_Classe 2_21351600 - IGAAC : Equipements sanitaires (plomberie bâtiment)</v>
      </c>
      <c r="F215" s="112" t="s">
        <v>3922</v>
      </c>
    </row>
    <row r="216" spans="1:6" x14ac:dyDescent="0.3">
      <c r="A216" t="s">
        <v>15</v>
      </c>
      <c r="B216" t="s">
        <v>96</v>
      </c>
      <c r="C216" s="8" t="s">
        <v>97</v>
      </c>
      <c r="D216" t="s">
        <v>47</v>
      </c>
      <c r="E216" t="str">
        <f t="shared" si="6"/>
        <v>BSMG_Classe 2_21351600 - IGAAC : Equipements sanitaires (plomberie bâtiment)</v>
      </c>
      <c r="F216" s="112" t="s">
        <v>3921</v>
      </c>
    </row>
    <row r="217" spans="1:6" x14ac:dyDescent="0.3">
      <c r="A217" t="s">
        <v>15</v>
      </c>
      <c r="B217" t="s">
        <v>96</v>
      </c>
      <c r="C217" s="8" t="s">
        <v>97</v>
      </c>
      <c r="D217" t="s">
        <v>48</v>
      </c>
      <c r="E217" t="str">
        <f t="shared" si="6"/>
        <v>BSMG_Classe 2_21351600 - IGAAC : Equipements sanitaires (plomberie bâtiment)</v>
      </c>
      <c r="F217" s="112" t="s">
        <v>3921</v>
      </c>
    </row>
    <row r="218" spans="1:6" x14ac:dyDescent="0.3">
      <c r="A218" t="s">
        <v>15</v>
      </c>
      <c r="B218" t="s">
        <v>96</v>
      </c>
      <c r="C218" t="s">
        <v>97</v>
      </c>
      <c r="D218" t="s">
        <v>1208</v>
      </c>
      <c r="E218" t="str">
        <f>A218&amp;"_"&amp;B218&amp;"_"&amp;C218</f>
        <v>BSMG_Classe 2_21351600 - IGAAC : Equipements sanitaires (plomberie bâtiment)</v>
      </c>
      <c r="F218" s="112" t="s">
        <v>3922</v>
      </c>
    </row>
    <row r="219" spans="1:6" x14ac:dyDescent="0.3">
      <c r="A219" t="s">
        <v>15</v>
      </c>
      <c r="B219" t="s">
        <v>96</v>
      </c>
      <c r="C219" t="s">
        <v>97</v>
      </c>
      <c r="D219" t="s">
        <v>1174</v>
      </c>
      <c r="E219" t="str">
        <f t="shared" si="6"/>
        <v>BSMG_Classe 2_21351600 - IGAAC : Equipements sanitaires (plomberie bâtiment)</v>
      </c>
      <c r="F219" s="112" t="s">
        <v>3921</v>
      </c>
    </row>
    <row r="220" spans="1:6" x14ac:dyDescent="0.3">
      <c r="A220" t="s">
        <v>15</v>
      </c>
      <c r="B220" t="s">
        <v>96</v>
      </c>
      <c r="C220" t="s">
        <v>97</v>
      </c>
      <c r="D220" t="s">
        <v>1746</v>
      </c>
      <c r="E220" t="str">
        <f t="shared" si="6"/>
        <v>BSMG_Classe 2_21351600 - IGAAC : Equipements sanitaires (plomberie bâtiment)</v>
      </c>
      <c r="F220" s="112" t="s">
        <v>3922</v>
      </c>
    </row>
    <row r="221" spans="1:6" x14ac:dyDescent="0.3">
      <c r="A221" t="s">
        <v>15</v>
      </c>
      <c r="B221" t="s">
        <v>96</v>
      </c>
      <c r="C221" t="s">
        <v>97</v>
      </c>
      <c r="D221" t="s">
        <v>1904</v>
      </c>
      <c r="E221" t="str">
        <f t="shared" si="6"/>
        <v>BSMG_Classe 2_21351600 - IGAAC : Equipements sanitaires (plomberie bâtiment)</v>
      </c>
      <c r="F221" s="112" t="s">
        <v>3922</v>
      </c>
    </row>
    <row r="222" spans="1:6" x14ac:dyDescent="0.3">
      <c r="A222" t="s">
        <v>15</v>
      </c>
      <c r="B222" t="s">
        <v>96</v>
      </c>
      <c r="C222" t="s">
        <v>97</v>
      </c>
      <c r="D222" t="s">
        <v>2784</v>
      </c>
      <c r="E222" t="str">
        <f t="shared" si="6"/>
        <v>BSMG_Classe 2_21351600 - IGAAC : Equipements sanitaires (plomberie bâtiment)</v>
      </c>
      <c r="F222" s="112" t="s">
        <v>3921</v>
      </c>
    </row>
    <row r="223" spans="1:6" x14ac:dyDescent="0.3">
      <c r="A223" t="s">
        <v>15</v>
      </c>
      <c r="B223" t="s">
        <v>96</v>
      </c>
      <c r="C223" t="s">
        <v>97</v>
      </c>
      <c r="D223" t="s">
        <v>826</v>
      </c>
      <c r="E223" t="str">
        <f t="shared" si="6"/>
        <v>BSMG_Classe 2_21351600 - IGAAC : Equipements sanitaires (plomberie bâtiment)</v>
      </c>
      <c r="F223" s="112" t="s">
        <v>3922</v>
      </c>
    </row>
    <row r="224" spans="1:6" x14ac:dyDescent="0.3">
      <c r="A224" t="s">
        <v>15</v>
      </c>
      <c r="B224" t="s">
        <v>96</v>
      </c>
      <c r="C224" t="s">
        <v>97</v>
      </c>
      <c r="D224" t="s">
        <v>3928</v>
      </c>
      <c r="E224" t="str">
        <f t="shared" si="6"/>
        <v>BSMG_Classe 2_21351600 - IGAAC : Equipements sanitaires (plomberie bâtiment)</v>
      </c>
      <c r="F224" s="112" t="s">
        <v>3921</v>
      </c>
    </row>
    <row r="225" spans="1:6" x14ac:dyDescent="0.3">
      <c r="A225" t="s">
        <v>15</v>
      </c>
      <c r="B225" t="s">
        <v>96</v>
      </c>
      <c r="C225" s="8" t="s">
        <v>288</v>
      </c>
      <c r="D225" t="s">
        <v>3920</v>
      </c>
      <c r="E225" t="str">
        <f t="shared" si="6"/>
        <v>BSMG_Classe 2_21351820 - Autres IGAAC : Petits travaux et agencement</v>
      </c>
      <c r="F225" s="112" t="s">
        <v>3922</v>
      </c>
    </row>
    <row r="226" spans="1:6" x14ac:dyDescent="0.3">
      <c r="A226" t="s">
        <v>15</v>
      </c>
      <c r="B226" t="s">
        <v>96</v>
      </c>
      <c r="C226" s="8" t="s">
        <v>288</v>
      </c>
      <c r="D226" t="s">
        <v>38</v>
      </c>
      <c r="E226" t="str">
        <f t="shared" si="6"/>
        <v>BSMG_Classe 2_21351820 - Autres IGAAC : Petits travaux et agencement</v>
      </c>
      <c r="F226" s="112" t="s">
        <v>3921</v>
      </c>
    </row>
    <row r="227" spans="1:6" x14ac:dyDescent="0.3">
      <c r="A227" t="s">
        <v>15</v>
      </c>
      <c r="B227" t="s">
        <v>96</v>
      </c>
      <c r="C227" s="8" t="s">
        <v>288</v>
      </c>
      <c r="D227" t="s">
        <v>3923</v>
      </c>
      <c r="E227" t="str">
        <f t="shared" si="6"/>
        <v>BSMG_Classe 2_21351820 - Autres IGAAC : Petits travaux et agencement</v>
      </c>
      <c r="F227" s="112" t="s">
        <v>3922</v>
      </c>
    </row>
    <row r="228" spans="1:6" x14ac:dyDescent="0.3">
      <c r="A228" t="s">
        <v>15</v>
      </c>
      <c r="B228" t="s">
        <v>96</v>
      </c>
      <c r="C228" s="8" t="s">
        <v>288</v>
      </c>
      <c r="D228" t="s">
        <v>170</v>
      </c>
      <c r="E228" t="str">
        <f t="shared" si="6"/>
        <v>BSMG_Classe 2_21351820 - Autres IGAAC : Petits travaux et agencement</v>
      </c>
      <c r="F228" s="112" t="s">
        <v>3922</v>
      </c>
    </row>
    <row r="229" spans="1:6" x14ac:dyDescent="0.3">
      <c r="A229" t="s">
        <v>15</v>
      </c>
      <c r="B229" t="s">
        <v>96</v>
      </c>
      <c r="C229" s="8" t="s">
        <v>288</v>
      </c>
      <c r="D229" t="s">
        <v>39</v>
      </c>
      <c r="E229" t="str">
        <f t="shared" si="6"/>
        <v>BSMG_Classe 2_21351820 - Autres IGAAC : Petits travaux et agencement</v>
      </c>
      <c r="F229" s="112" t="s">
        <v>3921</v>
      </c>
    </row>
    <row r="230" spans="1:6" x14ac:dyDescent="0.3">
      <c r="A230" t="s">
        <v>15</v>
      </c>
      <c r="B230" t="s">
        <v>96</v>
      </c>
      <c r="C230" s="8" t="s">
        <v>288</v>
      </c>
      <c r="D230" t="s">
        <v>3924</v>
      </c>
      <c r="E230" t="str">
        <f t="shared" si="6"/>
        <v>BSMG_Classe 2_21351820 - Autres IGAAC : Petits travaux et agencement</v>
      </c>
      <c r="F230" s="112" t="s">
        <v>3922</v>
      </c>
    </row>
    <row r="231" spans="1:6" x14ac:dyDescent="0.3">
      <c r="A231" t="s">
        <v>15</v>
      </c>
      <c r="B231" t="s">
        <v>96</v>
      </c>
      <c r="C231" s="8" t="s">
        <v>288</v>
      </c>
      <c r="D231" t="s">
        <v>40</v>
      </c>
      <c r="E231" t="str">
        <f t="shared" si="6"/>
        <v>BSMG_Classe 2_21351820 - Autres IGAAC : Petits travaux et agencement</v>
      </c>
      <c r="F231" s="112" t="s">
        <v>3921</v>
      </c>
    </row>
    <row r="232" spans="1:6" x14ac:dyDescent="0.3">
      <c r="A232" t="s">
        <v>15</v>
      </c>
      <c r="B232" t="s">
        <v>96</v>
      </c>
      <c r="C232" s="8" t="s">
        <v>288</v>
      </c>
      <c r="D232" t="s">
        <v>41</v>
      </c>
      <c r="E232" t="str">
        <f t="shared" si="6"/>
        <v>BSMG_Classe 2_21351820 - Autres IGAAC : Petits travaux et agencement</v>
      </c>
      <c r="F232" s="112" t="s">
        <v>3921</v>
      </c>
    </row>
    <row r="233" spans="1:6" x14ac:dyDescent="0.3">
      <c r="A233" t="s">
        <v>15</v>
      </c>
      <c r="B233" t="s">
        <v>96</v>
      </c>
      <c r="C233" s="8" t="s">
        <v>288</v>
      </c>
      <c r="D233" t="s">
        <v>3925</v>
      </c>
      <c r="E233" t="str">
        <f t="shared" si="6"/>
        <v>BSMG_Classe 2_21351820 - Autres IGAAC : Petits travaux et agencement</v>
      </c>
      <c r="F233" s="112" t="s">
        <v>3922</v>
      </c>
    </row>
    <row r="234" spans="1:6" x14ac:dyDescent="0.3">
      <c r="A234" t="s">
        <v>15</v>
      </c>
      <c r="B234" t="s">
        <v>96</v>
      </c>
      <c r="C234" s="8" t="s">
        <v>288</v>
      </c>
      <c r="D234" t="s">
        <v>42</v>
      </c>
      <c r="E234" t="str">
        <f t="shared" si="6"/>
        <v>BSMG_Classe 2_21351820 - Autres IGAAC : Petits travaux et agencement</v>
      </c>
      <c r="F234" s="112" t="s">
        <v>3922</v>
      </c>
    </row>
    <row r="235" spans="1:6" x14ac:dyDescent="0.3">
      <c r="A235" t="s">
        <v>15</v>
      </c>
      <c r="B235" t="s">
        <v>96</v>
      </c>
      <c r="C235" s="8" t="s">
        <v>288</v>
      </c>
      <c r="D235" t="s">
        <v>3926</v>
      </c>
      <c r="E235" t="str">
        <f t="shared" si="6"/>
        <v>BSMG_Classe 2_21351820 - Autres IGAAC : Petits travaux et agencement</v>
      </c>
      <c r="F235" s="112" t="s">
        <v>3921</v>
      </c>
    </row>
    <row r="236" spans="1:6" x14ac:dyDescent="0.3">
      <c r="A236" t="s">
        <v>15</v>
      </c>
      <c r="B236" t="s">
        <v>96</v>
      </c>
      <c r="C236" s="8" t="s">
        <v>288</v>
      </c>
      <c r="D236" t="s">
        <v>43</v>
      </c>
      <c r="E236" t="str">
        <f t="shared" si="6"/>
        <v>BSMG_Classe 2_21351820 - Autres IGAAC : Petits travaux et agencement</v>
      </c>
      <c r="F236" s="112" t="s">
        <v>3922</v>
      </c>
    </row>
    <row r="237" spans="1:6" x14ac:dyDescent="0.3">
      <c r="A237" t="s">
        <v>15</v>
      </c>
      <c r="B237" t="s">
        <v>96</v>
      </c>
      <c r="C237" s="8" t="s">
        <v>288</v>
      </c>
      <c r="D237" t="s">
        <v>1892</v>
      </c>
      <c r="E237" t="str">
        <f t="shared" si="6"/>
        <v>BSMG_Classe 2_21351820 - Autres IGAAC : Petits travaux et agencement</v>
      </c>
      <c r="F237" s="112" t="s">
        <v>3921</v>
      </c>
    </row>
    <row r="238" spans="1:6" x14ac:dyDescent="0.3">
      <c r="A238" t="s">
        <v>15</v>
      </c>
      <c r="B238" t="s">
        <v>96</v>
      </c>
      <c r="C238" s="8" t="s">
        <v>288</v>
      </c>
      <c r="D238" t="s">
        <v>44</v>
      </c>
      <c r="E238" t="str">
        <f t="shared" si="6"/>
        <v>BSMG_Classe 2_21351820 - Autres IGAAC : Petits travaux et agencement</v>
      </c>
      <c r="F238" s="112" t="s">
        <v>3921</v>
      </c>
    </row>
    <row r="239" spans="1:6" x14ac:dyDescent="0.3">
      <c r="A239" t="s">
        <v>15</v>
      </c>
      <c r="B239" t="s">
        <v>96</v>
      </c>
      <c r="C239" s="8" t="s">
        <v>288</v>
      </c>
      <c r="D239" t="s">
        <v>45</v>
      </c>
      <c r="E239" t="str">
        <f t="shared" si="6"/>
        <v>BSMG_Classe 2_21351820 - Autres IGAAC : Petits travaux et agencement</v>
      </c>
      <c r="F239" s="112" t="s">
        <v>3922</v>
      </c>
    </row>
    <row r="240" spans="1:6" x14ac:dyDescent="0.3">
      <c r="A240" t="s">
        <v>15</v>
      </c>
      <c r="B240" t="s">
        <v>96</v>
      </c>
      <c r="C240" s="8" t="s">
        <v>288</v>
      </c>
      <c r="D240" t="s">
        <v>1039</v>
      </c>
      <c r="E240" t="str">
        <f t="shared" si="6"/>
        <v>BSMG_Classe 2_21351820 - Autres IGAAC : Petits travaux et agencement</v>
      </c>
      <c r="F240" s="112" t="s">
        <v>3921</v>
      </c>
    </row>
    <row r="241" spans="1:6" x14ac:dyDescent="0.3">
      <c r="A241" t="s">
        <v>15</v>
      </c>
      <c r="B241" t="s">
        <v>96</v>
      </c>
      <c r="C241" s="8" t="s">
        <v>288</v>
      </c>
      <c r="D241" t="s">
        <v>46</v>
      </c>
      <c r="E241" t="str">
        <f t="shared" si="6"/>
        <v>BSMG_Classe 2_21351820 - Autres IGAAC : Petits travaux et agencement</v>
      </c>
      <c r="F241" s="112" t="s">
        <v>3922</v>
      </c>
    </row>
    <row r="242" spans="1:6" x14ac:dyDescent="0.3">
      <c r="A242" t="s">
        <v>15</v>
      </c>
      <c r="B242" t="s">
        <v>96</v>
      </c>
      <c r="C242" s="8" t="s">
        <v>288</v>
      </c>
      <c r="D242" t="s">
        <v>3927</v>
      </c>
      <c r="E242" t="str">
        <f t="shared" si="6"/>
        <v>BSMG_Classe 2_21351820 - Autres IGAAC : Petits travaux et agencement</v>
      </c>
      <c r="F242" s="112" t="s">
        <v>3922</v>
      </c>
    </row>
    <row r="243" spans="1:6" x14ac:dyDescent="0.3">
      <c r="A243" t="s">
        <v>15</v>
      </c>
      <c r="B243" t="s">
        <v>96</v>
      </c>
      <c r="C243" s="8" t="s">
        <v>288</v>
      </c>
      <c r="D243" t="s">
        <v>176</v>
      </c>
      <c r="E243" t="str">
        <f t="shared" si="6"/>
        <v>BSMG_Classe 2_21351820 - Autres IGAAC : Petits travaux et agencement</v>
      </c>
      <c r="F243" s="112" t="s">
        <v>3921</v>
      </c>
    </row>
    <row r="244" spans="1:6" x14ac:dyDescent="0.3">
      <c r="A244" t="s">
        <v>15</v>
      </c>
      <c r="B244" t="s">
        <v>96</v>
      </c>
      <c r="C244" s="8" t="s">
        <v>288</v>
      </c>
      <c r="D244" t="s">
        <v>47</v>
      </c>
      <c r="E244" t="str">
        <f t="shared" si="6"/>
        <v>BSMG_Classe 2_21351820 - Autres IGAAC : Petits travaux et agencement</v>
      </c>
      <c r="F244" s="112" t="s">
        <v>3922</v>
      </c>
    </row>
    <row r="245" spans="1:6" x14ac:dyDescent="0.3">
      <c r="A245" t="s">
        <v>15</v>
      </c>
      <c r="B245" t="s">
        <v>96</v>
      </c>
      <c r="C245" s="8" t="s">
        <v>288</v>
      </c>
      <c r="D245" t="s">
        <v>48</v>
      </c>
      <c r="E245" t="str">
        <f t="shared" si="6"/>
        <v>BSMG_Classe 2_21351820 - Autres IGAAC : Petits travaux et agencement</v>
      </c>
      <c r="F245" s="112" t="s">
        <v>3921</v>
      </c>
    </row>
    <row r="246" spans="1:6" x14ac:dyDescent="0.3">
      <c r="A246" t="s">
        <v>15</v>
      </c>
      <c r="B246" t="s">
        <v>96</v>
      </c>
      <c r="C246" s="8" t="s">
        <v>107</v>
      </c>
      <c r="D246" t="s">
        <v>3920</v>
      </c>
      <c r="E246" t="str">
        <f t="shared" si="6"/>
        <v>BSMG_Classe 2_21351860 - Autres IGAAC : VMC (ventilation locaux)</v>
      </c>
      <c r="F246" s="112" t="s">
        <v>3922</v>
      </c>
    </row>
    <row r="247" spans="1:6" x14ac:dyDescent="0.3">
      <c r="A247" t="s">
        <v>15</v>
      </c>
      <c r="B247" t="s">
        <v>96</v>
      </c>
      <c r="C247" s="8" t="s">
        <v>107</v>
      </c>
      <c r="D247" t="s">
        <v>38</v>
      </c>
      <c r="E247" t="str">
        <f t="shared" si="6"/>
        <v>BSMG_Classe 2_21351860 - Autres IGAAC : VMC (ventilation locaux)</v>
      </c>
      <c r="F247" s="112" t="s">
        <v>3921</v>
      </c>
    </row>
    <row r="248" spans="1:6" x14ac:dyDescent="0.3">
      <c r="A248" t="s">
        <v>15</v>
      </c>
      <c r="B248" t="s">
        <v>96</v>
      </c>
      <c r="C248" s="8" t="s">
        <v>107</v>
      </c>
      <c r="D248" t="s">
        <v>3923</v>
      </c>
      <c r="E248" t="str">
        <f t="shared" si="6"/>
        <v>BSMG_Classe 2_21351860 - Autres IGAAC : VMC (ventilation locaux)</v>
      </c>
      <c r="F248" s="112" t="s">
        <v>3922</v>
      </c>
    </row>
    <row r="249" spans="1:6" x14ac:dyDescent="0.3">
      <c r="A249" t="s">
        <v>15</v>
      </c>
      <c r="B249" t="s">
        <v>96</v>
      </c>
      <c r="C249" s="8" t="s">
        <v>107</v>
      </c>
      <c r="D249" t="s">
        <v>170</v>
      </c>
      <c r="E249" t="str">
        <f t="shared" si="6"/>
        <v>BSMG_Classe 2_21351860 - Autres IGAAC : VMC (ventilation locaux)</v>
      </c>
      <c r="F249" s="112" t="s">
        <v>3922</v>
      </c>
    </row>
    <row r="250" spans="1:6" x14ac:dyDescent="0.3">
      <c r="A250" t="s">
        <v>15</v>
      </c>
      <c r="B250" t="s">
        <v>96</v>
      </c>
      <c r="C250" s="8" t="s">
        <v>107</v>
      </c>
      <c r="D250" t="s">
        <v>39</v>
      </c>
      <c r="E250" t="str">
        <f t="shared" si="6"/>
        <v>BSMG_Classe 2_21351860 - Autres IGAAC : VMC (ventilation locaux)</v>
      </c>
      <c r="F250" s="112" t="s">
        <v>3921</v>
      </c>
    </row>
    <row r="251" spans="1:6" x14ac:dyDescent="0.3">
      <c r="A251" t="s">
        <v>15</v>
      </c>
      <c r="B251" t="s">
        <v>96</v>
      </c>
      <c r="C251" s="8" t="s">
        <v>107</v>
      </c>
      <c r="D251" t="s">
        <v>3924</v>
      </c>
      <c r="E251" t="str">
        <f t="shared" ref="E251:E315" si="7">A251&amp;"_"&amp;B251&amp;"_"&amp;C251</f>
        <v>BSMG_Classe 2_21351860 - Autres IGAAC : VMC (ventilation locaux)</v>
      </c>
      <c r="F251" s="112" t="s">
        <v>3922</v>
      </c>
    </row>
    <row r="252" spans="1:6" x14ac:dyDescent="0.3">
      <c r="A252" t="s">
        <v>15</v>
      </c>
      <c r="B252" t="s">
        <v>96</v>
      </c>
      <c r="C252" s="8" t="s">
        <v>107</v>
      </c>
      <c r="D252" t="s">
        <v>40</v>
      </c>
      <c r="E252" t="str">
        <f t="shared" si="7"/>
        <v>BSMG_Classe 2_21351860 - Autres IGAAC : VMC (ventilation locaux)</v>
      </c>
      <c r="F252" s="112" t="s">
        <v>3921</v>
      </c>
    </row>
    <row r="253" spans="1:6" x14ac:dyDescent="0.3">
      <c r="A253" t="s">
        <v>15</v>
      </c>
      <c r="B253" t="s">
        <v>96</v>
      </c>
      <c r="C253" s="8" t="s">
        <v>107</v>
      </c>
      <c r="D253" t="s">
        <v>41</v>
      </c>
      <c r="E253" t="str">
        <f t="shared" si="7"/>
        <v>BSMG_Classe 2_21351860 - Autres IGAAC : VMC (ventilation locaux)</v>
      </c>
      <c r="F253" s="112" t="s">
        <v>3922</v>
      </c>
    </row>
    <row r="254" spans="1:6" x14ac:dyDescent="0.3">
      <c r="A254" t="s">
        <v>15</v>
      </c>
      <c r="B254" t="s">
        <v>96</v>
      </c>
      <c r="C254" s="8" t="s">
        <v>107</v>
      </c>
      <c r="D254" t="s">
        <v>3925</v>
      </c>
      <c r="E254" t="str">
        <f t="shared" si="7"/>
        <v>BSMG_Classe 2_21351860 - Autres IGAAC : VMC (ventilation locaux)</v>
      </c>
      <c r="F254" s="112" t="s">
        <v>3922</v>
      </c>
    </row>
    <row r="255" spans="1:6" x14ac:dyDescent="0.3">
      <c r="A255" t="s">
        <v>15</v>
      </c>
      <c r="B255" t="s">
        <v>96</v>
      </c>
      <c r="C255" s="8" t="s">
        <v>107</v>
      </c>
      <c r="D255" t="s">
        <v>42</v>
      </c>
      <c r="E255" t="str">
        <f t="shared" si="7"/>
        <v>BSMG_Classe 2_21351860 - Autres IGAAC : VMC (ventilation locaux)</v>
      </c>
      <c r="F255" s="112" t="s">
        <v>3922</v>
      </c>
    </row>
    <row r="256" spans="1:6" x14ac:dyDescent="0.3">
      <c r="A256" t="s">
        <v>15</v>
      </c>
      <c r="B256" t="s">
        <v>96</v>
      </c>
      <c r="C256" s="8" t="s">
        <v>107</v>
      </c>
      <c r="D256" t="s">
        <v>3926</v>
      </c>
      <c r="E256" t="str">
        <f t="shared" si="7"/>
        <v>BSMG_Classe 2_21351860 - Autres IGAAC : VMC (ventilation locaux)</v>
      </c>
      <c r="F256" s="112" t="s">
        <v>3921</v>
      </c>
    </row>
    <row r="257" spans="1:6" x14ac:dyDescent="0.3">
      <c r="A257" t="s">
        <v>15</v>
      </c>
      <c r="B257" t="s">
        <v>96</v>
      </c>
      <c r="C257" s="8" t="s">
        <v>107</v>
      </c>
      <c r="D257" t="s">
        <v>43</v>
      </c>
      <c r="E257" t="str">
        <f t="shared" si="7"/>
        <v>BSMG_Classe 2_21351860 - Autres IGAAC : VMC (ventilation locaux)</v>
      </c>
      <c r="F257" s="112" t="s">
        <v>3922</v>
      </c>
    </row>
    <row r="258" spans="1:6" x14ac:dyDescent="0.3">
      <c r="A258" t="s">
        <v>15</v>
      </c>
      <c r="B258" t="s">
        <v>96</v>
      </c>
      <c r="C258" s="8" t="s">
        <v>107</v>
      </c>
      <c r="D258" t="s">
        <v>1892</v>
      </c>
      <c r="E258" t="str">
        <f t="shared" si="7"/>
        <v>BSMG_Classe 2_21351860 - Autres IGAAC : VMC (ventilation locaux)</v>
      </c>
      <c r="F258" s="112" t="s">
        <v>3921</v>
      </c>
    </row>
    <row r="259" spans="1:6" x14ac:dyDescent="0.3">
      <c r="A259" t="s">
        <v>15</v>
      </c>
      <c r="B259" t="s">
        <v>96</v>
      </c>
      <c r="C259" s="8" t="s">
        <v>107</v>
      </c>
      <c r="D259" t="s">
        <v>44</v>
      </c>
      <c r="E259" t="str">
        <f t="shared" si="7"/>
        <v>BSMG_Classe 2_21351860 - Autres IGAAC : VMC (ventilation locaux)</v>
      </c>
      <c r="F259" s="112" t="s">
        <v>3921</v>
      </c>
    </row>
    <row r="260" spans="1:6" x14ac:dyDescent="0.3">
      <c r="A260" t="s">
        <v>15</v>
      </c>
      <c r="B260" t="s">
        <v>96</v>
      </c>
      <c r="C260" s="8" t="s">
        <v>107</v>
      </c>
      <c r="D260" t="s">
        <v>45</v>
      </c>
      <c r="E260" t="str">
        <f t="shared" si="7"/>
        <v>BSMG_Classe 2_21351860 - Autres IGAAC : VMC (ventilation locaux)</v>
      </c>
      <c r="F260" s="112" t="s">
        <v>3922</v>
      </c>
    </row>
    <row r="261" spans="1:6" x14ac:dyDescent="0.3">
      <c r="A261" t="s">
        <v>15</v>
      </c>
      <c r="B261" t="s">
        <v>96</v>
      </c>
      <c r="C261" s="8" t="s">
        <v>107</v>
      </c>
      <c r="D261" t="s">
        <v>1039</v>
      </c>
      <c r="E261" t="str">
        <f t="shared" si="7"/>
        <v>BSMG_Classe 2_21351860 - Autres IGAAC : VMC (ventilation locaux)</v>
      </c>
      <c r="F261" s="112" t="s">
        <v>3921</v>
      </c>
    </row>
    <row r="262" spans="1:6" x14ac:dyDescent="0.3">
      <c r="A262" t="s">
        <v>15</v>
      </c>
      <c r="B262" t="s">
        <v>96</v>
      </c>
      <c r="C262" s="8" t="s">
        <v>107</v>
      </c>
      <c r="D262" t="s">
        <v>46</v>
      </c>
      <c r="E262" t="str">
        <f t="shared" si="7"/>
        <v>BSMG_Classe 2_21351860 - Autres IGAAC : VMC (ventilation locaux)</v>
      </c>
      <c r="F262" s="112" t="s">
        <v>3922</v>
      </c>
    </row>
    <row r="263" spans="1:6" x14ac:dyDescent="0.3">
      <c r="A263" t="s">
        <v>15</v>
      </c>
      <c r="B263" t="s">
        <v>96</v>
      </c>
      <c r="C263" s="8" t="s">
        <v>107</v>
      </c>
      <c r="D263" t="s">
        <v>3927</v>
      </c>
      <c r="E263" t="str">
        <f t="shared" si="7"/>
        <v>BSMG_Classe 2_21351860 - Autres IGAAC : VMC (ventilation locaux)</v>
      </c>
      <c r="F263" s="112" t="s">
        <v>3922</v>
      </c>
    </row>
    <row r="264" spans="1:6" x14ac:dyDescent="0.3">
      <c r="A264" t="s">
        <v>15</v>
      </c>
      <c r="B264" t="s">
        <v>96</v>
      </c>
      <c r="C264" s="8" t="s">
        <v>107</v>
      </c>
      <c r="D264" t="s">
        <v>47</v>
      </c>
      <c r="E264" t="str">
        <f t="shared" si="7"/>
        <v>BSMG_Classe 2_21351860 - Autres IGAAC : VMC (ventilation locaux)</v>
      </c>
      <c r="F264" s="112" t="s">
        <v>3921</v>
      </c>
    </row>
    <row r="265" spans="1:6" x14ac:dyDescent="0.3">
      <c r="A265" t="s">
        <v>15</v>
      </c>
      <c r="B265" t="s">
        <v>96</v>
      </c>
      <c r="C265" s="8" t="s">
        <v>107</v>
      </c>
      <c r="D265" t="s">
        <v>48</v>
      </c>
      <c r="E265" t="str">
        <f t="shared" si="7"/>
        <v>BSMG_Classe 2_21351860 - Autres IGAAC : VMC (ventilation locaux)</v>
      </c>
      <c r="F265" s="112" t="s">
        <v>3922</v>
      </c>
    </row>
    <row r="266" spans="1:6" x14ac:dyDescent="0.3">
      <c r="A266" t="s">
        <v>15</v>
      </c>
      <c r="B266" t="s">
        <v>96</v>
      </c>
      <c r="C266" s="2" t="s">
        <v>1869</v>
      </c>
      <c r="D266" t="s">
        <v>1870</v>
      </c>
      <c r="E266" t="str">
        <f t="shared" si="7"/>
        <v>BSMG_Classe 2_213518999 - Accessibilité EPSVE opération AD'AP</v>
      </c>
      <c r="F266" s="112" t="s">
        <v>3921</v>
      </c>
    </row>
    <row r="267" spans="1:6" x14ac:dyDescent="0.3">
      <c r="A267" t="s">
        <v>15</v>
      </c>
      <c r="B267" t="s">
        <v>96</v>
      </c>
      <c r="C267" s="8" t="s">
        <v>3298</v>
      </c>
      <c r="D267" t="s">
        <v>3920</v>
      </c>
      <c r="E267" t="str">
        <f t="shared" si="7"/>
        <v>BSMG_Classe 2_21354010 - IGAAC agencement (bât. Sociaux et Médico-sociaux)</v>
      </c>
      <c r="F267" s="112" t="s">
        <v>3922</v>
      </c>
    </row>
    <row r="268" spans="1:6" x14ac:dyDescent="0.3">
      <c r="A268" t="s">
        <v>15</v>
      </c>
      <c r="B268" t="s">
        <v>96</v>
      </c>
      <c r="C268" s="8" t="s">
        <v>3298</v>
      </c>
      <c r="D268" t="s">
        <v>38</v>
      </c>
      <c r="E268" t="str">
        <f>A268&amp;"_"&amp;B268&amp;"_"&amp;C268</f>
        <v>BSMG_Classe 2_21354010 - IGAAC agencement (bât. Sociaux et Médico-sociaux)</v>
      </c>
      <c r="F268" s="112" t="s">
        <v>3921</v>
      </c>
    </row>
    <row r="269" spans="1:6" x14ac:dyDescent="0.3">
      <c r="A269" t="s">
        <v>15</v>
      </c>
      <c r="B269" t="s">
        <v>96</v>
      </c>
      <c r="C269" s="8" t="s">
        <v>3298</v>
      </c>
      <c r="D269" t="s">
        <v>3923</v>
      </c>
      <c r="E269" t="str">
        <f>A269&amp;"_"&amp;B269&amp;"_"&amp;C269</f>
        <v>BSMG_Classe 2_21354010 - IGAAC agencement (bât. Sociaux et Médico-sociaux)</v>
      </c>
      <c r="F269" s="112" t="s">
        <v>3922</v>
      </c>
    </row>
    <row r="270" spans="1:6" x14ac:dyDescent="0.3">
      <c r="A270" t="s">
        <v>15</v>
      </c>
      <c r="B270" t="s">
        <v>96</v>
      </c>
      <c r="C270" s="8" t="s">
        <v>3298</v>
      </c>
      <c r="D270" t="s">
        <v>170</v>
      </c>
      <c r="E270" t="str">
        <f t="shared" si="7"/>
        <v>BSMG_Classe 2_21354010 - IGAAC agencement (bât. Sociaux et Médico-sociaux)</v>
      </c>
      <c r="F270" s="112" t="s">
        <v>3922</v>
      </c>
    </row>
    <row r="271" spans="1:6" x14ac:dyDescent="0.3">
      <c r="A271" t="s">
        <v>15</v>
      </c>
      <c r="B271" t="s">
        <v>96</v>
      </c>
      <c r="C271" s="8" t="s">
        <v>3298</v>
      </c>
      <c r="D271" t="s">
        <v>39</v>
      </c>
      <c r="E271" t="str">
        <f t="shared" si="7"/>
        <v>BSMG_Classe 2_21354010 - IGAAC agencement (bât. Sociaux et Médico-sociaux)</v>
      </c>
      <c r="F271" s="112" t="s">
        <v>3921</v>
      </c>
    </row>
    <row r="272" spans="1:6" x14ac:dyDescent="0.3">
      <c r="A272" t="s">
        <v>15</v>
      </c>
      <c r="B272" t="s">
        <v>96</v>
      </c>
      <c r="C272" s="8" t="s">
        <v>3298</v>
      </c>
      <c r="D272" t="s">
        <v>3924</v>
      </c>
      <c r="E272" t="str">
        <f t="shared" si="7"/>
        <v>BSMG_Classe 2_21354010 - IGAAC agencement (bât. Sociaux et Médico-sociaux)</v>
      </c>
      <c r="F272" s="112" t="s">
        <v>3922</v>
      </c>
    </row>
    <row r="273" spans="1:6" x14ac:dyDescent="0.3">
      <c r="A273" t="s">
        <v>15</v>
      </c>
      <c r="B273" t="s">
        <v>96</v>
      </c>
      <c r="C273" s="8" t="s">
        <v>3298</v>
      </c>
      <c r="D273" t="s">
        <v>40</v>
      </c>
      <c r="E273" t="str">
        <f t="shared" si="7"/>
        <v>BSMG_Classe 2_21354010 - IGAAC agencement (bât. Sociaux et Médico-sociaux)</v>
      </c>
      <c r="F273" s="112" t="s">
        <v>3921</v>
      </c>
    </row>
    <row r="274" spans="1:6" x14ac:dyDescent="0.3">
      <c r="A274" t="s">
        <v>15</v>
      </c>
      <c r="B274" t="s">
        <v>96</v>
      </c>
      <c r="C274" s="8" t="s">
        <v>3298</v>
      </c>
      <c r="D274" t="s">
        <v>41</v>
      </c>
      <c r="E274" t="str">
        <f t="shared" si="7"/>
        <v>BSMG_Classe 2_21354010 - IGAAC agencement (bât. Sociaux et Médico-sociaux)</v>
      </c>
      <c r="F274" s="112" t="s">
        <v>3922</v>
      </c>
    </row>
    <row r="275" spans="1:6" x14ac:dyDescent="0.3">
      <c r="A275" t="s">
        <v>15</v>
      </c>
      <c r="B275" t="s">
        <v>96</v>
      </c>
      <c r="C275" s="8" t="s">
        <v>3298</v>
      </c>
      <c r="D275" t="s">
        <v>3925</v>
      </c>
      <c r="E275" t="str">
        <f t="shared" si="7"/>
        <v>BSMG_Classe 2_21354010 - IGAAC agencement (bât. Sociaux et Médico-sociaux)</v>
      </c>
      <c r="F275" s="112" t="s">
        <v>3922</v>
      </c>
    </row>
    <row r="276" spans="1:6" x14ac:dyDescent="0.3">
      <c r="A276" t="s">
        <v>15</v>
      </c>
      <c r="B276" t="s">
        <v>96</v>
      </c>
      <c r="C276" s="8" t="s">
        <v>3298</v>
      </c>
      <c r="D276" t="s">
        <v>42</v>
      </c>
      <c r="E276" t="str">
        <f t="shared" si="7"/>
        <v>BSMG_Classe 2_21354010 - IGAAC agencement (bât. Sociaux et Médico-sociaux)</v>
      </c>
      <c r="F276" s="112" t="s">
        <v>3922</v>
      </c>
    </row>
    <row r="277" spans="1:6" x14ac:dyDescent="0.3">
      <c r="A277" t="s">
        <v>15</v>
      </c>
      <c r="B277" t="s">
        <v>96</v>
      </c>
      <c r="C277" s="8" t="s">
        <v>3298</v>
      </c>
      <c r="D277" t="s">
        <v>3926</v>
      </c>
      <c r="E277" t="str">
        <f t="shared" si="7"/>
        <v>BSMG_Classe 2_21354010 - IGAAC agencement (bât. Sociaux et Médico-sociaux)</v>
      </c>
      <c r="F277" s="112" t="s">
        <v>3922</v>
      </c>
    </row>
    <row r="278" spans="1:6" x14ac:dyDescent="0.3">
      <c r="A278" t="s">
        <v>15</v>
      </c>
      <c r="B278" t="s">
        <v>96</v>
      </c>
      <c r="C278" s="8" t="s">
        <v>3298</v>
      </c>
      <c r="D278" t="s">
        <v>43</v>
      </c>
      <c r="E278" t="str">
        <f t="shared" si="7"/>
        <v>BSMG_Classe 2_21354010 - IGAAC agencement (bât. Sociaux et Médico-sociaux)</v>
      </c>
      <c r="F278" s="112" t="s">
        <v>3922</v>
      </c>
    </row>
    <row r="279" spans="1:6" x14ac:dyDescent="0.3">
      <c r="A279" t="s">
        <v>15</v>
      </c>
      <c r="B279" t="s">
        <v>96</v>
      </c>
      <c r="C279" s="8" t="s">
        <v>3298</v>
      </c>
      <c r="D279" t="s">
        <v>1892</v>
      </c>
      <c r="E279" t="str">
        <f t="shared" si="7"/>
        <v>BSMG_Classe 2_21354010 - IGAAC agencement (bât. Sociaux et Médico-sociaux)</v>
      </c>
      <c r="F279" s="112" t="s">
        <v>3922</v>
      </c>
    </row>
    <row r="280" spans="1:6" x14ac:dyDescent="0.3">
      <c r="A280" t="s">
        <v>15</v>
      </c>
      <c r="B280" t="s">
        <v>96</v>
      </c>
      <c r="C280" s="8" t="s">
        <v>3298</v>
      </c>
      <c r="D280" t="s">
        <v>44</v>
      </c>
      <c r="E280" t="str">
        <f t="shared" si="7"/>
        <v>BSMG_Classe 2_21354010 - IGAAC agencement (bât. Sociaux et Médico-sociaux)</v>
      </c>
      <c r="F280" s="112" t="s">
        <v>3922</v>
      </c>
    </row>
    <row r="281" spans="1:6" x14ac:dyDescent="0.3">
      <c r="A281" t="s">
        <v>15</v>
      </c>
      <c r="B281" t="s">
        <v>96</v>
      </c>
      <c r="C281" s="8" t="s">
        <v>3298</v>
      </c>
      <c r="D281" t="s">
        <v>45</v>
      </c>
      <c r="E281" t="str">
        <f t="shared" si="7"/>
        <v>BSMG_Classe 2_21354010 - IGAAC agencement (bât. Sociaux et Médico-sociaux)</v>
      </c>
      <c r="F281" s="112" t="s">
        <v>3921</v>
      </c>
    </row>
    <row r="282" spans="1:6" x14ac:dyDescent="0.3">
      <c r="A282" t="s">
        <v>15</v>
      </c>
      <c r="B282" t="s">
        <v>96</v>
      </c>
      <c r="C282" s="8" t="s">
        <v>3298</v>
      </c>
      <c r="D282" t="s">
        <v>1039</v>
      </c>
      <c r="E282" t="str">
        <f t="shared" si="7"/>
        <v>BSMG_Classe 2_21354010 - IGAAC agencement (bât. Sociaux et Médico-sociaux)</v>
      </c>
      <c r="F282" s="112" t="s">
        <v>3922</v>
      </c>
    </row>
    <row r="283" spans="1:6" x14ac:dyDescent="0.3">
      <c r="A283" t="s">
        <v>15</v>
      </c>
      <c r="B283" t="s">
        <v>96</v>
      </c>
      <c r="C283" s="8" t="s">
        <v>3298</v>
      </c>
      <c r="D283" t="s">
        <v>46</v>
      </c>
      <c r="E283" t="str">
        <f t="shared" si="7"/>
        <v>BSMG_Classe 2_21354010 - IGAAC agencement (bât. Sociaux et Médico-sociaux)</v>
      </c>
      <c r="F283" s="112" t="s">
        <v>3921</v>
      </c>
    </row>
    <row r="284" spans="1:6" x14ac:dyDescent="0.3">
      <c r="A284" t="s">
        <v>15</v>
      </c>
      <c r="B284" t="s">
        <v>96</v>
      </c>
      <c r="C284" s="8" t="s">
        <v>3298</v>
      </c>
      <c r="D284" t="s">
        <v>3927</v>
      </c>
      <c r="E284" t="str">
        <f t="shared" si="7"/>
        <v>BSMG_Classe 2_21354010 - IGAAC agencement (bât. Sociaux et Médico-sociaux)</v>
      </c>
      <c r="F284" s="112" t="s">
        <v>3921</v>
      </c>
    </row>
    <row r="285" spans="1:6" x14ac:dyDescent="0.3">
      <c r="A285" t="s">
        <v>15</v>
      </c>
      <c r="B285" t="s">
        <v>96</v>
      </c>
      <c r="C285" s="8" t="s">
        <v>3298</v>
      </c>
      <c r="D285" t="s">
        <v>47</v>
      </c>
      <c r="E285" t="str">
        <f t="shared" si="7"/>
        <v>BSMG_Classe 2_21354010 - IGAAC agencement (bât. Sociaux et Médico-sociaux)</v>
      </c>
      <c r="F285" s="112" t="s">
        <v>3922</v>
      </c>
    </row>
    <row r="286" spans="1:6" x14ac:dyDescent="0.3">
      <c r="A286" t="s">
        <v>15</v>
      </c>
      <c r="B286" t="s">
        <v>96</v>
      </c>
      <c r="C286" s="8" t="s">
        <v>3298</v>
      </c>
      <c r="D286" t="s">
        <v>48</v>
      </c>
      <c r="E286" t="str">
        <f t="shared" si="7"/>
        <v>BSMG_Classe 2_21354010 - IGAAC agencement (bât. Sociaux et Médico-sociaux)</v>
      </c>
      <c r="F286" s="112" t="s">
        <v>3921</v>
      </c>
    </row>
    <row r="287" spans="1:6" x14ac:dyDescent="0.3">
      <c r="A287" t="s">
        <v>15</v>
      </c>
      <c r="B287" t="s">
        <v>96</v>
      </c>
      <c r="C287" s="8" t="s">
        <v>3929</v>
      </c>
      <c r="D287" t="s">
        <v>48</v>
      </c>
      <c r="E287" t="str">
        <f t="shared" si="7"/>
        <v>BSMG_Classe 2_238231531 - Mise en conformité chambre Isolement - compte classe 2</v>
      </c>
      <c r="F287" s="112" t="s">
        <v>3922</v>
      </c>
    </row>
    <row r="288" spans="1:6" x14ac:dyDescent="0.3">
      <c r="A288" t="s">
        <v>15</v>
      </c>
      <c r="B288" t="s">
        <v>79</v>
      </c>
      <c r="C288" t="s">
        <v>182</v>
      </c>
      <c r="D288" t="s">
        <v>83</v>
      </c>
      <c r="E288" t="str">
        <f t="shared" si="7"/>
        <v>BSMG_Classe 6_615222 - Classe 6 Travaux Pôle</v>
      </c>
      <c r="F288" s="112" t="s">
        <v>3922</v>
      </c>
    </row>
    <row r="289" spans="1:6" x14ac:dyDescent="0.3">
      <c r="A289" t="s">
        <v>15</v>
      </c>
      <c r="B289" t="s">
        <v>79</v>
      </c>
      <c r="C289" t="s">
        <v>81</v>
      </c>
      <c r="D289" t="s">
        <v>83</v>
      </c>
      <c r="E289" t="str">
        <f t="shared" si="7"/>
        <v>BSMG_Classe 6_615223 - Classe 6 Travaux Hors Pôle</v>
      </c>
      <c r="F289" s="112" t="s">
        <v>3921</v>
      </c>
    </row>
    <row r="290" spans="1:6" x14ac:dyDescent="0.3">
      <c r="A290" t="s">
        <v>1412</v>
      </c>
      <c r="B290" t="s">
        <v>79</v>
      </c>
      <c r="C290" t="s">
        <v>182</v>
      </c>
      <c r="D290" t="s">
        <v>83</v>
      </c>
      <c r="E290" t="str">
        <f t="shared" si="7"/>
        <v>CASA LOPEZ_Classe 6_615222 - Classe 6 Travaux Pôle</v>
      </c>
      <c r="F290" s="112" t="s">
        <v>3922</v>
      </c>
    </row>
    <row r="291" spans="1:6" x14ac:dyDescent="0.3">
      <c r="A291" t="s">
        <v>1412</v>
      </c>
      <c r="B291" t="s">
        <v>79</v>
      </c>
      <c r="C291" t="s">
        <v>81</v>
      </c>
      <c r="D291" t="s">
        <v>83</v>
      </c>
      <c r="E291" t="str">
        <f t="shared" si="7"/>
        <v>CASA LOPEZ_Classe 6_615223 - Classe 6 Travaux Hors Pôle</v>
      </c>
      <c r="F291" s="112" t="s">
        <v>3921</v>
      </c>
    </row>
    <row r="292" spans="1:6" x14ac:dyDescent="0.3">
      <c r="A292" t="s">
        <v>17</v>
      </c>
      <c r="B292" t="s">
        <v>96</v>
      </c>
      <c r="C292" s="8" t="s">
        <v>2054</v>
      </c>
      <c r="D292" t="s">
        <v>3920</v>
      </c>
      <c r="E292" t="str">
        <f t="shared" si="7"/>
        <v>CLIMATER_Classe 2_21351300 - IGAAC : Matériel Froid (clim bâtiment)</v>
      </c>
      <c r="F292" s="112" t="s">
        <v>3922</v>
      </c>
    </row>
    <row r="293" spans="1:6" x14ac:dyDescent="0.3">
      <c r="A293" t="s">
        <v>17</v>
      </c>
      <c r="B293" t="s">
        <v>96</v>
      </c>
      <c r="C293" s="8" t="s">
        <v>2054</v>
      </c>
      <c r="D293" t="s">
        <v>38</v>
      </c>
      <c r="E293" t="str">
        <f t="shared" si="7"/>
        <v>CLIMATER_Classe 2_21351300 - IGAAC : Matériel Froid (clim bâtiment)</v>
      </c>
      <c r="F293" s="112" t="s">
        <v>3921</v>
      </c>
    </row>
    <row r="294" spans="1:6" x14ac:dyDescent="0.3">
      <c r="A294" t="s">
        <v>17</v>
      </c>
      <c r="B294" t="s">
        <v>96</v>
      </c>
      <c r="C294" s="8" t="s">
        <v>2054</v>
      </c>
      <c r="D294" t="s">
        <v>3923</v>
      </c>
      <c r="E294" t="str">
        <f t="shared" si="7"/>
        <v>CLIMATER_Classe 2_21351300 - IGAAC : Matériel Froid (clim bâtiment)</v>
      </c>
      <c r="F294" s="112" t="s">
        <v>3922</v>
      </c>
    </row>
    <row r="295" spans="1:6" x14ac:dyDescent="0.3">
      <c r="A295" t="s">
        <v>17</v>
      </c>
      <c r="B295" t="s">
        <v>96</v>
      </c>
      <c r="C295" s="8" t="s">
        <v>2054</v>
      </c>
      <c r="D295" t="s">
        <v>170</v>
      </c>
      <c r="E295" t="str">
        <f t="shared" si="7"/>
        <v>CLIMATER_Classe 2_21351300 - IGAAC : Matériel Froid (clim bâtiment)</v>
      </c>
      <c r="F295" s="112" t="s">
        <v>3922</v>
      </c>
    </row>
    <row r="296" spans="1:6" x14ac:dyDescent="0.3">
      <c r="A296" t="s">
        <v>17</v>
      </c>
      <c r="B296" t="s">
        <v>96</v>
      </c>
      <c r="C296" s="8" t="s">
        <v>2054</v>
      </c>
      <c r="D296" t="s">
        <v>39</v>
      </c>
      <c r="E296" t="str">
        <f t="shared" si="7"/>
        <v>CLIMATER_Classe 2_21351300 - IGAAC : Matériel Froid (clim bâtiment)</v>
      </c>
      <c r="F296" s="112" t="s">
        <v>3921</v>
      </c>
    </row>
    <row r="297" spans="1:6" x14ac:dyDescent="0.3">
      <c r="A297" t="s">
        <v>17</v>
      </c>
      <c r="B297" t="s">
        <v>96</v>
      </c>
      <c r="C297" s="8" t="s">
        <v>2054</v>
      </c>
      <c r="D297" t="s">
        <v>3924</v>
      </c>
      <c r="E297" t="str">
        <f t="shared" si="7"/>
        <v>CLIMATER_Classe 2_21351300 - IGAAC : Matériel Froid (clim bâtiment)</v>
      </c>
      <c r="F297" s="112" t="s">
        <v>3922</v>
      </c>
    </row>
    <row r="298" spans="1:6" x14ac:dyDescent="0.3">
      <c r="A298" t="s">
        <v>17</v>
      </c>
      <c r="B298" t="s">
        <v>96</v>
      </c>
      <c r="C298" s="8" t="s">
        <v>2054</v>
      </c>
      <c r="D298" t="s">
        <v>40</v>
      </c>
      <c r="E298" t="str">
        <f t="shared" si="7"/>
        <v>CLIMATER_Classe 2_21351300 - IGAAC : Matériel Froid (clim bâtiment)</v>
      </c>
      <c r="F298" s="112" t="s">
        <v>3921</v>
      </c>
    </row>
    <row r="299" spans="1:6" x14ac:dyDescent="0.3">
      <c r="A299" t="s">
        <v>17</v>
      </c>
      <c r="B299" t="s">
        <v>96</v>
      </c>
      <c r="C299" s="8" t="s">
        <v>2054</v>
      </c>
      <c r="D299" t="s">
        <v>41</v>
      </c>
      <c r="E299" t="str">
        <f t="shared" si="7"/>
        <v>CLIMATER_Classe 2_21351300 - IGAAC : Matériel Froid (clim bâtiment)</v>
      </c>
      <c r="F299" s="112" t="s">
        <v>3922</v>
      </c>
    </row>
    <row r="300" spans="1:6" x14ac:dyDescent="0.3">
      <c r="A300" t="s">
        <v>17</v>
      </c>
      <c r="B300" t="s">
        <v>96</v>
      </c>
      <c r="C300" s="8" t="s">
        <v>2054</v>
      </c>
      <c r="D300" t="s">
        <v>3925</v>
      </c>
      <c r="E300" t="str">
        <f t="shared" si="7"/>
        <v>CLIMATER_Classe 2_21351300 - IGAAC : Matériel Froid (clim bâtiment)</v>
      </c>
      <c r="F300" s="112" t="s">
        <v>3922</v>
      </c>
    </row>
    <row r="301" spans="1:6" x14ac:dyDescent="0.3">
      <c r="A301" t="s">
        <v>17</v>
      </c>
      <c r="B301" t="s">
        <v>96</v>
      </c>
      <c r="C301" s="8" t="s">
        <v>2054</v>
      </c>
      <c r="D301" t="s">
        <v>42</v>
      </c>
      <c r="E301" t="str">
        <f t="shared" si="7"/>
        <v>CLIMATER_Classe 2_21351300 - IGAAC : Matériel Froid (clim bâtiment)</v>
      </c>
      <c r="F301" s="112" t="s">
        <v>3922</v>
      </c>
    </row>
    <row r="302" spans="1:6" x14ac:dyDescent="0.3">
      <c r="A302" t="s">
        <v>17</v>
      </c>
      <c r="B302" t="s">
        <v>96</v>
      </c>
      <c r="C302" s="8" t="s">
        <v>2054</v>
      </c>
      <c r="D302" t="s">
        <v>3926</v>
      </c>
      <c r="E302" t="str">
        <f t="shared" si="7"/>
        <v>CLIMATER_Classe 2_21351300 - IGAAC : Matériel Froid (clim bâtiment)</v>
      </c>
      <c r="F302" s="112" t="s">
        <v>3922</v>
      </c>
    </row>
    <row r="303" spans="1:6" x14ac:dyDescent="0.3">
      <c r="A303" t="s">
        <v>17</v>
      </c>
      <c r="B303" t="s">
        <v>96</v>
      </c>
      <c r="C303" s="8" t="s">
        <v>2054</v>
      </c>
      <c r="D303" t="s">
        <v>43</v>
      </c>
      <c r="E303" t="str">
        <f t="shared" si="7"/>
        <v>CLIMATER_Classe 2_21351300 - IGAAC : Matériel Froid (clim bâtiment)</v>
      </c>
      <c r="F303" s="112" t="s">
        <v>3922</v>
      </c>
    </row>
    <row r="304" spans="1:6" x14ac:dyDescent="0.3">
      <c r="A304" t="s">
        <v>17</v>
      </c>
      <c r="B304" t="s">
        <v>96</v>
      </c>
      <c r="C304" s="8" t="s">
        <v>2054</v>
      </c>
      <c r="D304" t="s">
        <v>1892</v>
      </c>
      <c r="E304" t="str">
        <f t="shared" si="7"/>
        <v>CLIMATER_Classe 2_21351300 - IGAAC : Matériel Froid (clim bâtiment)</v>
      </c>
      <c r="F304" s="112" t="s">
        <v>3922</v>
      </c>
    </row>
    <row r="305" spans="1:6" x14ac:dyDescent="0.3">
      <c r="A305" t="s">
        <v>17</v>
      </c>
      <c r="B305" t="s">
        <v>96</v>
      </c>
      <c r="C305" s="8" t="s">
        <v>2054</v>
      </c>
      <c r="D305" t="s">
        <v>44</v>
      </c>
      <c r="E305" t="str">
        <f t="shared" si="7"/>
        <v>CLIMATER_Classe 2_21351300 - IGAAC : Matériel Froid (clim bâtiment)</v>
      </c>
      <c r="F305" s="112" t="s">
        <v>3921</v>
      </c>
    </row>
    <row r="306" spans="1:6" x14ac:dyDescent="0.3">
      <c r="A306" t="s">
        <v>17</v>
      </c>
      <c r="B306" t="s">
        <v>96</v>
      </c>
      <c r="C306" s="8" t="s">
        <v>2054</v>
      </c>
      <c r="D306" t="s">
        <v>45</v>
      </c>
      <c r="E306" t="str">
        <f t="shared" si="7"/>
        <v>CLIMATER_Classe 2_21351300 - IGAAC : Matériel Froid (clim bâtiment)</v>
      </c>
      <c r="F306" s="112" t="s">
        <v>3922</v>
      </c>
    </row>
    <row r="307" spans="1:6" x14ac:dyDescent="0.3">
      <c r="A307" t="s">
        <v>17</v>
      </c>
      <c r="B307" t="s">
        <v>96</v>
      </c>
      <c r="C307" s="8" t="s">
        <v>2054</v>
      </c>
      <c r="D307" t="s">
        <v>1039</v>
      </c>
      <c r="E307" t="str">
        <f t="shared" si="7"/>
        <v>CLIMATER_Classe 2_21351300 - IGAAC : Matériel Froid (clim bâtiment)</v>
      </c>
      <c r="F307" s="112" t="s">
        <v>3921</v>
      </c>
    </row>
    <row r="308" spans="1:6" x14ac:dyDescent="0.3">
      <c r="A308" t="s">
        <v>17</v>
      </c>
      <c r="B308" t="s">
        <v>96</v>
      </c>
      <c r="C308" s="8" t="s">
        <v>2054</v>
      </c>
      <c r="D308" t="s">
        <v>46</v>
      </c>
      <c r="E308" t="str">
        <f t="shared" si="7"/>
        <v>CLIMATER_Classe 2_21351300 - IGAAC : Matériel Froid (clim bâtiment)</v>
      </c>
      <c r="F308" s="112" t="s">
        <v>3921</v>
      </c>
    </row>
    <row r="309" spans="1:6" x14ac:dyDescent="0.3">
      <c r="A309" t="s">
        <v>17</v>
      </c>
      <c r="B309" t="s">
        <v>96</v>
      </c>
      <c r="C309" s="8" t="s">
        <v>2054</v>
      </c>
      <c r="D309" t="s">
        <v>3927</v>
      </c>
      <c r="E309" t="str">
        <f t="shared" si="7"/>
        <v>CLIMATER_Classe 2_21351300 - IGAAC : Matériel Froid (clim bâtiment)</v>
      </c>
      <c r="F309" s="112" t="s">
        <v>3922</v>
      </c>
    </row>
    <row r="310" spans="1:6" x14ac:dyDescent="0.3">
      <c r="A310" t="s">
        <v>17</v>
      </c>
      <c r="B310" t="s">
        <v>96</v>
      </c>
      <c r="C310" s="8" t="s">
        <v>2054</v>
      </c>
      <c r="D310" t="s">
        <v>47</v>
      </c>
      <c r="E310" t="str">
        <f t="shared" si="7"/>
        <v>CLIMATER_Classe 2_21351300 - IGAAC : Matériel Froid (clim bâtiment)</v>
      </c>
      <c r="F310" s="112" t="s">
        <v>3921</v>
      </c>
    </row>
    <row r="311" spans="1:6" x14ac:dyDescent="0.3">
      <c r="A311" t="s">
        <v>17</v>
      </c>
      <c r="B311" t="s">
        <v>96</v>
      </c>
      <c r="C311" s="8" t="s">
        <v>2054</v>
      </c>
      <c r="D311" t="s">
        <v>48</v>
      </c>
      <c r="E311" t="str">
        <f t="shared" si="7"/>
        <v>CLIMATER_Classe 2_21351300 - IGAAC : Matériel Froid (clim bâtiment)</v>
      </c>
      <c r="F311" s="112" t="s">
        <v>3922</v>
      </c>
    </row>
    <row r="312" spans="1:6" x14ac:dyDescent="0.3">
      <c r="A312" t="s">
        <v>17</v>
      </c>
      <c r="B312" t="s">
        <v>79</v>
      </c>
      <c r="C312" s="8" t="s">
        <v>241</v>
      </c>
      <c r="D312" t="s">
        <v>518</v>
      </c>
      <c r="E312" t="str">
        <f t="shared" si="7"/>
        <v>CLIMATER_Classe 6_6152582 - Classe 6 Maintenance Hors Forfait</v>
      </c>
      <c r="F312" s="112" t="s">
        <v>3922</v>
      </c>
    </row>
    <row r="313" spans="1:6" x14ac:dyDescent="0.3">
      <c r="A313" t="s">
        <v>17</v>
      </c>
      <c r="B313" t="s">
        <v>79</v>
      </c>
      <c r="C313" s="8" t="s">
        <v>241</v>
      </c>
      <c r="D313" t="s">
        <v>1480</v>
      </c>
      <c r="E313" t="str">
        <f t="shared" si="7"/>
        <v>CLIMATER_Classe 6_6152582 - Classe 6 Maintenance Hors Forfait</v>
      </c>
      <c r="F313" s="112" t="s">
        <v>3921</v>
      </c>
    </row>
    <row r="314" spans="1:6" x14ac:dyDescent="0.3">
      <c r="A314" t="s">
        <v>151</v>
      </c>
      <c r="B314" t="s">
        <v>79</v>
      </c>
      <c r="C314" t="s">
        <v>182</v>
      </c>
      <c r="D314" t="s">
        <v>83</v>
      </c>
      <c r="E314" t="str">
        <f>A314&amp;"_"&amp;B314&amp;"_"&amp;C314</f>
        <v>CMP_Classe 6_615222 - Classe 6 Travaux Pôle</v>
      </c>
      <c r="F314" s="112" t="s">
        <v>3922</v>
      </c>
    </row>
    <row r="315" spans="1:6" x14ac:dyDescent="0.3">
      <c r="A315" t="s">
        <v>151</v>
      </c>
      <c r="B315" t="s">
        <v>79</v>
      </c>
      <c r="C315" t="s">
        <v>81</v>
      </c>
      <c r="D315" t="s">
        <v>83</v>
      </c>
      <c r="E315" t="str">
        <f t="shared" si="7"/>
        <v>CMP_Classe 6_615223 - Classe 6 Travaux Hors Pôle</v>
      </c>
      <c r="F315" s="112" t="s">
        <v>3921</v>
      </c>
    </row>
    <row r="316" spans="1:6" x14ac:dyDescent="0.3">
      <c r="A316" t="s">
        <v>19</v>
      </c>
      <c r="B316" t="s">
        <v>96</v>
      </c>
      <c r="C316" s="8" t="s">
        <v>320</v>
      </c>
      <c r="D316" t="s">
        <v>3920</v>
      </c>
      <c r="E316" t="str">
        <f t="shared" ref="E316:E385" si="8">A316&amp;"_"&amp;B316&amp;"_"&amp;C316</f>
        <v>COBAT_Classe 2_21351810 - Autres IGAAC : Clos et couvert</v>
      </c>
      <c r="F316" s="112" t="s">
        <v>3922</v>
      </c>
    </row>
    <row r="317" spans="1:6" x14ac:dyDescent="0.3">
      <c r="A317" t="s">
        <v>19</v>
      </c>
      <c r="B317" t="s">
        <v>96</v>
      </c>
      <c r="C317" s="8" t="s">
        <v>320</v>
      </c>
      <c r="D317" t="s">
        <v>38</v>
      </c>
      <c r="E317" t="str">
        <f t="shared" si="8"/>
        <v>COBAT_Classe 2_21351810 - Autres IGAAC : Clos et couvert</v>
      </c>
      <c r="F317" s="112" t="s">
        <v>3921</v>
      </c>
    </row>
    <row r="318" spans="1:6" x14ac:dyDescent="0.3">
      <c r="A318" t="s">
        <v>19</v>
      </c>
      <c r="B318" t="s">
        <v>96</v>
      </c>
      <c r="C318" s="8" t="s">
        <v>320</v>
      </c>
      <c r="D318" t="s">
        <v>3923</v>
      </c>
      <c r="E318" t="str">
        <f t="shared" si="8"/>
        <v>COBAT_Classe 2_21351810 - Autres IGAAC : Clos et couvert</v>
      </c>
      <c r="F318" s="112" t="s">
        <v>3922</v>
      </c>
    </row>
    <row r="319" spans="1:6" x14ac:dyDescent="0.3">
      <c r="A319" t="s">
        <v>19</v>
      </c>
      <c r="B319" t="s">
        <v>96</v>
      </c>
      <c r="C319" s="8" t="s">
        <v>320</v>
      </c>
      <c r="D319" t="s">
        <v>170</v>
      </c>
      <c r="E319" t="str">
        <f t="shared" si="8"/>
        <v>COBAT_Classe 2_21351810 - Autres IGAAC : Clos et couvert</v>
      </c>
      <c r="F319" s="112" t="s">
        <v>3922</v>
      </c>
    </row>
    <row r="320" spans="1:6" x14ac:dyDescent="0.3">
      <c r="A320" t="s">
        <v>19</v>
      </c>
      <c r="B320" t="s">
        <v>96</v>
      </c>
      <c r="C320" s="8" t="s">
        <v>320</v>
      </c>
      <c r="D320" t="s">
        <v>39</v>
      </c>
      <c r="E320" t="str">
        <f t="shared" si="8"/>
        <v>COBAT_Classe 2_21351810 - Autres IGAAC : Clos et couvert</v>
      </c>
      <c r="F320" s="112" t="s">
        <v>3921</v>
      </c>
    </row>
    <row r="321" spans="1:6" x14ac:dyDescent="0.3">
      <c r="A321" t="s">
        <v>19</v>
      </c>
      <c r="B321" t="s">
        <v>96</v>
      </c>
      <c r="C321" s="8" t="s">
        <v>320</v>
      </c>
      <c r="D321" t="s">
        <v>3924</v>
      </c>
      <c r="E321" t="str">
        <f t="shared" si="8"/>
        <v>COBAT_Classe 2_21351810 - Autres IGAAC : Clos et couvert</v>
      </c>
      <c r="F321" s="112" t="s">
        <v>3922</v>
      </c>
    </row>
    <row r="322" spans="1:6" x14ac:dyDescent="0.3">
      <c r="A322" t="s">
        <v>19</v>
      </c>
      <c r="B322" t="s">
        <v>96</v>
      </c>
      <c r="C322" s="8" t="s">
        <v>320</v>
      </c>
      <c r="D322" t="s">
        <v>40</v>
      </c>
      <c r="E322" t="str">
        <f t="shared" si="8"/>
        <v>COBAT_Classe 2_21351810 - Autres IGAAC : Clos et couvert</v>
      </c>
      <c r="F322" s="112" t="s">
        <v>3921</v>
      </c>
    </row>
    <row r="323" spans="1:6" x14ac:dyDescent="0.3">
      <c r="A323" t="s">
        <v>19</v>
      </c>
      <c r="B323" t="s">
        <v>96</v>
      </c>
      <c r="C323" s="8" t="s">
        <v>320</v>
      </c>
      <c r="D323" t="s">
        <v>41</v>
      </c>
      <c r="E323" t="str">
        <f t="shared" si="8"/>
        <v>COBAT_Classe 2_21351810 - Autres IGAAC : Clos et couvert</v>
      </c>
      <c r="F323" s="112" t="s">
        <v>3922</v>
      </c>
    </row>
    <row r="324" spans="1:6" x14ac:dyDescent="0.3">
      <c r="A324" t="s">
        <v>19</v>
      </c>
      <c r="B324" t="s">
        <v>96</v>
      </c>
      <c r="C324" s="8" t="s">
        <v>320</v>
      </c>
      <c r="D324" t="s">
        <v>3925</v>
      </c>
      <c r="E324" t="str">
        <f t="shared" si="8"/>
        <v>COBAT_Classe 2_21351810 - Autres IGAAC : Clos et couvert</v>
      </c>
      <c r="F324" s="112" t="s">
        <v>3922</v>
      </c>
    </row>
    <row r="325" spans="1:6" x14ac:dyDescent="0.3">
      <c r="A325" t="s">
        <v>19</v>
      </c>
      <c r="B325" t="s">
        <v>96</v>
      </c>
      <c r="C325" s="8" t="s">
        <v>320</v>
      </c>
      <c r="D325" t="s">
        <v>42</v>
      </c>
      <c r="E325" t="str">
        <f t="shared" si="8"/>
        <v>COBAT_Classe 2_21351810 - Autres IGAAC : Clos et couvert</v>
      </c>
      <c r="F325" s="112" t="s">
        <v>3922</v>
      </c>
    </row>
    <row r="326" spans="1:6" x14ac:dyDescent="0.3">
      <c r="A326" t="s">
        <v>19</v>
      </c>
      <c r="B326" t="s">
        <v>96</v>
      </c>
      <c r="C326" s="8" t="s">
        <v>320</v>
      </c>
      <c r="D326" t="s">
        <v>3926</v>
      </c>
      <c r="E326" t="str">
        <f t="shared" si="8"/>
        <v>COBAT_Classe 2_21351810 - Autres IGAAC : Clos et couvert</v>
      </c>
      <c r="F326" s="112" t="s">
        <v>3922</v>
      </c>
    </row>
    <row r="327" spans="1:6" x14ac:dyDescent="0.3">
      <c r="A327" t="s">
        <v>19</v>
      </c>
      <c r="B327" t="s">
        <v>96</v>
      </c>
      <c r="C327" s="8" t="s">
        <v>320</v>
      </c>
      <c r="D327" t="s">
        <v>43</v>
      </c>
      <c r="E327" t="str">
        <f t="shared" si="8"/>
        <v>COBAT_Classe 2_21351810 - Autres IGAAC : Clos et couvert</v>
      </c>
      <c r="F327" s="112" t="s">
        <v>3922</v>
      </c>
    </row>
    <row r="328" spans="1:6" x14ac:dyDescent="0.3">
      <c r="A328" t="s">
        <v>19</v>
      </c>
      <c r="B328" t="s">
        <v>96</v>
      </c>
      <c r="C328" s="8" t="s">
        <v>320</v>
      </c>
      <c r="D328" t="s">
        <v>1892</v>
      </c>
      <c r="E328" t="str">
        <f t="shared" si="8"/>
        <v>COBAT_Classe 2_21351810 - Autres IGAAC : Clos et couvert</v>
      </c>
      <c r="F328" s="112" t="s">
        <v>3922</v>
      </c>
    </row>
    <row r="329" spans="1:6" x14ac:dyDescent="0.3">
      <c r="A329" t="s">
        <v>19</v>
      </c>
      <c r="B329" t="s">
        <v>96</v>
      </c>
      <c r="C329" s="8" t="s">
        <v>320</v>
      </c>
      <c r="D329" t="s">
        <v>44</v>
      </c>
      <c r="E329" t="str">
        <f t="shared" si="8"/>
        <v>COBAT_Classe 2_21351810 - Autres IGAAC : Clos et couvert</v>
      </c>
      <c r="F329" s="112" t="s">
        <v>3921</v>
      </c>
    </row>
    <row r="330" spans="1:6" x14ac:dyDescent="0.3">
      <c r="A330" t="s">
        <v>19</v>
      </c>
      <c r="B330" t="s">
        <v>96</v>
      </c>
      <c r="C330" s="8" t="s">
        <v>320</v>
      </c>
      <c r="D330" t="s">
        <v>45</v>
      </c>
      <c r="E330" t="str">
        <f t="shared" si="8"/>
        <v>COBAT_Classe 2_21351810 - Autres IGAAC : Clos et couvert</v>
      </c>
      <c r="F330" s="112" t="s">
        <v>3922</v>
      </c>
    </row>
    <row r="331" spans="1:6" x14ac:dyDescent="0.3">
      <c r="A331" t="s">
        <v>19</v>
      </c>
      <c r="B331" t="s">
        <v>96</v>
      </c>
      <c r="C331" s="8" t="s">
        <v>320</v>
      </c>
      <c r="D331" t="s">
        <v>1039</v>
      </c>
      <c r="E331" t="str">
        <f t="shared" si="8"/>
        <v>COBAT_Classe 2_21351810 - Autres IGAAC : Clos et couvert</v>
      </c>
      <c r="F331" s="112" t="s">
        <v>3921</v>
      </c>
    </row>
    <row r="332" spans="1:6" x14ac:dyDescent="0.3">
      <c r="A332" t="s">
        <v>19</v>
      </c>
      <c r="B332" t="s">
        <v>96</v>
      </c>
      <c r="C332" s="8" t="s">
        <v>320</v>
      </c>
      <c r="D332" t="s">
        <v>46</v>
      </c>
      <c r="E332" t="str">
        <f t="shared" si="8"/>
        <v>COBAT_Classe 2_21351810 - Autres IGAAC : Clos et couvert</v>
      </c>
      <c r="F332" s="112" t="s">
        <v>3921</v>
      </c>
    </row>
    <row r="333" spans="1:6" x14ac:dyDescent="0.3">
      <c r="A333" t="s">
        <v>19</v>
      </c>
      <c r="B333" t="s">
        <v>96</v>
      </c>
      <c r="C333" s="8" t="s">
        <v>320</v>
      </c>
      <c r="D333" t="s">
        <v>3927</v>
      </c>
      <c r="E333" t="str">
        <f t="shared" si="8"/>
        <v>COBAT_Classe 2_21351810 - Autres IGAAC : Clos et couvert</v>
      </c>
      <c r="F333" s="112" t="s">
        <v>3922</v>
      </c>
    </row>
    <row r="334" spans="1:6" x14ac:dyDescent="0.3">
      <c r="A334" t="s">
        <v>19</v>
      </c>
      <c r="B334" t="s">
        <v>96</v>
      </c>
      <c r="C334" s="8" t="s">
        <v>320</v>
      </c>
      <c r="D334" t="s">
        <v>47</v>
      </c>
      <c r="E334" t="str">
        <f t="shared" si="8"/>
        <v>COBAT_Classe 2_21351810 - Autres IGAAC : Clos et couvert</v>
      </c>
      <c r="F334" s="112" t="s">
        <v>3921</v>
      </c>
    </row>
    <row r="335" spans="1:6" x14ac:dyDescent="0.3">
      <c r="A335" t="s">
        <v>19</v>
      </c>
      <c r="B335" t="s">
        <v>96</v>
      </c>
      <c r="C335" s="8" t="s">
        <v>320</v>
      </c>
      <c r="D335" t="s">
        <v>48</v>
      </c>
      <c r="E335" t="str">
        <f t="shared" si="8"/>
        <v>COBAT_Classe 2_21351810 - Autres IGAAC : Clos et couvert</v>
      </c>
      <c r="F335" s="112" t="s">
        <v>3922</v>
      </c>
    </row>
    <row r="336" spans="1:6" x14ac:dyDescent="0.3">
      <c r="A336" t="s">
        <v>19</v>
      </c>
      <c r="B336" t="s">
        <v>79</v>
      </c>
      <c r="C336" t="s">
        <v>182</v>
      </c>
      <c r="D336" t="s">
        <v>83</v>
      </c>
      <c r="E336" t="str">
        <f t="shared" si="8"/>
        <v>COBAT_Classe 6_615222 - Classe 6 Travaux Pôle</v>
      </c>
      <c r="F336" s="112" t="s">
        <v>3922</v>
      </c>
    </row>
    <row r="337" spans="1:6" x14ac:dyDescent="0.3">
      <c r="A337" t="s">
        <v>19</v>
      </c>
      <c r="B337" t="s">
        <v>79</v>
      </c>
      <c r="C337" t="s">
        <v>81</v>
      </c>
      <c r="D337" t="s">
        <v>83</v>
      </c>
      <c r="E337" t="str">
        <f t="shared" si="8"/>
        <v>COBAT_Classe 6_615223 - Classe 6 Travaux Hors Pôle</v>
      </c>
      <c r="F337" s="112" t="s">
        <v>3921</v>
      </c>
    </row>
    <row r="338" spans="1:6" x14ac:dyDescent="0.3">
      <c r="A338" t="s">
        <v>21</v>
      </c>
      <c r="B338" t="s">
        <v>79</v>
      </c>
      <c r="C338" s="12" t="s">
        <v>533</v>
      </c>
      <c r="D338" t="s">
        <v>535</v>
      </c>
      <c r="E338" t="str">
        <f t="shared" si="8"/>
        <v>DALKIA_Classe 6_628811 - Prestations chauffage P2/Px</v>
      </c>
      <c r="F338" s="112" t="s">
        <v>3922</v>
      </c>
    </row>
    <row r="339" spans="1:6" x14ac:dyDescent="0.3">
      <c r="A339" t="s">
        <v>1357</v>
      </c>
      <c r="B339" t="s">
        <v>79</v>
      </c>
      <c r="C339" s="8" t="s">
        <v>241</v>
      </c>
      <c r="D339" t="s">
        <v>382</v>
      </c>
      <c r="E339" t="str">
        <f>A339&amp;"_"&amp;B339&amp;"_"&amp;C339</f>
        <v>EAU+_Classe 6_6152582 - Classe 6 Maintenance Hors Forfait</v>
      </c>
      <c r="F339" s="112" t="s">
        <v>3921</v>
      </c>
    </row>
    <row r="340" spans="1:6" x14ac:dyDescent="0.3">
      <c r="A340" t="s">
        <v>52</v>
      </c>
      <c r="B340" t="s">
        <v>54</v>
      </c>
      <c r="C340" t="s">
        <v>56</v>
      </c>
      <c r="D340" t="s">
        <v>572</v>
      </c>
      <c r="E340" t="str">
        <f t="shared" si="8"/>
        <v>Entreprise_CL.2/Cl.6_Compte</v>
      </c>
      <c r="F340" s="112" t="s">
        <v>3922</v>
      </c>
    </row>
    <row r="341" spans="1:6" x14ac:dyDescent="0.3">
      <c r="A341" t="s">
        <v>52</v>
      </c>
      <c r="B341" t="s">
        <v>54</v>
      </c>
      <c r="C341" t="s">
        <v>56</v>
      </c>
      <c r="D341" t="s">
        <v>3930</v>
      </c>
      <c r="E341" t="str">
        <f t="shared" si="8"/>
        <v>Entreprise_CL.2/Cl.6_Compte</v>
      </c>
      <c r="F341" s="112" t="s">
        <v>3921</v>
      </c>
    </row>
    <row r="342" spans="1:6" x14ac:dyDescent="0.3">
      <c r="A342" t="s">
        <v>23</v>
      </c>
      <c r="B342" t="s">
        <v>96</v>
      </c>
      <c r="C342" s="8" t="s">
        <v>1308</v>
      </c>
      <c r="D342" t="s">
        <v>3920</v>
      </c>
      <c r="E342" t="str">
        <f t="shared" si="8"/>
        <v>ERIS_Classe 2_21351830 - Autres IGAAC : Système de Sécurité Incendie</v>
      </c>
      <c r="F342" s="112" t="s">
        <v>3922</v>
      </c>
    </row>
    <row r="343" spans="1:6" x14ac:dyDescent="0.3">
      <c r="A343" t="s">
        <v>23</v>
      </c>
      <c r="B343" t="s">
        <v>96</v>
      </c>
      <c r="C343" s="8" t="s">
        <v>1308</v>
      </c>
      <c r="D343" t="s">
        <v>38</v>
      </c>
      <c r="E343" t="str">
        <f t="shared" si="8"/>
        <v>ERIS_Classe 2_21351830 - Autres IGAAC : Système de Sécurité Incendie</v>
      </c>
      <c r="F343" s="112" t="s">
        <v>3922</v>
      </c>
    </row>
    <row r="344" spans="1:6" x14ac:dyDescent="0.3">
      <c r="A344" t="s">
        <v>23</v>
      </c>
      <c r="B344" t="s">
        <v>96</v>
      </c>
      <c r="C344" s="8" t="s">
        <v>1308</v>
      </c>
      <c r="D344" t="s">
        <v>3923</v>
      </c>
      <c r="E344" t="str">
        <f t="shared" si="8"/>
        <v>ERIS_Classe 2_21351830 - Autres IGAAC : Système de Sécurité Incendie</v>
      </c>
      <c r="F344" s="112" t="s">
        <v>3921</v>
      </c>
    </row>
    <row r="345" spans="1:6" x14ac:dyDescent="0.3">
      <c r="A345" t="s">
        <v>23</v>
      </c>
      <c r="B345" t="s">
        <v>96</v>
      </c>
      <c r="C345" s="8" t="s">
        <v>1308</v>
      </c>
      <c r="D345" t="s">
        <v>170</v>
      </c>
      <c r="E345" t="str">
        <f t="shared" si="8"/>
        <v>ERIS_Classe 2_21351830 - Autres IGAAC : Système de Sécurité Incendie</v>
      </c>
      <c r="F345" s="112" t="s">
        <v>3922</v>
      </c>
    </row>
    <row r="346" spans="1:6" x14ac:dyDescent="0.3">
      <c r="A346" t="s">
        <v>23</v>
      </c>
      <c r="B346" t="s">
        <v>96</v>
      </c>
      <c r="C346" s="8" t="s">
        <v>1308</v>
      </c>
      <c r="D346" t="s">
        <v>39</v>
      </c>
      <c r="E346" t="str">
        <f t="shared" si="8"/>
        <v>ERIS_Classe 2_21351830 - Autres IGAAC : Système de Sécurité Incendie</v>
      </c>
      <c r="F346" s="112" t="s">
        <v>3921</v>
      </c>
    </row>
    <row r="347" spans="1:6" x14ac:dyDescent="0.3">
      <c r="A347" t="s">
        <v>23</v>
      </c>
      <c r="B347" t="s">
        <v>96</v>
      </c>
      <c r="C347" s="8" t="s">
        <v>1308</v>
      </c>
      <c r="D347" t="s">
        <v>3924</v>
      </c>
      <c r="E347" t="str">
        <f t="shared" si="8"/>
        <v>ERIS_Classe 2_21351830 - Autres IGAAC : Système de Sécurité Incendie</v>
      </c>
      <c r="F347" s="112" t="s">
        <v>3922</v>
      </c>
    </row>
    <row r="348" spans="1:6" x14ac:dyDescent="0.3">
      <c r="A348" t="s">
        <v>23</v>
      </c>
      <c r="B348" t="s">
        <v>96</v>
      </c>
      <c r="C348" s="8" t="s">
        <v>1308</v>
      </c>
      <c r="D348" t="s">
        <v>40</v>
      </c>
      <c r="E348" t="str">
        <f t="shared" si="8"/>
        <v>ERIS_Classe 2_21351830 - Autres IGAAC : Système de Sécurité Incendie</v>
      </c>
      <c r="F348" s="112" t="s">
        <v>3922</v>
      </c>
    </row>
    <row r="349" spans="1:6" x14ac:dyDescent="0.3">
      <c r="A349" t="s">
        <v>23</v>
      </c>
      <c r="B349" t="s">
        <v>96</v>
      </c>
      <c r="C349" s="8" t="s">
        <v>1308</v>
      </c>
      <c r="D349" t="s">
        <v>41</v>
      </c>
      <c r="E349" t="str">
        <f t="shared" si="8"/>
        <v>ERIS_Classe 2_21351830 - Autres IGAAC : Système de Sécurité Incendie</v>
      </c>
      <c r="F349" s="112" t="s">
        <v>3922</v>
      </c>
    </row>
    <row r="350" spans="1:6" x14ac:dyDescent="0.3">
      <c r="A350" t="s">
        <v>23</v>
      </c>
      <c r="B350" t="s">
        <v>96</v>
      </c>
      <c r="C350" s="8" t="s">
        <v>1308</v>
      </c>
      <c r="D350" t="s">
        <v>3925</v>
      </c>
      <c r="E350" t="str">
        <f t="shared" si="8"/>
        <v>ERIS_Classe 2_21351830 - Autres IGAAC : Système de Sécurité Incendie</v>
      </c>
      <c r="F350" s="112" t="s">
        <v>3922</v>
      </c>
    </row>
    <row r="351" spans="1:6" x14ac:dyDescent="0.3">
      <c r="A351" t="s">
        <v>23</v>
      </c>
      <c r="B351" t="s">
        <v>96</v>
      </c>
      <c r="C351" s="8" t="s">
        <v>1308</v>
      </c>
      <c r="D351" t="s">
        <v>42</v>
      </c>
      <c r="E351" t="str">
        <f t="shared" si="8"/>
        <v>ERIS_Classe 2_21351830 - Autres IGAAC : Système de Sécurité Incendie</v>
      </c>
      <c r="F351" s="112" t="s">
        <v>3921</v>
      </c>
    </row>
    <row r="352" spans="1:6" x14ac:dyDescent="0.3">
      <c r="A352" t="s">
        <v>23</v>
      </c>
      <c r="B352" t="s">
        <v>96</v>
      </c>
      <c r="C352" s="8" t="s">
        <v>1308</v>
      </c>
      <c r="D352" t="s">
        <v>3926</v>
      </c>
      <c r="E352" t="str">
        <f t="shared" si="8"/>
        <v>ERIS_Classe 2_21351830 - Autres IGAAC : Système de Sécurité Incendie</v>
      </c>
      <c r="F352" s="112" t="s">
        <v>3922</v>
      </c>
    </row>
    <row r="353" spans="1:6" x14ac:dyDescent="0.3">
      <c r="A353" t="s">
        <v>23</v>
      </c>
      <c r="B353" t="s">
        <v>96</v>
      </c>
      <c r="C353" s="8" t="s">
        <v>1308</v>
      </c>
      <c r="D353" t="s">
        <v>43</v>
      </c>
      <c r="E353" t="str">
        <f t="shared" si="8"/>
        <v>ERIS_Classe 2_21351830 - Autres IGAAC : Système de Sécurité Incendie</v>
      </c>
      <c r="F353" s="112" t="s">
        <v>3921</v>
      </c>
    </row>
    <row r="354" spans="1:6" x14ac:dyDescent="0.3">
      <c r="A354" t="s">
        <v>23</v>
      </c>
      <c r="B354" t="s">
        <v>96</v>
      </c>
      <c r="C354" s="8" t="s">
        <v>1308</v>
      </c>
      <c r="D354" t="s">
        <v>1892</v>
      </c>
      <c r="E354" t="str">
        <f t="shared" si="8"/>
        <v>ERIS_Classe 2_21351830 - Autres IGAAC : Système de Sécurité Incendie</v>
      </c>
      <c r="F354" s="112" t="s">
        <v>3921</v>
      </c>
    </row>
    <row r="355" spans="1:6" x14ac:dyDescent="0.3">
      <c r="A355" t="s">
        <v>23</v>
      </c>
      <c r="B355" t="s">
        <v>96</v>
      </c>
      <c r="C355" s="8" t="s">
        <v>1308</v>
      </c>
      <c r="D355" t="s">
        <v>44</v>
      </c>
      <c r="E355" t="str">
        <f t="shared" si="8"/>
        <v>ERIS_Classe 2_21351830 - Autres IGAAC : Système de Sécurité Incendie</v>
      </c>
      <c r="F355" s="112" t="s">
        <v>3922</v>
      </c>
    </row>
    <row r="356" spans="1:6" x14ac:dyDescent="0.3">
      <c r="A356" t="s">
        <v>23</v>
      </c>
      <c r="B356" t="s">
        <v>96</v>
      </c>
      <c r="C356" s="8" t="s">
        <v>1308</v>
      </c>
      <c r="D356" t="s">
        <v>45</v>
      </c>
      <c r="E356" t="str">
        <f t="shared" si="8"/>
        <v>ERIS_Classe 2_21351830 - Autres IGAAC : Système de Sécurité Incendie</v>
      </c>
      <c r="F356" s="112" t="s">
        <v>3921</v>
      </c>
    </row>
    <row r="357" spans="1:6" x14ac:dyDescent="0.3">
      <c r="A357" t="s">
        <v>23</v>
      </c>
      <c r="B357" t="s">
        <v>96</v>
      </c>
      <c r="C357" s="8" t="s">
        <v>1308</v>
      </c>
      <c r="D357" t="s">
        <v>1039</v>
      </c>
      <c r="E357" t="str">
        <f t="shared" si="8"/>
        <v>ERIS_Classe 2_21351830 - Autres IGAAC : Système de Sécurité Incendie</v>
      </c>
      <c r="F357" s="112" t="s">
        <v>3922</v>
      </c>
    </row>
    <row r="358" spans="1:6" x14ac:dyDescent="0.3">
      <c r="A358" t="s">
        <v>23</v>
      </c>
      <c r="B358" t="s">
        <v>96</v>
      </c>
      <c r="C358" s="8" t="s">
        <v>1308</v>
      </c>
      <c r="D358" t="s">
        <v>46</v>
      </c>
      <c r="E358" t="str">
        <f t="shared" si="8"/>
        <v>ERIS_Classe 2_21351830 - Autres IGAAC : Système de Sécurité Incendie</v>
      </c>
      <c r="F358" s="112" t="s">
        <v>3922</v>
      </c>
    </row>
    <row r="359" spans="1:6" x14ac:dyDescent="0.3">
      <c r="A359" t="s">
        <v>23</v>
      </c>
      <c r="B359" t="s">
        <v>96</v>
      </c>
      <c r="C359" s="8" t="s">
        <v>1308</v>
      </c>
      <c r="D359" t="s">
        <v>3927</v>
      </c>
      <c r="E359" t="str">
        <f t="shared" si="8"/>
        <v>ERIS_Classe 2_21351830 - Autres IGAAC : Système de Sécurité Incendie</v>
      </c>
      <c r="F359" s="112" t="s">
        <v>3921</v>
      </c>
    </row>
    <row r="360" spans="1:6" x14ac:dyDescent="0.3">
      <c r="A360" t="s">
        <v>23</v>
      </c>
      <c r="B360" t="s">
        <v>96</v>
      </c>
      <c r="C360" s="8" t="s">
        <v>1308</v>
      </c>
      <c r="D360" t="s">
        <v>47</v>
      </c>
      <c r="E360" t="str">
        <f>A360&amp;"_"&amp;B360&amp;"_"&amp;C360</f>
        <v>ERIS_Classe 2_21351830 - Autres IGAAC : Système de Sécurité Incendie</v>
      </c>
      <c r="F360" s="112" t="s">
        <v>3922</v>
      </c>
    </row>
    <row r="361" spans="1:6" x14ac:dyDescent="0.3">
      <c r="A361" t="s">
        <v>23</v>
      </c>
      <c r="B361" t="s">
        <v>96</v>
      </c>
      <c r="C361" s="8" t="s">
        <v>1308</v>
      </c>
      <c r="D361" t="s">
        <v>48</v>
      </c>
      <c r="E361" t="str">
        <f t="shared" si="8"/>
        <v>ERIS_Classe 2_21351830 - Autres IGAAC : Système de Sécurité Incendie</v>
      </c>
      <c r="F361" s="112" t="s">
        <v>3921</v>
      </c>
    </row>
    <row r="362" spans="1:6" x14ac:dyDescent="0.3">
      <c r="A362" t="s">
        <v>23</v>
      </c>
      <c r="B362" t="s">
        <v>96</v>
      </c>
      <c r="C362" t="s">
        <v>1308</v>
      </c>
      <c r="D362" t="s">
        <v>1309</v>
      </c>
      <c r="E362" t="str">
        <f>A362&amp;"_"&amp;B362&amp;"_"&amp;C362</f>
        <v>ERIS_Classe 2_21351830 - Autres IGAAC : Système de Sécurité Incendie</v>
      </c>
      <c r="F362" s="112" t="s">
        <v>3922</v>
      </c>
    </row>
    <row r="363" spans="1:6" x14ac:dyDescent="0.3">
      <c r="A363" t="s">
        <v>23</v>
      </c>
      <c r="B363" t="s">
        <v>79</v>
      </c>
      <c r="C363" s="8" t="s">
        <v>241</v>
      </c>
      <c r="D363" t="s">
        <v>644</v>
      </c>
      <c r="E363" t="str">
        <f>A363&amp;"_"&amp;B363&amp;"_"&amp;C363</f>
        <v>ERIS_Classe 6_6152582 - Classe 6 Maintenance Hors Forfait</v>
      </c>
      <c r="F363" s="112" t="s">
        <v>3921</v>
      </c>
    </row>
    <row r="364" spans="1:6" x14ac:dyDescent="0.3">
      <c r="A364" t="s">
        <v>25</v>
      </c>
      <c r="B364" t="s">
        <v>96</v>
      </c>
      <c r="C364" s="8" t="s">
        <v>288</v>
      </c>
      <c r="D364" t="s">
        <v>3920</v>
      </c>
      <c r="E364" t="str">
        <f t="shared" si="8"/>
        <v>FDS CORPUS_Classe 2_21351820 - Autres IGAAC : Petits travaux et agencement</v>
      </c>
      <c r="F364" s="112" t="s">
        <v>3922</v>
      </c>
    </row>
    <row r="365" spans="1:6" x14ac:dyDescent="0.3">
      <c r="A365" t="s">
        <v>25</v>
      </c>
      <c r="B365" t="s">
        <v>96</v>
      </c>
      <c r="C365" s="8" t="s">
        <v>288</v>
      </c>
      <c r="D365" t="s">
        <v>38</v>
      </c>
      <c r="E365" t="str">
        <f t="shared" si="8"/>
        <v>FDS CORPUS_Classe 2_21351820 - Autres IGAAC : Petits travaux et agencement</v>
      </c>
      <c r="F365" s="112" t="s">
        <v>3922</v>
      </c>
    </row>
    <row r="366" spans="1:6" x14ac:dyDescent="0.3">
      <c r="A366" t="s">
        <v>25</v>
      </c>
      <c r="B366" t="s">
        <v>96</v>
      </c>
      <c r="C366" s="8" t="s">
        <v>288</v>
      </c>
      <c r="D366" t="s">
        <v>3923</v>
      </c>
      <c r="E366" t="str">
        <f t="shared" si="8"/>
        <v>FDS CORPUS_Classe 2_21351820 - Autres IGAAC : Petits travaux et agencement</v>
      </c>
      <c r="F366" s="112" t="s">
        <v>3921</v>
      </c>
    </row>
    <row r="367" spans="1:6" x14ac:dyDescent="0.3">
      <c r="A367" t="s">
        <v>25</v>
      </c>
      <c r="B367" t="s">
        <v>96</v>
      </c>
      <c r="C367" s="8" t="s">
        <v>288</v>
      </c>
      <c r="D367" t="s">
        <v>170</v>
      </c>
      <c r="E367" t="str">
        <f>A367&amp;"_"&amp;B367&amp;"_"&amp;C367</f>
        <v>FDS CORPUS_Classe 2_21351820 - Autres IGAAC : Petits travaux et agencement</v>
      </c>
      <c r="F367" s="112" t="s">
        <v>3922</v>
      </c>
    </row>
    <row r="368" spans="1:6" x14ac:dyDescent="0.3">
      <c r="A368" t="s">
        <v>25</v>
      </c>
      <c r="B368" t="s">
        <v>96</v>
      </c>
      <c r="C368" s="8" t="s">
        <v>288</v>
      </c>
      <c r="D368" t="s">
        <v>39</v>
      </c>
      <c r="E368" t="str">
        <f t="shared" si="8"/>
        <v>FDS CORPUS_Classe 2_21351820 - Autres IGAAC : Petits travaux et agencement</v>
      </c>
      <c r="F368" s="112" t="s">
        <v>3921</v>
      </c>
    </row>
    <row r="369" spans="1:6" x14ac:dyDescent="0.3">
      <c r="A369" t="s">
        <v>25</v>
      </c>
      <c r="B369" t="s">
        <v>96</v>
      </c>
      <c r="C369" s="8" t="s">
        <v>288</v>
      </c>
      <c r="D369" t="s">
        <v>3924</v>
      </c>
      <c r="E369" t="str">
        <f t="shared" si="8"/>
        <v>FDS CORPUS_Classe 2_21351820 - Autres IGAAC : Petits travaux et agencement</v>
      </c>
      <c r="F369" s="112" t="s">
        <v>3922</v>
      </c>
    </row>
    <row r="370" spans="1:6" x14ac:dyDescent="0.3">
      <c r="A370" t="s">
        <v>25</v>
      </c>
      <c r="B370" t="s">
        <v>96</v>
      </c>
      <c r="C370" s="8" t="s">
        <v>288</v>
      </c>
      <c r="D370" t="s">
        <v>40</v>
      </c>
      <c r="E370" t="str">
        <f t="shared" si="8"/>
        <v>FDS CORPUS_Classe 2_21351820 - Autres IGAAC : Petits travaux et agencement</v>
      </c>
      <c r="F370" s="112" t="s">
        <v>3922</v>
      </c>
    </row>
    <row r="371" spans="1:6" x14ac:dyDescent="0.3">
      <c r="A371" t="s">
        <v>25</v>
      </c>
      <c r="B371" t="s">
        <v>96</v>
      </c>
      <c r="C371" s="8" t="s">
        <v>288</v>
      </c>
      <c r="D371" t="s">
        <v>41</v>
      </c>
      <c r="E371" t="str">
        <f t="shared" si="8"/>
        <v>FDS CORPUS_Classe 2_21351820 - Autres IGAAC : Petits travaux et agencement</v>
      </c>
      <c r="F371" s="112" t="s">
        <v>3922</v>
      </c>
    </row>
    <row r="372" spans="1:6" x14ac:dyDescent="0.3">
      <c r="A372" t="s">
        <v>25</v>
      </c>
      <c r="B372" t="s">
        <v>96</v>
      </c>
      <c r="C372" s="8" t="s">
        <v>288</v>
      </c>
      <c r="D372" t="s">
        <v>3925</v>
      </c>
      <c r="E372" t="str">
        <f t="shared" si="8"/>
        <v>FDS CORPUS_Classe 2_21351820 - Autres IGAAC : Petits travaux et agencement</v>
      </c>
      <c r="F372" s="112" t="s">
        <v>3922</v>
      </c>
    </row>
    <row r="373" spans="1:6" x14ac:dyDescent="0.3">
      <c r="A373" t="s">
        <v>25</v>
      </c>
      <c r="B373" t="s">
        <v>96</v>
      </c>
      <c r="C373" s="8" t="s">
        <v>288</v>
      </c>
      <c r="D373" t="s">
        <v>42</v>
      </c>
      <c r="E373" t="str">
        <f t="shared" si="8"/>
        <v>FDS CORPUS_Classe 2_21351820 - Autres IGAAC : Petits travaux et agencement</v>
      </c>
      <c r="F373" s="112" t="s">
        <v>3922</v>
      </c>
    </row>
    <row r="374" spans="1:6" x14ac:dyDescent="0.3">
      <c r="A374" t="s">
        <v>25</v>
      </c>
      <c r="B374" t="s">
        <v>96</v>
      </c>
      <c r="C374" s="8" t="s">
        <v>288</v>
      </c>
      <c r="D374" t="s">
        <v>3926</v>
      </c>
      <c r="E374" t="str">
        <f t="shared" si="8"/>
        <v>FDS CORPUS_Classe 2_21351820 - Autres IGAAC : Petits travaux et agencement</v>
      </c>
      <c r="F374" s="112" t="s">
        <v>3922</v>
      </c>
    </row>
    <row r="375" spans="1:6" x14ac:dyDescent="0.3">
      <c r="A375" t="s">
        <v>25</v>
      </c>
      <c r="B375" t="s">
        <v>96</v>
      </c>
      <c r="C375" s="8" t="s">
        <v>288</v>
      </c>
      <c r="D375" t="s">
        <v>43</v>
      </c>
      <c r="E375" t="str">
        <f t="shared" si="8"/>
        <v>FDS CORPUS_Classe 2_21351820 - Autres IGAAC : Petits travaux et agencement</v>
      </c>
      <c r="F375" s="112" t="s">
        <v>3922</v>
      </c>
    </row>
    <row r="376" spans="1:6" x14ac:dyDescent="0.3">
      <c r="A376" t="s">
        <v>25</v>
      </c>
      <c r="B376" t="s">
        <v>96</v>
      </c>
      <c r="C376" s="8" t="s">
        <v>288</v>
      </c>
      <c r="D376" t="s">
        <v>1892</v>
      </c>
      <c r="E376" t="str">
        <f t="shared" si="8"/>
        <v>FDS CORPUS_Classe 2_21351820 - Autres IGAAC : Petits travaux et agencement</v>
      </c>
      <c r="F376" s="112" t="s">
        <v>3922</v>
      </c>
    </row>
    <row r="377" spans="1:6" x14ac:dyDescent="0.3">
      <c r="A377" t="s">
        <v>25</v>
      </c>
      <c r="B377" t="s">
        <v>96</v>
      </c>
      <c r="C377" s="8" t="s">
        <v>288</v>
      </c>
      <c r="D377" t="s">
        <v>44</v>
      </c>
      <c r="E377" t="str">
        <f t="shared" si="8"/>
        <v>FDS CORPUS_Classe 2_21351820 - Autres IGAAC : Petits travaux et agencement</v>
      </c>
      <c r="F377" s="112" t="s">
        <v>3922</v>
      </c>
    </row>
    <row r="378" spans="1:6" x14ac:dyDescent="0.3">
      <c r="A378" t="s">
        <v>25</v>
      </c>
      <c r="B378" t="s">
        <v>96</v>
      </c>
      <c r="C378" s="8" t="s">
        <v>288</v>
      </c>
      <c r="D378" t="s">
        <v>45</v>
      </c>
      <c r="E378" t="str">
        <f t="shared" si="8"/>
        <v>FDS CORPUS_Classe 2_21351820 - Autres IGAAC : Petits travaux et agencement</v>
      </c>
      <c r="F378" s="112" t="s">
        <v>3922</v>
      </c>
    </row>
    <row r="379" spans="1:6" x14ac:dyDescent="0.3">
      <c r="A379" t="s">
        <v>25</v>
      </c>
      <c r="B379" t="s">
        <v>96</v>
      </c>
      <c r="C379" s="8" t="s">
        <v>288</v>
      </c>
      <c r="D379" t="s">
        <v>1039</v>
      </c>
      <c r="E379" t="str">
        <f t="shared" si="8"/>
        <v>FDS CORPUS_Classe 2_21351820 - Autres IGAAC : Petits travaux et agencement</v>
      </c>
      <c r="F379" s="112" t="s">
        <v>3922</v>
      </c>
    </row>
    <row r="380" spans="1:6" x14ac:dyDescent="0.3">
      <c r="A380" t="s">
        <v>25</v>
      </c>
      <c r="B380" t="s">
        <v>96</v>
      </c>
      <c r="C380" s="8" t="s">
        <v>288</v>
      </c>
      <c r="D380" t="s">
        <v>46</v>
      </c>
      <c r="E380" t="str">
        <f t="shared" si="8"/>
        <v>FDS CORPUS_Classe 2_21351820 - Autres IGAAC : Petits travaux et agencement</v>
      </c>
      <c r="F380" s="112" t="s">
        <v>3922</v>
      </c>
    </row>
    <row r="381" spans="1:6" x14ac:dyDescent="0.3">
      <c r="A381" t="s">
        <v>25</v>
      </c>
      <c r="B381" t="s">
        <v>96</v>
      </c>
      <c r="C381" s="8" t="s">
        <v>288</v>
      </c>
      <c r="D381" t="s">
        <v>3927</v>
      </c>
      <c r="E381" t="str">
        <f t="shared" si="8"/>
        <v>FDS CORPUS_Classe 2_21351820 - Autres IGAAC : Petits travaux et agencement</v>
      </c>
      <c r="F381" s="112" t="s">
        <v>3922</v>
      </c>
    </row>
    <row r="382" spans="1:6" x14ac:dyDescent="0.3">
      <c r="A382" t="s">
        <v>25</v>
      </c>
      <c r="B382" t="s">
        <v>96</v>
      </c>
      <c r="C382" s="8" t="s">
        <v>288</v>
      </c>
      <c r="D382" t="s">
        <v>47</v>
      </c>
      <c r="E382" t="str">
        <f t="shared" si="8"/>
        <v>FDS CORPUS_Classe 2_21351820 - Autres IGAAC : Petits travaux et agencement</v>
      </c>
      <c r="F382" s="112" t="s">
        <v>3922</v>
      </c>
    </row>
    <row r="383" spans="1:6" x14ac:dyDescent="0.3">
      <c r="A383" t="s">
        <v>25</v>
      </c>
      <c r="B383" t="s">
        <v>96</v>
      </c>
      <c r="C383" s="8" t="s">
        <v>288</v>
      </c>
      <c r="D383" t="s">
        <v>48</v>
      </c>
      <c r="E383" t="str">
        <f t="shared" si="8"/>
        <v>FDS CORPUS_Classe 2_21351820 - Autres IGAAC : Petits travaux et agencement</v>
      </c>
      <c r="F383" s="112" t="s">
        <v>3921</v>
      </c>
    </row>
    <row r="384" spans="1:6" x14ac:dyDescent="0.3">
      <c r="A384" t="s">
        <v>25</v>
      </c>
      <c r="B384" t="s">
        <v>96</v>
      </c>
      <c r="C384" t="s">
        <v>288</v>
      </c>
      <c r="D384">
        <v>2025026</v>
      </c>
      <c r="E384" t="str">
        <f t="shared" si="8"/>
        <v>FDS CORPUS_Classe 2_21351820 - Autres IGAAC : Petits travaux et agencement</v>
      </c>
      <c r="F384" s="112" t="s">
        <v>3922</v>
      </c>
    </row>
    <row r="385" spans="1:6" x14ac:dyDescent="0.3">
      <c r="A385" t="s">
        <v>25</v>
      </c>
      <c r="B385" t="s">
        <v>96</v>
      </c>
      <c r="C385" t="s">
        <v>288</v>
      </c>
      <c r="D385" t="s">
        <v>2824</v>
      </c>
      <c r="E385" t="str">
        <f t="shared" si="8"/>
        <v>FDS CORPUS_Classe 2_21351820 - Autres IGAAC : Petits travaux et agencement</v>
      </c>
      <c r="F385" s="112" t="s">
        <v>3921</v>
      </c>
    </row>
    <row r="386" spans="1:6" x14ac:dyDescent="0.3">
      <c r="A386" t="s">
        <v>25</v>
      </c>
      <c r="B386" t="s">
        <v>96</v>
      </c>
      <c r="C386" s="2" t="s">
        <v>1869</v>
      </c>
      <c r="D386" t="s">
        <v>1870</v>
      </c>
      <c r="E386" t="str">
        <f t="shared" ref="E386:E457" si="9">A386&amp;"_"&amp;B386&amp;"_"&amp;C386</f>
        <v>FDS CORPUS_Classe 2_213518999 - Accessibilité EPSVE opération AD'AP</v>
      </c>
      <c r="F386" s="112" t="s">
        <v>3921</v>
      </c>
    </row>
    <row r="387" spans="1:6" x14ac:dyDescent="0.3">
      <c r="A387" t="s">
        <v>25</v>
      </c>
      <c r="B387" t="s">
        <v>79</v>
      </c>
      <c r="C387" t="s">
        <v>182</v>
      </c>
      <c r="D387" t="s">
        <v>83</v>
      </c>
      <c r="E387" t="str">
        <f t="shared" si="9"/>
        <v>FDS CORPUS_Classe 6_615222 - Classe 6 Travaux Pôle</v>
      </c>
      <c r="F387" s="112" t="s">
        <v>3922</v>
      </c>
    </row>
    <row r="388" spans="1:6" x14ac:dyDescent="0.3">
      <c r="A388" t="s">
        <v>25</v>
      </c>
      <c r="B388" t="s">
        <v>79</v>
      </c>
      <c r="C388" t="s">
        <v>81</v>
      </c>
      <c r="D388" t="s">
        <v>83</v>
      </c>
      <c r="E388" t="str">
        <f t="shared" si="9"/>
        <v>FDS CORPUS_Classe 6_615223 - Classe 6 Travaux Hors Pôle</v>
      </c>
      <c r="F388" s="112" t="s">
        <v>3921</v>
      </c>
    </row>
    <row r="389" spans="1:6" x14ac:dyDescent="0.3">
      <c r="A389" t="s">
        <v>1018</v>
      </c>
      <c r="B389" t="s">
        <v>96</v>
      </c>
      <c r="C389" t="s">
        <v>976</v>
      </c>
      <c r="D389" t="s">
        <v>977</v>
      </c>
      <c r="E389" t="str">
        <f t="shared" si="9"/>
        <v>GEOFIT_Classe 2_23823190 - RENOVATION PRDI PEUPLIERS</v>
      </c>
      <c r="F389" s="112" t="s">
        <v>3922</v>
      </c>
    </row>
    <row r="390" spans="1:6" x14ac:dyDescent="0.3">
      <c r="A390" t="s">
        <v>656</v>
      </c>
      <c r="B390" t="s">
        <v>96</v>
      </c>
      <c r="C390" s="8" t="s">
        <v>657</v>
      </c>
      <c r="D390" t="s">
        <v>658</v>
      </c>
      <c r="E390" t="str">
        <f t="shared" si="9"/>
        <v>GPF_Classe 2_21354020 - IGAAC technique (bât. Sociaux et Médico-sociaux)</v>
      </c>
      <c r="F390" s="112" t="s">
        <v>3922</v>
      </c>
    </row>
    <row r="391" spans="1:6" x14ac:dyDescent="0.3">
      <c r="A391" t="s">
        <v>656</v>
      </c>
      <c r="B391" t="s">
        <v>96</v>
      </c>
      <c r="C391" t="s">
        <v>657</v>
      </c>
      <c r="D391" t="s">
        <v>2851</v>
      </c>
      <c r="E391" t="str">
        <f t="shared" si="9"/>
        <v>GPF_Classe 2_21354020 - IGAAC technique (bât. Sociaux et Médico-sociaux)</v>
      </c>
      <c r="F391" s="112" t="s">
        <v>3921</v>
      </c>
    </row>
    <row r="392" spans="1:6" x14ac:dyDescent="0.3">
      <c r="A392" t="s">
        <v>975</v>
      </c>
      <c r="B392" t="s">
        <v>96</v>
      </c>
      <c r="C392" s="8" t="s">
        <v>288</v>
      </c>
      <c r="D392" t="s">
        <v>1351</v>
      </c>
      <c r="E392" t="str">
        <f t="shared" si="9"/>
        <v>GRALL_Classe 2_21351820 - Autres IGAAC : Petits travaux et agencement</v>
      </c>
      <c r="F392" s="112" t="s">
        <v>3922</v>
      </c>
    </row>
    <row r="393" spans="1:6" x14ac:dyDescent="0.3">
      <c r="A393" t="s">
        <v>975</v>
      </c>
      <c r="B393" t="s">
        <v>96</v>
      </c>
      <c r="C393" t="s">
        <v>976</v>
      </c>
      <c r="D393" t="s">
        <v>977</v>
      </c>
      <c r="E393" t="str">
        <f t="shared" si="9"/>
        <v>GRALL_Classe 2_23823190 - RENOVATION PRDI PEUPLIERS</v>
      </c>
      <c r="F393" s="112" t="s">
        <v>3921</v>
      </c>
    </row>
    <row r="394" spans="1:6" x14ac:dyDescent="0.3">
      <c r="A394" t="s">
        <v>975</v>
      </c>
      <c r="B394" t="s">
        <v>79</v>
      </c>
      <c r="C394" s="12" t="s">
        <v>163</v>
      </c>
      <c r="D394" t="s">
        <v>1130</v>
      </c>
      <c r="E394" t="str">
        <f t="shared" si="9"/>
        <v>GRALL_Classe 6_62884 - Classe 6 Autres presta diverses DPT (Vérif. Réglementaires)</v>
      </c>
      <c r="F394" s="112" t="s">
        <v>3922</v>
      </c>
    </row>
    <row r="395" spans="1:6" x14ac:dyDescent="0.3">
      <c r="A395" t="s">
        <v>27</v>
      </c>
      <c r="B395" t="s">
        <v>79</v>
      </c>
      <c r="C395" s="8" t="s">
        <v>241</v>
      </c>
      <c r="D395" t="s">
        <v>382</v>
      </c>
      <c r="E395" t="str">
        <f t="shared" si="9"/>
        <v>GULDAGIL_Classe 6_6152582 - Classe 6 Maintenance Hors Forfait</v>
      </c>
      <c r="F395" s="112" t="s">
        <v>3921</v>
      </c>
    </row>
    <row r="396" spans="1:6" x14ac:dyDescent="0.3">
      <c r="A396" t="s">
        <v>1875</v>
      </c>
      <c r="B396" t="s">
        <v>79</v>
      </c>
      <c r="C396" t="s">
        <v>3914</v>
      </c>
      <c r="D396" t="s">
        <v>644</v>
      </c>
      <c r="E396" t="str">
        <f t="shared" si="9"/>
        <v>IPSI_Classe 6_6026311 - Classe 6 Fournitures securité incendie</v>
      </c>
      <c r="F396" s="112" t="s">
        <v>3922</v>
      </c>
    </row>
    <row r="397" spans="1:6" x14ac:dyDescent="0.3">
      <c r="A397" t="s">
        <v>1875</v>
      </c>
      <c r="B397" t="s">
        <v>79</v>
      </c>
      <c r="C397" t="s">
        <v>241</v>
      </c>
      <c r="D397" t="s">
        <v>644</v>
      </c>
      <c r="E397" t="str">
        <f t="shared" si="9"/>
        <v>IPSI_Classe 6_6152582 - Classe 6 Maintenance Hors Forfait</v>
      </c>
      <c r="F397" s="112" t="s">
        <v>3922</v>
      </c>
    </row>
    <row r="398" spans="1:6" x14ac:dyDescent="0.3">
      <c r="A398" t="s">
        <v>1875</v>
      </c>
      <c r="B398" t="s">
        <v>79</v>
      </c>
      <c r="C398" s="12" t="s">
        <v>163</v>
      </c>
      <c r="D398" t="s">
        <v>644</v>
      </c>
      <c r="E398" t="str">
        <f t="shared" si="9"/>
        <v>IPSI_Classe 6_62884 - Classe 6 Autres presta diverses DPT (Vérif. Réglementaires)</v>
      </c>
      <c r="F398" s="112" t="s">
        <v>3921</v>
      </c>
    </row>
    <row r="399" spans="1:6" x14ac:dyDescent="0.3">
      <c r="A399" t="s">
        <v>28</v>
      </c>
      <c r="B399" t="s">
        <v>96</v>
      </c>
      <c r="C399" t="s">
        <v>294</v>
      </c>
      <c r="D399" t="s">
        <v>3920</v>
      </c>
      <c r="E399" t="str">
        <f t="shared" si="9"/>
        <v>LES PEINTURES PARISIENNES_Classe 2_21351820 -  Autres IGAAC : Petits travaux et agencement</v>
      </c>
      <c r="F399" s="112" t="s">
        <v>3922</v>
      </c>
    </row>
    <row r="400" spans="1:6" x14ac:dyDescent="0.3">
      <c r="A400" t="s">
        <v>28</v>
      </c>
      <c r="B400" t="s">
        <v>96</v>
      </c>
      <c r="C400" t="s">
        <v>294</v>
      </c>
      <c r="D400" t="s">
        <v>38</v>
      </c>
      <c r="E400" t="str">
        <f t="shared" si="9"/>
        <v>LES PEINTURES PARISIENNES_Classe 2_21351820 -  Autres IGAAC : Petits travaux et agencement</v>
      </c>
      <c r="F400" s="112" t="s">
        <v>3921</v>
      </c>
    </row>
    <row r="401" spans="1:6" x14ac:dyDescent="0.3">
      <c r="A401" t="s">
        <v>28</v>
      </c>
      <c r="B401" t="s">
        <v>96</v>
      </c>
      <c r="C401" t="s">
        <v>294</v>
      </c>
      <c r="D401" t="s">
        <v>3923</v>
      </c>
      <c r="E401" t="str">
        <f t="shared" si="9"/>
        <v>LES PEINTURES PARISIENNES_Classe 2_21351820 -  Autres IGAAC : Petits travaux et agencement</v>
      </c>
      <c r="F401" s="112" t="s">
        <v>3921</v>
      </c>
    </row>
    <row r="402" spans="1:6" x14ac:dyDescent="0.3">
      <c r="A402" t="s">
        <v>28</v>
      </c>
      <c r="B402" t="s">
        <v>96</v>
      </c>
      <c r="C402" t="s">
        <v>294</v>
      </c>
      <c r="D402" t="s">
        <v>170</v>
      </c>
      <c r="E402" t="str">
        <f t="shared" si="9"/>
        <v>LES PEINTURES PARISIENNES_Classe 2_21351820 -  Autres IGAAC : Petits travaux et agencement</v>
      </c>
      <c r="F402" s="112" t="s">
        <v>3922</v>
      </c>
    </row>
    <row r="403" spans="1:6" x14ac:dyDescent="0.3">
      <c r="A403" t="s">
        <v>28</v>
      </c>
      <c r="B403" t="s">
        <v>96</v>
      </c>
      <c r="C403" t="s">
        <v>294</v>
      </c>
      <c r="D403" t="s">
        <v>39</v>
      </c>
      <c r="E403" t="str">
        <f t="shared" si="9"/>
        <v>LES PEINTURES PARISIENNES_Classe 2_21351820 -  Autres IGAAC : Petits travaux et agencement</v>
      </c>
      <c r="F403" s="112" t="s">
        <v>3922</v>
      </c>
    </row>
    <row r="404" spans="1:6" x14ac:dyDescent="0.3">
      <c r="A404" t="s">
        <v>28</v>
      </c>
      <c r="B404" t="s">
        <v>96</v>
      </c>
      <c r="C404" t="s">
        <v>294</v>
      </c>
      <c r="D404" t="s">
        <v>3924</v>
      </c>
      <c r="E404" t="str">
        <f t="shared" si="9"/>
        <v>LES PEINTURES PARISIENNES_Classe 2_21351820 -  Autres IGAAC : Petits travaux et agencement</v>
      </c>
      <c r="F404" s="112" t="s">
        <v>3922</v>
      </c>
    </row>
    <row r="405" spans="1:6" x14ac:dyDescent="0.3">
      <c r="A405" t="s">
        <v>28</v>
      </c>
      <c r="B405" t="s">
        <v>96</v>
      </c>
      <c r="C405" t="s">
        <v>294</v>
      </c>
      <c r="D405" t="s">
        <v>40</v>
      </c>
      <c r="E405" t="str">
        <f t="shared" si="9"/>
        <v>LES PEINTURES PARISIENNES_Classe 2_21351820 -  Autres IGAAC : Petits travaux et agencement</v>
      </c>
      <c r="F405" s="112" t="s">
        <v>3922</v>
      </c>
    </row>
    <row r="406" spans="1:6" x14ac:dyDescent="0.3">
      <c r="A406" t="s">
        <v>28</v>
      </c>
      <c r="B406" t="s">
        <v>96</v>
      </c>
      <c r="C406" t="s">
        <v>294</v>
      </c>
      <c r="D406" t="s">
        <v>41</v>
      </c>
      <c r="E406" t="str">
        <f t="shared" si="9"/>
        <v>LES PEINTURES PARISIENNES_Classe 2_21351820 -  Autres IGAAC : Petits travaux et agencement</v>
      </c>
      <c r="F406" s="112" t="s">
        <v>3922</v>
      </c>
    </row>
    <row r="407" spans="1:6" x14ac:dyDescent="0.3">
      <c r="A407" t="s">
        <v>28</v>
      </c>
      <c r="B407" t="s">
        <v>96</v>
      </c>
      <c r="C407" t="s">
        <v>294</v>
      </c>
      <c r="D407" t="s">
        <v>3925</v>
      </c>
      <c r="E407" t="str">
        <f t="shared" si="9"/>
        <v>LES PEINTURES PARISIENNES_Classe 2_21351820 -  Autres IGAAC : Petits travaux et agencement</v>
      </c>
      <c r="F407" s="112" t="s">
        <v>3921</v>
      </c>
    </row>
    <row r="408" spans="1:6" x14ac:dyDescent="0.3">
      <c r="A408" t="s">
        <v>28</v>
      </c>
      <c r="B408" t="s">
        <v>96</v>
      </c>
      <c r="C408" t="s">
        <v>294</v>
      </c>
      <c r="D408" t="s">
        <v>42</v>
      </c>
      <c r="E408" t="str">
        <f t="shared" si="9"/>
        <v>LES PEINTURES PARISIENNES_Classe 2_21351820 -  Autres IGAAC : Petits travaux et agencement</v>
      </c>
      <c r="F408" s="112" t="s">
        <v>3922</v>
      </c>
    </row>
    <row r="409" spans="1:6" x14ac:dyDescent="0.3">
      <c r="A409" t="s">
        <v>28</v>
      </c>
      <c r="B409" t="s">
        <v>96</v>
      </c>
      <c r="C409" t="s">
        <v>294</v>
      </c>
      <c r="D409" t="s">
        <v>3926</v>
      </c>
      <c r="E409" t="str">
        <f t="shared" si="9"/>
        <v>LES PEINTURES PARISIENNES_Classe 2_21351820 -  Autres IGAAC : Petits travaux et agencement</v>
      </c>
      <c r="F409" s="112" t="s">
        <v>3921</v>
      </c>
    </row>
    <row r="410" spans="1:6" x14ac:dyDescent="0.3">
      <c r="A410" t="s">
        <v>28</v>
      </c>
      <c r="B410" t="s">
        <v>96</v>
      </c>
      <c r="C410" t="s">
        <v>294</v>
      </c>
      <c r="D410" t="s">
        <v>43</v>
      </c>
      <c r="E410" t="str">
        <f t="shared" si="9"/>
        <v>LES PEINTURES PARISIENNES_Classe 2_21351820 -  Autres IGAAC : Petits travaux et agencement</v>
      </c>
      <c r="F410" s="112" t="s">
        <v>3921</v>
      </c>
    </row>
    <row r="411" spans="1:6" x14ac:dyDescent="0.3">
      <c r="A411" t="s">
        <v>28</v>
      </c>
      <c r="B411" t="s">
        <v>96</v>
      </c>
      <c r="C411" t="s">
        <v>294</v>
      </c>
      <c r="D411" t="s">
        <v>1892</v>
      </c>
      <c r="E411" t="str">
        <f t="shared" si="9"/>
        <v>LES PEINTURES PARISIENNES_Classe 2_21351820 -  Autres IGAAC : Petits travaux et agencement</v>
      </c>
      <c r="F411" s="112" t="s">
        <v>3922</v>
      </c>
    </row>
    <row r="412" spans="1:6" x14ac:dyDescent="0.3">
      <c r="A412" t="s">
        <v>28</v>
      </c>
      <c r="B412" t="s">
        <v>96</v>
      </c>
      <c r="C412" t="s">
        <v>294</v>
      </c>
      <c r="D412" t="s">
        <v>44</v>
      </c>
      <c r="E412" t="str">
        <f t="shared" si="9"/>
        <v>LES PEINTURES PARISIENNES_Classe 2_21351820 -  Autres IGAAC : Petits travaux et agencement</v>
      </c>
      <c r="F412" s="112" t="s">
        <v>3921</v>
      </c>
    </row>
    <row r="413" spans="1:6" x14ac:dyDescent="0.3">
      <c r="A413" t="s">
        <v>28</v>
      </c>
      <c r="B413" t="s">
        <v>96</v>
      </c>
      <c r="C413" t="s">
        <v>294</v>
      </c>
      <c r="D413" t="s">
        <v>45</v>
      </c>
      <c r="E413" t="str">
        <f t="shared" si="9"/>
        <v>LES PEINTURES PARISIENNES_Classe 2_21351820 -  Autres IGAAC : Petits travaux et agencement</v>
      </c>
      <c r="F413" s="112" t="s">
        <v>3922</v>
      </c>
    </row>
    <row r="414" spans="1:6" x14ac:dyDescent="0.3">
      <c r="A414" t="s">
        <v>28</v>
      </c>
      <c r="B414" t="s">
        <v>96</v>
      </c>
      <c r="C414" t="s">
        <v>294</v>
      </c>
      <c r="D414" t="s">
        <v>1039</v>
      </c>
      <c r="E414" t="str">
        <f t="shared" si="9"/>
        <v>LES PEINTURES PARISIENNES_Classe 2_21351820 -  Autres IGAAC : Petits travaux et agencement</v>
      </c>
      <c r="F414" s="112" t="s">
        <v>3922</v>
      </c>
    </row>
    <row r="415" spans="1:6" x14ac:dyDescent="0.3">
      <c r="A415" t="s">
        <v>28</v>
      </c>
      <c r="B415" t="s">
        <v>96</v>
      </c>
      <c r="C415" t="s">
        <v>294</v>
      </c>
      <c r="D415" t="s">
        <v>46</v>
      </c>
      <c r="E415" t="str">
        <f>A415&amp;"_"&amp;B415&amp;"_"&amp;C415</f>
        <v>LES PEINTURES PARISIENNES_Classe 2_21351820 -  Autres IGAAC : Petits travaux et agencement</v>
      </c>
      <c r="F415" s="112" t="s">
        <v>3921</v>
      </c>
    </row>
    <row r="416" spans="1:6" x14ac:dyDescent="0.3">
      <c r="A416" t="s">
        <v>28</v>
      </c>
      <c r="B416" t="s">
        <v>96</v>
      </c>
      <c r="C416" t="s">
        <v>294</v>
      </c>
      <c r="D416" t="s">
        <v>3927</v>
      </c>
      <c r="E416" t="str">
        <f t="shared" si="9"/>
        <v>LES PEINTURES PARISIENNES_Classe 2_21351820 -  Autres IGAAC : Petits travaux et agencement</v>
      </c>
      <c r="F416" s="112" t="s">
        <v>3922</v>
      </c>
    </row>
    <row r="417" spans="1:6" x14ac:dyDescent="0.3">
      <c r="A417" t="s">
        <v>28</v>
      </c>
      <c r="B417" t="s">
        <v>96</v>
      </c>
      <c r="C417" t="s">
        <v>294</v>
      </c>
      <c r="D417" t="s">
        <v>176</v>
      </c>
      <c r="E417" t="str">
        <f>A417&amp;"_"&amp;B417&amp;"_"&amp;C417</f>
        <v>LES PEINTURES PARISIENNES_Classe 2_21351820 -  Autres IGAAC : Petits travaux et agencement</v>
      </c>
      <c r="F417" s="112" t="s">
        <v>3921</v>
      </c>
    </row>
    <row r="418" spans="1:6" x14ac:dyDescent="0.3">
      <c r="A418" t="s">
        <v>28</v>
      </c>
      <c r="B418" t="s">
        <v>96</v>
      </c>
      <c r="C418" t="s">
        <v>294</v>
      </c>
      <c r="D418" t="s">
        <v>47</v>
      </c>
      <c r="E418" t="str">
        <f>A418&amp;"_"&amp;B418&amp;"_"&amp;C418</f>
        <v>LES PEINTURES PARISIENNES_Classe 2_21351820 -  Autres IGAAC : Petits travaux et agencement</v>
      </c>
      <c r="F418" s="112" t="s">
        <v>3922</v>
      </c>
    </row>
    <row r="419" spans="1:6" x14ac:dyDescent="0.3">
      <c r="A419" t="s">
        <v>28</v>
      </c>
      <c r="B419" t="s">
        <v>96</v>
      </c>
      <c r="C419" t="s">
        <v>294</v>
      </c>
      <c r="D419" t="s">
        <v>48</v>
      </c>
      <c r="E419" t="str">
        <f t="shared" si="9"/>
        <v>LES PEINTURES PARISIENNES_Classe 2_21351820 -  Autres IGAAC : Petits travaux et agencement</v>
      </c>
      <c r="F419" s="112" t="s">
        <v>3921</v>
      </c>
    </row>
    <row r="420" spans="1:6" x14ac:dyDescent="0.3">
      <c r="A420" t="s">
        <v>28</v>
      </c>
      <c r="B420" t="s">
        <v>96</v>
      </c>
      <c r="C420" t="s">
        <v>294</v>
      </c>
      <c r="D420" t="s">
        <v>1783</v>
      </c>
      <c r="E420" t="str">
        <f t="shared" si="9"/>
        <v>LES PEINTURES PARISIENNES_Classe 2_21351820 -  Autres IGAAC : Petits travaux et agencement</v>
      </c>
      <c r="F420" s="112" t="s">
        <v>3922</v>
      </c>
    </row>
    <row r="421" spans="1:6" x14ac:dyDescent="0.3">
      <c r="A421" t="s">
        <v>28</v>
      </c>
      <c r="B421" t="s">
        <v>96</v>
      </c>
      <c r="C421" t="s">
        <v>294</v>
      </c>
      <c r="D421" t="s">
        <v>2835</v>
      </c>
      <c r="E421" t="str">
        <f t="shared" si="9"/>
        <v>LES PEINTURES PARISIENNES_Classe 2_21351820 -  Autres IGAAC : Petits travaux et agencement</v>
      </c>
      <c r="F421" s="112" t="s">
        <v>3922</v>
      </c>
    </row>
    <row r="422" spans="1:6" x14ac:dyDescent="0.3">
      <c r="A422" t="s">
        <v>28</v>
      </c>
      <c r="B422" t="s">
        <v>96</v>
      </c>
      <c r="C422" t="s">
        <v>294</v>
      </c>
      <c r="D422" t="s">
        <v>1904</v>
      </c>
      <c r="E422" t="str">
        <f t="shared" si="9"/>
        <v>LES PEINTURES PARISIENNES_Classe 2_21351820 -  Autres IGAAC : Petits travaux et agencement</v>
      </c>
      <c r="F422" s="112" t="s">
        <v>3921</v>
      </c>
    </row>
    <row r="423" spans="1:6" x14ac:dyDescent="0.3">
      <c r="A423" t="s">
        <v>28</v>
      </c>
      <c r="B423" t="s">
        <v>96</v>
      </c>
      <c r="C423" t="s">
        <v>294</v>
      </c>
      <c r="D423" t="s">
        <v>2661</v>
      </c>
      <c r="E423" t="str">
        <f t="shared" si="9"/>
        <v>LES PEINTURES PARISIENNES_Classe 2_21351820 -  Autres IGAAC : Petits travaux et agencement</v>
      </c>
      <c r="F423" s="112" t="s">
        <v>3922</v>
      </c>
    </row>
    <row r="424" spans="1:6" x14ac:dyDescent="0.3">
      <c r="A424" t="s">
        <v>28</v>
      </c>
      <c r="B424" t="s">
        <v>96</v>
      </c>
      <c r="C424" t="s">
        <v>294</v>
      </c>
      <c r="D424" t="s">
        <v>572</v>
      </c>
      <c r="E424" t="str">
        <f t="shared" si="9"/>
        <v>LES PEINTURES PARISIENNES_Classe 2_21351820 -  Autres IGAAC : Petits travaux et agencement</v>
      </c>
      <c r="F424" s="112" t="s">
        <v>3921</v>
      </c>
    </row>
    <row r="425" spans="1:6" x14ac:dyDescent="0.3">
      <c r="A425" t="s">
        <v>28</v>
      </c>
      <c r="B425" t="s">
        <v>96</v>
      </c>
      <c r="C425" t="s">
        <v>294</v>
      </c>
      <c r="D425" t="s">
        <v>1670</v>
      </c>
      <c r="E425" t="str">
        <f t="shared" si="9"/>
        <v>LES PEINTURES PARISIENNES_Classe 2_21351820 -  Autres IGAAC : Petits travaux et agencement</v>
      </c>
      <c r="F425" s="112" t="s">
        <v>3922</v>
      </c>
    </row>
    <row r="426" spans="1:6" x14ac:dyDescent="0.3">
      <c r="A426" t="s">
        <v>28</v>
      </c>
      <c r="B426" t="s">
        <v>96</v>
      </c>
      <c r="C426" t="s">
        <v>3298</v>
      </c>
      <c r="D426" t="s">
        <v>3920</v>
      </c>
      <c r="E426" t="str">
        <f t="shared" si="9"/>
        <v>LES PEINTURES PARISIENNES_Classe 2_21354010 - IGAAC agencement (bât. Sociaux et Médico-sociaux)</v>
      </c>
      <c r="F426" s="112" t="s">
        <v>3922</v>
      </c>
    </row>
    <row r="427" spans="1:6" x14ac:dyDescent="0.3">
      <c r="A427" t="s">
        <v>28</v>
      </c>
      <c r="B427" t="s">
        <v>96</v>
      </c>
      <c r="C427" t="s">
        <v>3298</v>
      </c>
      <c r="D427" t="s">
        <v>38</v>
      </c>
      <c r="E427" t="str">
        <f t="shared" si="9"/>
        <v>LES PEINTURES PARISIENNES_Classe 2_21354010 - IGAAC agencement (bât. Sociaux et Médico-sociaux)</v>
      </c>
      <c r="F427" s="112" t="s">
        <v>3922</v>
      </c>
    </row>
    <row r="428" spans="1:6" x14ac:dyDescent="0.3">
      <c r="A428" t="s">
        <v>28</v>
      </c>
      <c r="B428" t="s">
        <v>96</v>
      </c>
      <c r="C428" t="s">
        <v>3298</v>
      </c>
      <c r="D428" t="s">
        <v>3923</v>
      </c>
      <c r="E428" t="str">
        <f t="shared" si="9"/>
        <v>LES PEINTURES PARISIENNES_Classe 2_21354010 - IGAAC agencement (bât. Sociaux et Médico-sociaux)</v>
      </c>
      <c r="F428" s="112" t="s">
        <v>3922</v>
      </c>
    </row>
    <row r="429" spans="1:6" x14ac:dyDescent="0.3">
      <c r="A429" t="s">
        <v>28</v>
      </c>
      <c r="B429" t="s">
        <v>96</v>
      </c>
      <c r="C429" t="s">
        <v>3298</v>
      </c>
      <c r="D429" t="s">
        <v>170</v>
      </c>
      <c r="E429" t="str">
        <f t="shared" si="9"/>
        <v>LES PEINTURES PARISIENNES_Classe 2_21354010 - IGAAC agencement (bât. Sociaux et Médico-sociaux)</v>
      </c>
      <c r="F429" s="112" t="s">
        <v>3922</v>
      </c>
    </row>
    <row r="430" spans="1:6" x14ac:dyDescent="0.3">
      <c r="A430" t="s">
        <v>28</v>
      </c>
      <c r="B430" t="s">
        <v>96</v>
      </c>
      <c r="C430" t="s">
        <v>3298</v>
      </c>
      <c r="D430" t="s">
        <v>39</v>
      </c>
      <c r="E430" t="str">
        <f t="shared" si="9"/>
        <v>LES PEINTURES PARISIENNES_Classe 2_21354010 - IGAAC agencement (bât. Sociaux et Médico-sociaux)</v>
      </c>
      <c r="F430" s="112" t="s">
        <v>3922</v>
      </c>
    </row>
    <row r="431" spans="1:6" x14ac:dyDescent="0.3">
      <c r="A431" t="s">
        <v>28</v>
      </c>
      <c r="B431" t="s">
        <v>96</v>
      </c>
      <c r="C431" t="s">
        <v>3298</v>
      </c>
      <c r="D431" t="s">
        <v>3924</v>
      </c>
      <c r="E431" t="str">
        <f t="shared" si="9"/>
        <v>LES PEINTURES PARISIENNES_Classe 2_21354010 - IGAAC agencement (bât. Sociaux et Médico-sociaux)</v>
      </c>
      <c r="F431" s="112" t="s">
        <v>3922</v>
      </c>
    </row>
    <row r="432" spans="1:6" x14ac:dyDescent="0.3">
      <c r="A432" t="s">
        <v>28</v>
      </c>
      <c r="B432" t="s">
        <v>96</v>
      </c>
      <c r="C432" t="s">
        <v>3298</v>
      </c>
      <c r="D432" t="s">
        <v>40</v>
      </c>
      <c r="E432" t="str">
        <f t="shared" si="9"/>
        <v>LES PEINTURES PARISIENNES_Classe 2_21354010 - IGAAC agencement (bât. Sociaux et Médico-sociaux)</v>
      </c>
      <c r="F432" s="112" t="s">
        <v>3922</v>
      </c>
    </row>
    <row r="433" spans="1:6" x14ac:dyDescent="0.3">
      <c r="A433" t="s">
        <v>28</v>
      </c>
      <c r="B433" t="s">
        <v>96</v>
      </c>
      <c r="C433" t="s">
        <v>3298</v>
      </c>
      <c r="D433" t="s">
        <v>41</v>
      </c>
      <c r="E433" t="str">
        <f t="shared" si="9"/>
        <v>LES PEINTURES PARISIENNES_Classe 2_21354010 - IGAAC agencement (bât. Sociaux et Médico-sociaux)</v>
      </c>
      <c r="F433" s="112" t="s">
        <v>3922</v>
      </c>
    </row>
    <row r="434" spans="1:6" x14ac:dyDescent="0.3">
      <c r="A434" t="s">
        <v>28</v>
      </c>
      <c r="B434" t="s">
        <v>96</v>
      </c>
      <c r="C434" t="s">
        <v>3298</v>
      </c>
      <c r="D434" t="s">
        <v>3925</v>
      </c>
      <c r="E434" t="str">
        <f t="shared" si="9"/>
        <v>LES PEINTURES PARISIENNES_Classe 2_21354010 - IGAAC agencement (bât. Sociaux et Médico-sociaux)</v>
      </c>
      <c r="F434" s="112" t="s">
        <v>3922</v>
      </c>
    </row>
    <row r="435" spans="1:6" x14ac:dyDescent="0.3">
      <c r="A435" t="s">
        <v>28</v>
      </c>
      <c r="B435" t="s">
        <v>96</v>
      </c>
      <c r="C435" t="s">
        <v>3298</v>
      </c>
      <c r="D435" t="s">
        <v>42</v>
      </c>
      <c r="E435" t="str">
        <f t="shared" si="9"/>
        <v>LES PEINTURES PARISIENNES_Classe 2_21354010 - IGAAC agencement (bât. Sociaux et Médico-sociaux)</v>
      </c>
      <c r="F435" s="112" t="s">
        <v>3921</v>
      </c>
    </row>
    <row r="436" spans="1:6" x14ac:dyDescent="0.3">
      <c r="A436" t="s">
        <v>28</v>
      </c>
      <c r="B436" t="s">
        <v>96</v>
      </c>
      <c r="C436" t="s">
        <v>3298</v>
      </c>
      <c r="D436" t="s">
        <v>3926</v>
      </c>
      <c r="E436" t="str">
        <f t="shared" si="9"/>
        <v>LES PEINTURES PARISIENNES_Classe 2_21354010 - IGAAC agencement (bât. Sociaux et Médico-sociaux)</v>
      </c>
      <c r="F436" s="112" t="s">
        <v>3922</v>
      </c>
    </row>
    <row r="437" spans="1:6" x14ac:dyDescent="0.3">
      <c r="A437" t="s">
        <v>28</v>
      </c>
      <c r="B437" t="s">
        <v>96</v>
      </c>
      <c r="C437" t="s">
        <v>3298</v>
      </c>
      <c r="D437" t="s">
        <v>43</v>
      </c>
      <c r="E437" t="str">
        <f t="shared" si="9"/>
        <v>LES PEINTURES PARISIENNES_Classe 2_21354010 - IGAAC agencement (bât. Sociaux et Médico-sociaux)</v>
      </c>
      <c r="F437" s="112" t="s">
        <v>3922</v>
      </c>
    </row>
    <row r="438" spans="1:6" x14ac:dyDescent="0.3">
      <c r="A438" t="s">
        <v>28</v>
      </c>
      <c r="B438" t="s">
        <v>96</v>
      </c>
      <c r="C438" t="s">
        <v>3298</v>
      </c>
      <c r="D438" t="s">
        <v>1892</v>
      </c>
      <c r="E438" t="str">
        <f t="shared" si="9"/>
        <v>LES PEINTURES PARISIENNES_Classe 2_21354010 - IGAAC agencement (bât. Sociaux et Médico-sociaux)</v>
      </c>
      <c r="F438" s="112" t="s">
        <v>3922</v>
      </c>
    </row>
    <row r="439" spans="1:6" x14ac:dyDescent="0.3">
      <c r="A439" t="s">
        <v>28</v>
      </c>
      <c r="B439" t="s">
        <v>96</v>
      </c>
      <c r="C439" t="s">
        <v>3298</v>
      </c>
      <c r="D439" t="s">
        <v>44</v>
      </c>
      <c r="E439" t="str">
        <f t="shared" si="9"/>
        <v>LES PEINTURES PARISIENNES_Classe 2_21354010 - IGAAC agencement (bât. Sociaux et Médico-sociaux)</v>
      </c>
      <c r="F439" s="112" t="s">
        <v>3921</v>
      </c>
    </row>
    <row r="440" spans="1:6" x14ac:dyDescent="0.3">
      <c r="A440" t="s">
        <v>28</v>
      </c>
      <c r="B440" t="s">
        <v>96</v>
      </c>
      <c r="C440" t="s">
        <v>3298</v>
      </c>
      <c r="D440" t="s">
        <v>45</v>
      </c>
      <c r="E440" t="str">
        <f t="shared" si="9"/>
        <v>LES PEINTURES PARISIENNES_Classe 2_21354010 - IGAAC agencement (bât. Sociaux et Médico-sociaux)</v>
      </c>
      <c r="F440" s="112" t="s">
        <v>3922</v>
      </c>
    </row>
    <row r="441" spans="1:6" x14ac:dyDescent="0.3">
      <c r="A441" t="s">
        <v>28</v>
      </c>
      <c r="B441" t="s">
        <v>96</v>
      </c>
      <c r="C441" t="s">
        <v>3298</v>
      </c>
      <c r="D441" t="s">
        <v>1039</v>
      </c>
      <c r="E441" t="str">
        <f t="shared" si="9"/>
        <v>LES PEINTURES PARISIENNES_Classe 2_21354010 - IGAAC agencement (bât. Sociaux et Médico-sociaux)</v>
      </c>
      <c r="F441" s="112" t="s">
        <v>3921</v>
      </c>
    </row>
    <row r="442" spans="1:6" x14ac:dyDescent="0.3">
      <c r="A442" t="s">
        <v>28</v>
      </c>
      <c r="B442" t="s">
        <v>96</v>
      </c>
      <c r="C442" t="s">
        <v>3298</v>
      </c>
      <c r="D442" t="s">
        <v>46</v>
      </c>
      <c r="E442" t="str">
        <f t="shared" si="9"/>
        <v>LES PEINTURES PARISIENNES_Classe 2_21354010 - IGAAC agencement (bât. Sociaux et Médico-sociaux)</v>
      </c>
      <c r="F442" s="112" t="s">
        <v>3921</v>
      </c>
    </row>
    <row r="443" spans="1:6" x14ac:dyDescent="0.3">
      <c r="A443" t="s">
        <v>28</v>
      </c>
      <c r="B443" t="s">
        <v>96</v>
      </c>
      <c r="C443" t="s">
        <v>3298</v>
      </c>
      <c r="D443" t="s">
        <v>3927</v>
      </c>
      <c r="E443" t="str">
        <f t="shared" si="9"/>
        <v>LES PEINTURES PARISIENNES_Classe 2_21354010 - IGAAC agencement (bât. Sociaux et Médico-sociaux)</v>
      </c>
      <c r="F443" s="112" t="s">
        <v>3922</v>
      </c>
    </row>
    <row r="444" spans="1:6" x14ac:dyDescent="0.3">
      <c r="A444" t="s">
        <v>28</v>
      </c>
      <c r="B444" t="s">
        <v>96</v>
      </c>
      <c r="C444" t="s">
        <v>3298</v>
      </c>
      <c r="D444" t="s">
        <v>47</v>
      </c>
      <c r="E444" t="str">
        <f t="shared" si="9"/>
        <v>LES PEINTURES PARISIENNES_Classe 2_21354010 - IGAAC agencement (bât. Sociaux et Médico-sociaux)</v>
      </c>
      <c r="F444" s="112" t="s">
        <v>3921</v>
      </c>
    </row>
    <row r="445" spans="1:6" x14ac:dyDescent="0.3">
      <c r="A445" t="s">
        <v>28</v>
      </c>
      <c r="B445" t="s">
        <v>96</v>
      </c>
      <c r="C445" t="s">
        <v>3298</v>
      </c>
      <c r="D445" t="s">
        <v>48</v>
      </c>
      <c r="E445" t="str">
        <f t="shared" si="9"/>
        <v>LES PEINTURES PARISIENNES_Classe 2_21354010 - IGAAC agencement (bât. Sociaux et Médico-sociaux)</v>
      </c>
      <c r="F445" s="112" t="s">
        <v>3922</v>
      </c>
    </row>
    <row r="446" spans="1:6" x14ac:dyDescent="0.3">
      <c r="A446" t="s">
        <v>28</v>
      </c>
      <c r="B446" t="s">
        <v>96</v>
      </c>
      <c r="C446" t="s">
        <v>3298</v>
      </c>
      <c r="D446" t="s">
        <v>572</v>
      </c>
      <c r="E446" t="str">
        <f t="shared" si="9"/>
        <v>LES PEINTURES PARISIENNES_Classe 2_21354010 - IGAAC agencement (bât. Sociaux et Médico-sociaux)</v>
      </c>
      <c r="F446" s="112" t="s">
        <v>3922</v>
      </c>
    </row>
    <row r="447" spans="1:6" x14ac:dyDescent="0.3">
      <c r="A447" t="s">
        <v>28</v>
      </c>
      <c r="B447" t="s">
        <v>79</v>
      </c>
      <c r="C447" t="s">
        <v>182</v>
      </c>
      <c r="D447" t="s">
        <v>83</v>
      </c>
      <c r="E447" t="str">
        <f t="shared" si="9"/>
        <v>LES PEINTURES PARISIENNES_Classe 6_615222 - Classe 6 Travaux Pôle</v>
      </c>
      <c r="F447" s="112" t="s">
        <v>3921</v>
      </c>
    </row>
    <row r="448" spans="1:6" x14ac:dyDescent="0.3">
      <c r="A448" t="s">
        <v>28</v>
      </c>
      <c r="B448" t="s">
        <v>79</v>
      </c>
      <c r="C448" t="s">
        <v>81</v>
      </c>
      <c r="D448" t="s">
        <v>83</v>
      </c>
      <c r="E448" t="str">
        <f t="shared" si="9"/>
        <v>LES PEINTURES PARISIENNES_Classe 6_615223 - Classe 6 Travaux Hors Pôle</v>
      </c>
      <c r="F448" s="112" t="s">
        <v>3922</v>
      </c>
    </row>
    <row r="449" spans="1:6" x14ac:dyDescent="0.3">
      <c r="A449" t="s">
        <v>603</v>
      </c>
      <c r="B449" t="s">
        <v>79</v>
      </c>
      <c r="C449" t="s">
        <v>182</v>
      </c>
      <c r="D449" t="s">
        <v>83</v>
      </c>
      <c r="E449" t="str">
        <f t="shared" si="9"/>
        <v>MEGADEL_Classe 6_615222 - Classe 6 Travaux Pôle</v>
      </c>
      <c r="F449" s="112" t="s">
        <v>3921</v>
      </c>
    </row>
    <row r="450" spans="1:6" x14ac:dyDescent="0.3">
      <c r="A450" t="s">
        <v>603</v>
      </c>
      <c r="B450" t="s">
        <v>79</v>
      </c>
      <c r="C450" t="s">
        <v>81</v>
      </c>
      <c r="D450" t="s">
        <v>83</v>
      </c>
      <c r="E450" t="str">
        <f t="shared" si="9"/>
        <v>MEGADEL_Classe 6_615223 - Classe 6 Travaux Hors Pôle</v>
      </c>
      <c r="F450" s="112" t="s">
        <v>3922</v>
      </c>
    </row>
    <row r="451" spans="1:6" x14ac:dyDescent="0.3">
      <c r="A451" t="s">
        <v>740</v>
      </c>
      <c r="B451" t="s">
        <v>79</v>
      </c>
      <c r="C451" t="s">
        <v>182</v>
      </c>
      <c r="D451" t="s">
        <v>83</v>
      </c>
      <c r="E451" t="str">
        <f t="shared" si="9"/>
        <v>NOVADIS_Classe 6_615222 - Classe 6 Travaux Pôle</v>
      </c>
      <c r="F451" s="112" t="s">
        <v>3921</v>
      </c>
    </row>
    <row r="452" spans="1:6" x14ac:dyDescent="0.3">
      <c r="A452" t="s">
        <v>740</v>
      </c>
      <c r="B452" t="s">
        <v>79</v>
      </c>
      <c r="C452" t="s">
        <v>81</v>
      </c>
      <c r="D452" t="s">
        <v>83</v>
      </c>
      <c r="E452" t="str">
        <f t="shared" si="9"/>
        <v>NOVADIS_Classe 6_615223 - Classe 6 Travaux Hors Pôle</v>
      </c>
      <c r="F452" s="112" t="s">
        <v>3922</v>
      </c>
    </row>
    <row r="453" spans="1:6" x14ac:dyDescent="0.3">
      <c r="A453" t="s">
        <v>1023</v>
      </c>
      <c r="B453" t="s">
        <v>79</v>
      </c>
      <c r="C453" t="s">
        <v>182</v>
      </c>
      <c r="D453" t="s">
        <v>83</v>
      </c>
      <c r="E453" t="str">
        <f t="shared" si="9"/>
        <v>PICHARD_Classe 6_615222 - Classe 6 Travaux Pôle</v>
      </c>
      <c r="F453" s="112" t="s">
        <v>3922</v>
      </c>
    </row>
    <row r="454" spans="1:6" x14ac:dyDescent="0.3">
      <c r="A454" t="s">
        <v>1023</v>
      </c>
      <c r="B454" t="s">
        <v>79</v>
      </c>
      <c r="C454" t="s">
        <v>81</v>
      </c>
      <c r="D454" t="s">
        <v>83</v>
      </c>
      <c r="E454" t="str">
        <f t="shared" si="9"/>
        <v>PICHARD_Classe 6_615223 - Classe 6 Travaux Hors Pôle</v>
      </c>
      <c r="F454" s="112" t="s">
        <v>3921</v>
      </c>
    </row>
    <row r="455" spans="1:6" x14ac:dyDescent="0.3">
      <c r="A455" t="s">
        <v>168</v>
      </c>
      <c r="B455" t="s">
        <v>96</v>
      </c>
      <c r="C455" t="s">
        <v>169</v>
      </c>
      <c r="D455" t="s">
        <v>170</v>
      </c>
      <c r="E455" t="str">
        <f t="shared" si="9"/>
        <v>PINEAPPLE_Classe 2_21351820  - Autres IGAAC : Petits travaux et agencement</v>
      </c>
      <c r="F455" s="112" t="s">
        <v>3922</v>
      </c>
    </row>
    <row r="456" spans="1:6" x14ac:dyDescent="0.3">
      <c r="A456" t="s">
        <v>982</v>
      </c>
      <c r="B456" t="s">
        <v>96</v>
      </c>
      <c r="C456" t="s">
        <v>989</v>
      </c>
      <c r="D456" t="s">
        <v>990</v>
      </c>
      <c r="E456" t="str">
        <f t="shared" si="9"/>
        <v>RIFAI_Classe 2_23823180 - Restructuration Romain Rolland</v>
      </c>
      <c r="F456" s="112" t="s">
        <v>3921</v>
      </c>
    </row>
    <row r="457" spans="1:6" x14ac:dyDescent="0.3">
      <c r="A457" t="s">
        <v>982</v>
      </c>
      <c r="B457" t="s">
        <v>96</v>
      </c>
      <c r="C457" t="s">
        <v>983</v>
      </c>
      <c r="D457" t="s">
        <v>984</v>
      </c>
      <c r="E457" t="str">
        <f t="shared" si="9"/>
        <v>RIFAI_Classe 2_23824016 - Urgences Crup Avicennes</v>
      </c>
      <c r="F457" s="112" t="s">
        <v>3922</v>
      </c>
    </row>
    <row r="458" spans="1:6" x14ac:dyDescent="0.3">
      <c r="A458" t="s">
        <v>29</v>
      </c>
      <c r="B458" t="s">
        <v>79</v>
      </c>
      <c r="C458" s="8" t="s">
        <v>241</v>
      </c>
      <c r="D458" t="s">
        <v>262</v>
      </c>
      <c r="E458" t="str">
        <f t="shared" ref="E458:E525" si="10">A458&amp;"_"&amp;B458&amp;"_"&amp;C458</f>
        <v>ROUGNON_Classe 6_6152582 - Classe 6 Maintenance Hors Forfait</v>
      </c>
      <c r="F458" s="112" t="s">
        <v>3922</v>
      </c>
    </row>
    <row r="459" spans="1:6" x14ac:dyDescent="0.3">
      <c r="A459" t="s">
        <v>30</v>
      </c>
      <c r="B459" t="s">
        <v>96</v>
      </c>
      <c r="C459" t="s">
        <v>320</v>
      </c>
      <c r="D459" t="s">
        <v>3920</v>
      </c>
      <c r="E459" t="str">
        <f t="shared" si="10"/>
        <v>SANICOTHERM_Classe 2_21351810 - Autres IGAAC : Clos et couvert</v>
      </c>
      <c r="F459" s="112" t="s">
        <v>3922</v>
      </c>
    </row>
    <row r="460" spans="1:6" x14ac:dyDescent="0.3">
      <c r="A460" t="s">
        <v>30</v>
      </c>
      <c r="B460" t="s">
        <v>96</v>
      </c>
      <c r="C460" t="s">
        <v>320</v>
      </c>
      <c r="D460" t="s">
        <v>38</v>
      </c>
      <c r="E460" t="str">
        <f t="shared" si="10"/>
        <v>SANICOTHERM_Classe 2_21351810 - Autres IGAAC : Clos et couvert</v>
      </c>
      <c r="F460" s="112" t="s">
        <v>3921</v>
      </c>
    </row>
    <row r="461" spans="1:6" x14ac:dyDescent="0.3">
      <c r="A461" t="s">
        <v>30</v>
      </c>
      <c r="B461" t="s">
        <v>96</v>
      </c>
      <c r="C461" t="s">
        <v>320</v>
      </c>
      <c r="D461" t="s">
        <v>3923</v>
      </c>
      <c r="E461" t="str">
        <f t="shared" si="10"/>
        <v>SANICOTHERM_Classe 2_21351810 - Autres IGAAC : Clos et couvert</v>
      </c>
      <c r="F461" s="112" t="s">
        <v>3921</v>
      </c>
    </row>
    <row r="462" spans="1:6" x14ac:dyDescent="0.3">
      <c r="A462" t="s">
        <v>30</v>
      </c>
      <c r="B462" t="s">
        <v>96</v>
      </c>
      <c r="C462" t="s">
        <v>320</v>
      </c>
      <c r="D462" t="s">
        <v>170</v>
      </c>
      <c r="E462" t="str">
        <f t="shared" si="10"/>
        <v>SANICOTHERM_Classe 2_21351810 - Autres IGAAC : Clos et couvert</v>
      </c>
      <c r="F462" s="112" t="s">
        <v>3922</v>
      </c>
    </row>
    <row r="463" spans="1:6" x14ac:dyDescent="0.3">
      <c r="A463" t="s">
        <v>30</v>
      </c>
      <c r="B463" t="s">
        <v>96</v>
      </c>
      <c r="C463" t="s">
        <v>320</v>
      </c>
      <c r="D463" t="s">
        <v>39</v>
      </c>
      <c r="E463" t="str">
        <f t="shared" si="10"/>
        <v>SANICOTHERM_Classe 2_21351810 - Autres IGAAC : Clos et couvert</v>
      </c>
      <c r="F463" s="112" t="s">
        <v>3921</v>
      </c>
    </row>
    <row r="464" spans="1:6" x14ac:dyDescent="0.3">
      <c r="A464" t="s">
        <v>30</v>
      </c>
      <c r="B464" t="s">
        <v>96</v>
      </c>
      <c r="C464" t="s">
        <v>320</v>
      </c>
      <c r="D464" t="s">
        <v>3924</v>
      </c>
      <c r="E464" t="str">
        <f t="shared" si="10"/>
        <v>SANICOTHERM_Classe 2_21351810 - Autres IGAAC : Clos et couvert</v>
      </c>
      <c r="F464" s="112" t="s">
        <v>3921</v>
      </c>
    </row>
    <row r="465" spans="1:6" x14ac:dyDescent="0.3">
      <c r="A465" t="s">
        <v>30</v>
      </c>
      <c r="B465" t="s">
        <v>96</v>
      </c>
      <c r="C465" t="s">
        <v>320</v>
      </c>
      <c r="D465" t="s">
        <v>40</v>
      </c>
      <c r="E465" t="str">
        <f t="shared" si="10"/>
        <v>SANICOTHERM_Classe 2_21351810 - Autres IGAAC : Clos et couvert</v>
      </c>
      <c r="F465" s="112" t="s">
        <v>3922</v>
      </c>
    </row>
    <row r="466" spans="1:6" x14ac:dyDescent="0.3">
      <c r="A466" t="s">
        <v>30</v>
      </c>
      <c r="B466" t="s">
        <v>96</v>
      </c>
      <c r="C466" t="s">
        <v>320</v>
      </c>
      <c r="D466" t="s">
        <v>41</v>
      </c>
      <c r="E466" t="str">
        <f t="shared" si="10"/>
        <v>SANICOTHERM_Classe 2_21351810 - Autres IGAAC : Clos et couvert</v>
      </c>
      <c r="F466" s="112" t="s">
        <v>3921</v>
      </c>
    </row>
    <row r="467" spans="1:6" x14ac:dyDescent="0.3">
      <c r="A467" t="s">
        <v>30</v>
      </c>
      <c r="B467" t="s">
        <v>96</v>
      </c>
      <c r="C467" t="s">
        <v>320</v>
      </c>
      <c r="D467" t="s">
        <v>3925</v>
      </c>
      <c r="E467" t="str">
        <f t="shared" si="10"/>
        <v>SANICOTHERM_Classe 2_21351810 - Autres IGAAC : Clos et couvert</v>
      </c>
      <c r="F467" s="112" t="s">
        <v>3922</v>
      </c>
    </row>
    <row r="468" spans="1:6" x14ac:dyDescent="0.3">
      <c r="A468" t="s">
        <v>30</v>
      </c>
      <c r="B468" t="s">
        <v>96</v>
      </c>
      <c r="C468" t="s">
        <v>320</v>
      </c>
      <c r="D468" t="s">
        <v>42</v>
      </c>
      <c r="E468" t="str">
        <f t="shared" si="10"/>
        <v>SANICOTHERM_Classe 2_21351810 - Autres IGAAC : Clos et couvert</v>
      </c>
      <c r="F468" s="112" t="s">
        <v>3922</v>
      </c>
    </row>
    <row r="469" spans="1:6" x14ac:dyDescent="0.3">
      <c r="A469" t="s">
        <v>30</v>
      </c>
      <c r="B469" t="s">
        <v>96</v>
      </c>
      <c r="C469" t="s">
        <v>320</v>
      </c>
      <c r="D469" t="s">
        <v>3926</v>
      </c>
      <c r="E469" t="str">
        <f t="shared" si="10"/>
        <v>SANICOTHERM_Classe 2_21351810 - Autres IGAAC : Clos et couvert</v>
      </c>
      <c r="F469" s="112" t="s">
        <v>3921</v>
      </c>
    </row>
    <row r="470" spans="1:6" x14ac:dyDescent="0.3">
      <c r="A470" t="s">
        <v>30</v>
      </c>
      <c r="B470" t="s">
        <v>96</v>
      </c>
      <c r="C470" t="s">
        <v>320</v>
      </c>
      <c r="D470" t="s">
        <v>43</v>
      </c>
      <c r="E470" t="str">
        <f t="shared" si="10"/>
        <v>SANICOTHERM_Classe 2_21351810 - Autres IGAAC : Clos et couvert</v>
      </c>
      <c r="F470" s="112" t="s">
        <v>3922</v>
      </c>
    </row>
    <row r="471" spans="1:6" x14ac:dyDescent="0.3">
      <c r="A471" t="s">
        <v>30</v>
      </c>
      <c r="B471" t="s">
        <v>96</v>
      </c>
      <c r="C471" t="s">
        <v>320</v>
      </c>
      <c r="D471" t="s">
        <v>1892</v>
      </c>
      <c r="E471" t="str">
        <f t="shared" si="10"/>
        <v>SANICOTHERM_Classe 2_21351810 - Autres IGAAC : Clos et couvert</v>
      </c>
      <c r="F471" s="112" t="s">
        <v>3921</v>
      </c>
    </row>
    <row r="472" spans="1:6" x14ac:dyDescent="0.3">
      <c r="A472" t="s">
        <v>30</v>
      </c>
      <c r="B472" t="s">
        <v>96</v>
      </c>
      <c r="C472" t="s">
        <v>320</v>
      </c>
      <c r="D472" t="s">
        <v>44</v>
      </c>
      <c r="E472" t="str">
        <f t="shared" si="10"/>
        <v>SANICOTHERM_Classe 2_21351810 - Autres IGAAC : Clos et couvert</v>
      </c>
      <c r="F472" s="112" t="s">
        <v>3922</v>
      </c>
    </row>
    <row r="473" spans="1:6" x14ac:dyDescent="0.3">
      <c r="A473" t="s">
        <v>30</v>
      </c>
      <c r="B473" t="s">
        <v>96</v>
      </c>
      <c r="C473" t="s">
        <v>320</v>
      </c>
      <c r="D473" t="s">
        <v>45</v>
      </c>
      <c r="E473" t="str">
        <f t="shared" si="10"/>
        <v>SANICOTHERM_Classe 2_21351810 - Autres IGAAC : Clos et couvert</v>
      </c>
      <c r="F473" s="112" t="s">
        <v>3921</v>
      </c>
    </row>
    <row r="474" spans="1:6" x14ac:dyDescent="0.3">
      <c r="A474" t="s">
        <v>30</v>
      </c>
      <c r="B474" t="s">
        <v>96</v>
      </c>
      <c r="C474" t="s">
        <v>320</v>
      </c>
      <c r="D474" t="s">
        <v>1039</v>
      </c>
      <c r="E474" t="str">
        <f t="shared" si="10"/>
        <v>SANICOTHERM_Classe 2_21351810 - Autres IGAAC : Clos et couvert</v>
      </c>
      <c r="F474" s="112" t="s">
        <v>3922</v>
      </c>
    </row>
    <row r="475" spans="1:6" x14ac:dyDescent="0.3">
      <c r="A475" t="s">
        <v>30</v>
      </c>
      <c r="B475" t="s">
        <v>96</v>
      </c>
      <c r="C475" t="s">
        <v>320</v>
      </c>
      <c r="D475" t="s">
        <v>46</v>
      </c>
      <c r="E475" t="str">
        <f t="shared" si="10"/>
        <v>SANICOTHERM_Classe 2_21351810 - Autres IGAAC : Clos et couvert</v>
      </c>
      <c r="F475" s="112" t="s">
        <v>3922</v>
      </c>
    </row>
    <row r="476" spans="1:6" x14ac:dyDescent="0.3">
      <c r="A476" t="s">
        <v>30</v>
      </c>
      <c r="B476" t="s">
        <v>96</v>
      </c>
      <c r="C476" t="s">
        <v>320</v>
      </c>
      <c r="D476" t="s">
        <v>3927</v>
      </c>
      <c r="E476" t="str">
        <f t="shared" si="10"/>
        <v>SANICOTHERM_Classe 2_21351810 - Autres IGAAC : Clos et couvert</v>
      </c>
      <c r="F476" s="112" t="s">
        <v>3921</v>
      </c>
    </row>
    <row r="477" spans="1:6" x14ac:dyDescent="0.3">
      <c r="A477" t="s">
        <v>30</v>
      </c>
      <c r="B477" t="s">
        <v>96</v>
      </c>
      <c r="C477" t="s">
        <v>320</v>
      </c>
      <c r="D477" t="s">
        <v>47</v>
      </c>
      <c r="E477" t="str">
        <f t="shared" si="10"/>
        <v>SANICOTHERM_Classe 2_21351810 - Autres IGAAC : Clos et couvert</v>
      </c>
      <c r="F477" s="112" t="s">
        <v>3922</v>
      </c>
    </row>
    <row r="478" spans="1:6" x14ac:dyDescent="0.3">
      <c r="A478" t="s">
        <v>30</v>
      </c>
      <c r="B478" t="s">
        <v>96</v>
      </c>
      <c r="C478" t="s">
        <v>320</v>
      </c>
      <c r="D478" t="s">
        <v>48</v>
      </c>
      <c r="E478" t="str">
        <f t="shared" si="10"/>
        <v>SANICOTHERM_Classe 2_21351810 - Autres IGAAC : Clos et couvert</v>
      </c>
      <c r="F478" s="112" t="s">
        <v>3921</v>
      </c>
    </row>
    <row r="479" spans="1:6" x14ac:dyDescent="0.3">
      <c r="A479" t="s">
        <v>30</v>
      </c>
      <c r="B479" t="s">
        <v>96</v>
      </c>
      <c r="C479" t="s">
        <v>320</v>
      </c>
      <c r="D479" t="s">
        <v>2677</v>
      </c>
      <c r="E479" t="str">
        <f t="shared" si="10"/>
        <v>SANICOTHERM_Classe 2_21351810 - Autres IGAAC : Clos et couvert</v>
      </c>
      <c r="F479" s="112" t="s">
        <v>3921</v>
      </c>
    </row>
    <row r="480" spans="1:6" x14ac:dyDescent="0.3">
      <c r="A480" t="s">
        <v>30</v>
      </c>
      <c r="B480" t="s">
        <v>96</v>
      </c>
      <c r="C480" t="s">
        <v>320</v>
      </c>
      <c r="D480" t="s">
        <v>1670</v>
      </c>
      <c r="E480" t="str">
        <f t="shared" si="10"/>
        <v>SANICOTHERM_Classe 2_21351810 - Autres IGAAC : Clos et couvert</v>
      </c>
      <c r="F480" s="112" t="s">
        <v>3922</v>
      </c>
    </row>
    <row r="481" spans="1:6" x14ac:dyDescent="0.3">
      <c r="A481" t="s">
        <v>30</v>
      </c>
      <c r="B481" t="s">
        <v>96</v>
      </c>
      <c r="C481" t="s">
        <v>169</v>
      </c>
      <c r="D481" t="s">
        <v>191</v>
      </c>
      <c r="E481" t="str">
        <f t="shared" si="10"/>
        <v>SANICOTHERM_Classe 2_21351820  - Autres IGAAC : Petits travaux et agencement</v>
      </c>
      <c r="F481" s="112" t="s">
        <v>3922</v>
      </c>
    </row>
    <row r="482" spans="1:6" x14ac:dyDescent="0.3">
      <c r="A482" t="s">
        <v>30</v>
      </c>
      <c r="B482" t="s">
        <v>96</v>
      </c>
      <c r="C482" t="s">
        <v>169</v>
      </c>
      <c r="D482" t="s">
        <v>3920</v>
      </c>
      <c r="E482" t="str">
        <f t="shared" si="10"/>
        <v>SANICOTHERM_Classe 2_21351820  - Autres IGAAC : Petits travaux et agencement</v>
      </c>
      <c r="F482" s="112" t="s">
        <v>3922</v>
      </c>
    </row>
    <row r="483" spans="1:6" x14ac:dyDescent="0.3">
      <c r="A483" t="s">
        <v>30</v>
      </c>
      <c r="B483" t="s">
        <v>96</v>
      </c>
      <c r="C483" t="s">
        <v>169</v>
      </c>
      <c r="D483" t="s">
        <v>38</v>
      </c>
      <c r="E483" t="str">
        <f t="shared" si="10"/>
        <v>SANICOTHERM_Classe 2_21351820  - Autres IGAAC : Petits travaux et agencement</v>
      </c>
      <c r="F483" s="112" t="s">
        <v>3922</v>
      </c>
    </row>
    <row r="484" spans="1:6" x14ac:dyDescent="0.3">
      <c r="A484" t="s">
        <v>30</v>
      </c>
      <c r="B484" t="s">
        <v>96</v>
      </c>
      <c r="C484" t="s">
        <v>169</v>
      </c>
      <c r="D484" t="s">
        <v>3923</v>
      </c>
      <c r="E484" t="str">
        <f t="shared" si="10"/>
        <v>SANICOTHERM_Classe 2_21351820  - Autres IGAAC : Petits travaux et agencement</v>
      </c>
      <c r="F484" s="112" t="s">
        <v>3922</v>
      </c>
    </row>
    <row r="485" spans="1:6" x14ac:dyDescent="0.3">
      <c r="A485" t="s">
        <v>30</v>
      </c>
      <c r="B485" t="s">
        <v>96</v>
      </c>
      <c r="C485" t="s">
        <v>169</v>
      </c>
      <c r="D485" t="s">
        <v>170</v>
      </c>
      <c r="E485" t="str">
        <f t="shared" si="10"/>
        <v>SANICOTHERM_Classe 2_21351820  - Autres IGAAC : Petits travaux et agencement</v>
      </c>
      <c r="F485" s="112" t="s">
        <v>3922</v>
      </c>
    </row>
    <row r="486" spans="1:6" x14ac:dyDescent="0.3">
      <c r="A486" t="s">
        <v>30</v>
      </c>
      <c r="B486" t="s">
        <v>96</v>
      </c>
      <c r="C486" t="s">
        <v>169</v>
      </c>
      <c r="D486" t="s">
        <v>39</v>
      </c>
      <c r="E486" t="str">
        <f t="shared" si="10"/>
        <v>SANICOTHERM_Classe 2_21351820  - Autres IGAAC : Petits travaux et agencement</v>
      </c>
      <c r="F486" s="112" t="s">
        <v>3922</v>
      </c>
    </row>
    <row r="487" spans="1:6" x14ac:dyDescent="0.3">
      <c r="A487" t="s">
        <v>30</v>
      </c>
      <c r="B487" t="s">
        <v>96</v>
      </c>
      <c r="C487" t="s">
        <v>169</v>
      </c>
      <c r="D487" t="s">
        <v>3924</v>
      </c>
      <c r="E487" t="str">
        <f t="shared" si="10"/>
        <v>SANICOTHERM_Classe 2_21351820  - Autres IGAAC : Petits travaux et agencement</v>
      </c>
      <c r="F487" s="112" t="s">
        <v>3922</v>
      </c>
    </row>
    <row r="488" spans="1:6" x14ac:dyDescent="0.3">
      <c r="A488" t="s">
        <v>30</v>
      </c>
      <c r="B488" t="s">
        <v>96</v>
      </c>
      <c r="C488" t="s">
        <v>169</v>
      </c>
      <c r="D488" t="s">
        <v>40</v>
      </c>
      <c r="E488" t="str">
        <f t="shared" si="10"/>
        <v>SANICOTHERM_Classe 2_21351820  - Autres IGAAC : Petits travaux et agencement</v>
      </c>
      <c r="F488" s="112" t="s">
        <v>3922</v>
      </c>
    </row>
    <row r="489" spans="1:6" x14ac:dyDescent="0.3">
      <c r="A489" t="s">
        <v>30</v>
      </c>
      <c r="B489" t="s">
        <v>96</v>
      </c>
      <c r="C489" t="s">
        <v>169</v>
      </c>
      <c r="D489" t="s">
        <v>41</v>
      </c>
      <c r="E489" t="str">
        <f t="shared" si="10"/>
        <v>SANICOTHERM_Classe 2_21351820  - Autres IGAAC : Petits travaux et agencement</v>
      </c>
      <c r="F489" s="112" t="s">
        <v>3922</v>
      </c>
    </row>
    <row r="490" spans="1:6" x14ac:dyDescent="0.3">
      <c r="A490" t="s">
        <v>30</v>
      </c>
      <c r="B490" t="s">
        <v>96</v>
      </c>
      <c r="C490" t="s">
        <v>169</v>
      </c>
      <c r="D490" t="s">
        <v>3925</v>
      </c>
      <c r="E490" t="str">
        <f t="shared" si="10"/>
        <v>SANICOTHERM_Classe 2_21351820  - Autres IGAAC : Petits travaux et agencement</v>
      </c>
      <c r="F490" s="112" t="s">
        <v>3922</v>
      </c>
    </row>
    <row r="491" spans="1:6" x14ac:dyDescent="0.3">
      <c r="A491" t="s">
        <v>30</v>
      </c>
      <c r="B491" t="s">
        <v>96</v>
      </c>
      <c r="C491" t="s">
        <v>169</v>
      </c>
      <c r="D491" t="s">
        <v>42</v>
      </c>
      <c r="E491" t="str">
        <f t="shared" si="10"/>
        <v>SANICOTHERM_Classe 2_21351820  - Autres IGAAC : Petits travaux et agencement</v>
      </c>
      <c r="F491" s="112" t="s">
        <v>3922</v>
      </c>
    </row>
    <row r="492" spans="1:6" x14ac:dyDescent="0.3">
      <c r="A492" t="s">
        <v>30</v>
      </c>
      <c r="B492" t="s">
        <v>96</v>
      </c>
      <c r="C492" t="s">
        <v>169</v>
      </c>
      <c r="D492" t="s">
        <v>3926</v>
      </c>
      <c r="E492" t="str">
        <f t="shared" si="10"/>
        <v>SANICOTHERM_Classe 2_21351820  - Autres IGAAC : Petits travaux et agencement</v>
      </c>
      <c r="F492" s="112" t="s">
        <v>3921</v>
      </c>
    </row>
    <row r="493" spans="1:6" x14ac:dyDescent="0.3">
      <c r="A493" t="s">
        <v>30</v>
      </c>
      <c r="B493" t="s">
        <v>96</v>
      </c>
      <c r="C493" t="s">
        <v>169</v>
      </c>
      <c r="D493" t="s">
        <v>43</v>
      </c>
      <c r="E493" t="str">
        <f t="shared" si="10"/>
        <v>SANICOTHERM_Classe 2_21351820  - Autres IGAAC : Petits travaux et agencement</v>
      </c>
      <c r="F493" s="112" t="s">
        <v>3922</v>
      </c>
    </row>
    <row r="494" spans="1:6" x14ac:dyDescent="0.3">
      <c r="A494" t="s">
        <v>30</v>
      </c>
      <c r="B494" t="s">
        <v>96</v>
      </c>
      <c r="C494" t="s">
        <v>169</v>
      </c>
      <c r="D494" t="s">
        <v>1892</v>
      </c>
      <c r="E494" t="str">
        <f t="shared" si="10"/>
        <v>SANICOTHERM_Classe 2_21351820  - Autres IGAAC : Petits travaux et agencement</v>
      </c>
      <c r="F494" s="112" t="s">
        <v>3921</v>
      </c>
    </row>
    <row r="495" spans="1:6" x14ac:dyDescent="0.3">
      <c r="A495" t="s">
        <v>30</v>
      </c>
      <c r="B495" t="s">
        <v>96</v>
      </c>
      <c r="C495" t="s">
        <v>169</v>
      </c>
      <c r="D495" t="s">
        <v>44</v>
      </c>
      <c r="E495" t="str">
        <f t="shared" si="10"/>
        <v>SANICOTHERM_Classe 2_21351820  - Autres IGAAC : Petits travaux et agencement</v>
      </c>
      <c r="F495" s="112" t="s">
        <v>3921</v>
      </c>
    </row>
    <row r="496" spans="1:6" x14ac:dyDescent="0.3">
      <c r="A496" t="s">
        <v>30</v>
      </c>
      <c r="B496" t="s">
        <v>96</v>
      </c>
      <c r="C496" t="s">
        <v>169</v>
      </c>
      <c r="D496" t="s">
        <v>45</v>
      </c>
      <c r="E496" t="str">
        <f t="shared" si="10"/>
        <v>SANICOTHERM_Classe 2_21351820  - Autres IGAAC : Petits travaux et agencement</v>
      </c>
      <c r="F496" s="112" t="s">
        <v>3922</v>
      </c>
    </row>
    <row r="497" spans="1:6" x14ac:dyDescent="0.3">
      <c r="A497" t="s">
        <v>30</v>
      </c>
      <c r="B497" t="s">
        <v>96</v>
      </c>
      <c r="C497" t="s">
        <v>169</v>
      </c>
      <c r="D497" t="s">
        <v>1039</v>
      </c>
      <c r="E497" t="str">
        <f t="shared" si="10"/>
        <v>SANICOTHERM_Classe 2_21351820  - Autres IGAAC : Petits travaux et agencement</v>
      </c>
      <c r="F497" s="112" t="s">
        <v>3921</v>
      </c>
    </row>
    <row r="498" spans="1:6" x14ac:dyDescent="0.3">
      <c r="A498" t="s">
        <v>30</v>
      </c>
      <c r="B498" t="s">
        <v>96</v>
      </c>
      <c r="C498" t="s">
        <v>169</v>
      </c>
      <c r="D498" t="s">
        <v>46</v>
      </c>
      <c r="E498" t="str">
        <f t="shared" si="10"/>
        <v>SANICOTHERM_Classe 2_21351820  - Autres IGAAC : Petits travaux et agencement</v>
      </c>
      <c r="F498" s="112" t="s">
        <v>3922</v>
      </c>
    </row>
    <row r="499" spans="1:6" x14ac:dyDescent="0.3">
      <c r="A499" t="s">
        <v>30</v>
      </c>
      <c r="B499" t="s">
        <v>96</v>
      </c>
      <c r="C499" t="s">
        <v>169</v>
      </c>
      <c r="D499" t="s">
        <v>3927</v>
      </c>
      <c r="E499" t="str">
        <f t="shared" si="10"/>
        <v>SANICOTHERM_Classe 2_21351820  - Autres IGAAC : Petits travaux et agencement</v>
      </c>
      <c r="F499" s="112" t="s">
        <v>3922</v>
      </c>
    </row>
    <row r="500" spans="1:6" x14ac:dyDescent="0.3">
      <c r="A500" t="s">
        <v>30</v>
      </c>
      <c r="B500" t="s">
        <v>96</v>
      </c>
      <c r="C500" t="s">
        <v>169</v>
      </c>
      <c r="D500" t="s">
        <v>176</v>
      </c>
      <c r="E500" t="str">
        <f t="shared" si="10"/>
        <v>SANICOTHERM_Classe 2_21351820  - Autres IGAAC : Petits travaux et agencement</v>
      </c>
      <c r="F500" s="112" t="s">
        <v>3921</v>
      </c>
    </row>
    <row r="501" spans="1:6" x14ac:dyDescent="0.3">
      <c r="A501" t="s">
        <v>30</v>
      </c>
      <c r="B501" t="s">
        <v>96</v>
      </c>
      <c r="C501" t="s">
        <v>169</v>
      </c>
      <c r="D501" t="s">
        <v>47</v>
      </c>
      <c r="E501" t="str">
        <f t="shared" si="10"/>
        <v>SANICOTHERM_Classe 2_21351820  - Autres IGAAC : Petits travaux et agencement</v>
      </c>
      <c r="F501" s="112" t="s">
        <v>3922</v>
      </c>
    </row>
    <row r="502" spans="1:6" x14ac:dyDescent="0.3">
      <c r="A502" t="s">
        <v>30</v>
      </c>
      <c r="B502" t="s">
        <v>96</v>
      </c>
      <c r="C502" t="s">
        <v>169</v>
      </c>
      <c r="D502" t="s">
        <v>48</v>
      </c>
      <c r="E502" t="str">
        <f t="shared" si="10"/>
        <v>SANICOTHERM_Classe 2_21351820  - Autres IGAAC : Petits travaux et agencement</v>
      </c>
      <c r="F502" s="112" t="s">
        <v>3921</v>
      </c>
    </row>
    <row r="503" spans="1:6" x14ac:dyDescent="0.3">
      <c r="A503" t="s">
        <v>30</v>
      </c>
      <c r="B503" t="s">
        <v>96</v>
      </c>
      <c r="C503" t="s">
        <v>169</v>
      </c>
      <c r="D503" t="s">
        <v>3931</v>
      </c>
      <c r="E503" t="str">
        <f t="shared" si="10"/>
        <v>SANICOTHERM_Classe 2_21351820  - Autres IGAAC : Petits travaux et agencement</v>
      </c>
      <c r="F503" s="112" t="s">
        <v>3922</v>
      </c>
    </row>
    <row r="504" spans="1:6" x14ac:dyDescent="0.3">
      <c r="A504" t="s">
        <v>30</v>
      </c>
      <c r="B504" t="s">
        <v>96</v>
      </c>
      <c r="C504" t="s">
        <v>169</v>
      </c>
      <c r="D504" t="s">
        <v>1993</v>
      </c>
      <c r="E504" t="str">
        <f t="shared" si="10"/>
        <v>SANICOTHERM_Classe 2_21351820  - Autres IGAAC : Petits travaux et agencement</v>
      </c>
      <c r="F504" s="112" t="s">
        <v>3921</v>
      </c>
    </row>
    <row r="505" spans="1:6" x14ac:dyDescent="0.3">
      <c r="A505" t="s">
        <v>30</v>
      </c>
      <c r="B505" t="s">
        <v>96</v>
      </c>
      <c r="C505" t="s">
        <v>169</v>
      </c>
      <c r="D505" t="s">
        <v>503</v>
      </c>
      <c r="E505" t="str">
        <f t="shared" si="10"/>
        <v>SANICOTHERM_Classe 2_21351820  - Autres IGAAC : Petits travaux et agencement</v>
      </c>
      <c r="F505" s="112" t="s">
        <v>3922</v>
      </c>
    </row>
    <row r="506" spans="1:6" x14ac:dyDescent="0.3">
      <c r="A506" t="s">
        <v>30</v>
      </c>
      <c r="B506" t="s">
        <v>96</v>
      </c>
      <c r="C506" t="s">
        <v>169</v>
      </c>
      <c r="D506" t="s">
        <v>1746</v>
      </c>
      <c r="E506" t="str">
        <f t="shared" si="10"/>
        <v>SANICOTHERM_Classe 2_21351820  - Autres IGAAC : Petits travaux et agencement</v>
      </c>
      <c r="F506" s="112" t="s">
        <v>3922</v>
      </c>
    </row>
    <row r="507" spans="1:6" x14ac:dyDescent="0.3">
      <c r="A507" t="s">
        <v>30</v>
      </c>
      <c r="B507" t="s">
        <v>96</v>
      </c>
      <c r="C507" t="s">
        <v>169</v>
      </c>
      <c r="D507">
        <v>2025016</v>
      </c>
      <c r="E507" t="str">
        <f t="shared" si="10"/>
        <v>SANICOTHERM_Classe 2_21351820  - Autres IGAAC : Petits travaux et agencement</v>
      </c>
      <c r="F507" s="112" t="s">
        <v>3921</v>
      </c>
    </row>
    <row r="508" spans="1:6" x14ac:dyDescent="0.3">
      <c r="A508" t="s">
        <v>30</v>
      </c>
      <c r="B508" t="s">
        <v>96</v>
      </c>
      <c r="C508" s="2" t="s">
        <v>1869</v>
      </c>
      <c r="D508" t="s">
        <v>1870</v>
      </c>
      <c r="E508" t="str">
        <f t="shared" si="10"/>
        <v>SANICOTHERM_Classe 2_213518999 - Accessibilité EPSVE opération AD'AP</v>
      </c>
      <c r="F508" s="112" t="s">
        <v>3922</v>
      </c>
    </row>
    <row r="509" spans="1:6" x14ac:dyDescent="0.3">
      <c r="A509" t="s">
        <v>30</v>
      </c>
      <c r="B509" t="s">
        <v>79</v>
      </c>
      <c r="C509" t="s">
        <v>182</v>
      </c>
      <c r="D509" t="s">
        <v>83</v>
      </c>
      <c r="E509" t="str">
        <f t="shared" si="10"/>
        <v>SANICOTHERM_Classe 6_615222 - Classe 6 Travaux Pôle</v>
      </c>
      <c r="F509" s="112" t="s">
        <v>3921</v>
      </c>
    </row>
    <row r="510" spans="1:6" x14ac:dyDescent="0.3">
      <c r="A510" t="s">
        <v>30</v>
      </c>
      <c r="B510" t="s">
        <v>79</v>
      </c>
      <c r="C510" t="s">
        <v>81</v>
      </c>
      <c r="D510" t="s">
        <v>83</v>
      </c>
      <c r="E510" t="str">
        <f t="shared" si="10"/>
        <v>SANICOTHERM_Classe 6_615223 - Classe 6 Travaux Hors Pôle</v>
      </c>
      <c r="F510" s="112" t="s">
        <v>3922</v>
      </c>
    </row>
    <row r="511" spans="1:6" x14ac:dyDescent="0.3">
      <c r="A511" t="s">
        <v>31</v>
      </c>
      <c r="B511" t="s">
        <v>96</v>
      </c>
      <c r="C511" s="8" t="s">
        <v>201</v>
      </c>
      <c r="D511" t="s">
        <v>202</v>
      </c>
      <c r="E511" t="str">
        <f>A511&amp;"_"&amp;B511&amp;"_"&amp;C511</f>
        <v>SCHINDLER_Classe 2_21351850 - Autres IGAAC : Système de contrôle d'accès</v>
      </c>
      <c r="F511" s="112" t="s">
        <v>3922</v>
      </c>
    </row>
    <row r="512" spans="1:6" x14ac:dyDescent="0.3">
      <c r="A512" t="s">
        <v>31</v>
      </c>
      <c r="B512" t="s">
        <v>79</v>
      </c>
      <c r="C512" s="8" t="s">
        <v>241</v>
      </c>
      <c r="D512" t="s">
        <v>243</v>
      </c>
      <c r="E512" t="str">
        <f t="shared" si="10"/>
        <v>SCHINDLER_Classe 6_6152582 - Classe 6 Maintenance Hors Forfait</v>
      </c>
      <c r="F512" s="112" t="s">
        <v>3922</v>
      </c>
    </row>
    <row r="513" spans="1:6" x14ac:dyDescent="0.3">
      <c r="A513" t="s">
        <v>32</v>
      </c>
      <c r="B513" t="s">
        <v>96</v>
      </c>
      <c r="C513" s="8" t="s">
        <v>320</v>
      </c>
      <c r="D513" t="s">
        <v>3920</v>
      </c>
      <c r="E513" t="str">
        <f t="shared" si="10"/>
        <v>SCHNEIDER_Classe 2_21351810 - Autres IGAAC : Clos et couvert</v>
      </c>
      <c r="F513" s="112" t="s">
        <v>3921</v>
      </c>
    </row>
    <row r="514" spans="1:6" x14ac:dyDescent="0.3">
      <c r="A514" t="s">
        <v>32</v>
      </c>
      <c r="B514" t="s">
        <v>96</v>
      </c>
      <c r="C514" s="8" t="s">
        <v>320</v>
      </c>
      <c r="D514" t="s">
        <v>38</v>
      </c>
      <c r="E514" t="str">
        <f t="shared" si="10"/>
        <v>SCHNEIDER_Classe 2_21351810 - Autres IGAAC : Clos et couvert</v>
      </c>
      <c r="F514" s="112" t="s">
        <v>3922</v>
      </c>
    </row>
    <row r="515" spans="1:6" x14ac:dyDescent="0.3">
      <c r="A515" t="s">
        <v>32</v>
      </c>
      <c r="B515" t="s">
        <v>96</v>
      </c>
      <c r="C515" s="8" t="s">
        <v>320</v>
      </c>
      <c r="D515" t="s">
        <v>3923</v>
      </c>
      <c r="E515" t="str">
        <f t="shared" si="10"/>
        <v>SCHNEIDER_Classe 2_21351810 - Autres IGAAC : Clos et couvert</v>
      </c>
      <c r="F515" s="112" t="s">
        <v>3922</v>
      </c>
    </row>
    <row r="516" spans="1:6" x14ac:dyDescent="0.3">
      <c r="A516" t="s">
        <v>32</v>
      </c>
      <c r="B516" t="s">
        <v>96</v>
      </c>
      <c r="C516" s="8" t="s">
        <v>320</v>
      </c>
      <c r="D516" t="s">
        <v>170</v>
      </c>
      <c r="E516" t="str">
        <f t="shared" si="10"/>
        <v>SCHNEIDER_Classe 2_21351810 - Autres IGAAC : Clos et couvert</v>
      </c>
      <c r="F516" s="112" t="s">
        <v>3922</v>
      </c>
    </row>
    <row r="517" spans="1:6" x14ac:dyDescent="0.3">
      <c r="A517" t="s">
        <v>32</v>
      </c>
      <c r="B517" t="s">
        <v>96</v>
      </c>
      <c r="C517" s="8" t="s">
        <v>320</v>
      </c>
      <c r="D517" t="s">
        <v>39</v>
      </c>
      <c r="E517" t="str">
        <f t="shared" si="10"/>
        <v>SCHNEIDER_Classe 2_21351810 - Autres IGAAC : Clos et couvert</v>
      </c>
      <c r="F517" s="112" t="s">
        <v>3922</v>
      </c>
    </row>
    <row r="518" spans="1:6" x14ac:dyDescent="0.3">
      <c r="A518" t="s">
        <v>32</v>
      </c>
      <c r="B518" t="s">
        <v>96</v>
      </c>
      <c r="C518" s="8" t="s">
        <v>320</v>
      </c>
      <c r="D518" t="s">
        <v>3924</v>
      </c>
      <c r="E518" t="str">
        <f t="shared" si="10"/>
        <v>SCHNEIDER_Classe 2_21351810 - Autres IGAAC : Clos et couvert</v>
      </c>
      <c r="F518" s="112" t="s">
        <v>3922</v>
      </c>
    </row>
    <row r="519" spans="1:6" x14ac:dyDescent="0.3">
      <c r="A519" t="s">
        <v>32</v>
      </c>
      <c r="B519" t="s">
        <v>96</v>
      </c>
      <c r="C519" s="8" t="s">
        <v>320</v>
      </c>
      <c r="D519" t="s">
        <v>40</v>
      </c>
      <c r="E519" t="str">
        <f t="shared" si="10"/>
        <v>SCHNEIDER_Classe 2_21351810 - Autres IGAAC : Clos et couvert</v>
      </c>
      <c r="F519" s="112" t="s">
        <v>3922</v>
      </c>
    </row>
    <row r="520" spans="1:6" x14ac:dyDescent="0.3">
      <c r="A520" t="s">
        <v>32</v>
      </c>
      <c r="B520" t="s">
        <v>96</v>
      </c>
      <c r="C520" s="8" t="s">
        <v>320</v>
      </c>
      <c r="D520" t="s">
        <v>41</v>
      </c>
      <c r="E520" t="str">
        <f t="shared" si="10"/>
        <v>SCHNEIDER_Classe 2_21351810 - Autres IGAAC : Clos et couvert</v>
      </c>
      <c r="F520" s="112" t="s">
        <v>3922</v>
      </c>
    </row>
    <row r="521" spans="1:6" x14ac:dyDescent="0.3">
      <c r="A521" t="s">
        <v>32</v>
      </c>
      <c r="B521" t="s">
        <v>96</v>
      </c>
      <c r="C521" s="8" t="s">
        <v>320</v>
      </c>
      <c r="D521" t="s">
        <v>3925</v>
      </c>
      <c r="E521" t="str">
        <f t="shared" si="10"/>
        <v>SCHNEIDER_Classe 2_21351810 - Autres IGAAC : Clos et couvert</v>
      </c>
      <c r="F521" s="112" t="s">
        <v>3922</v>
      </c>
    </row>
    <row r="522" spans="1:6" x14ac:dyDescent="0.3">
      <c r="A522" t="s">
        <v>32</v>
      </c>
      <c r="B522" t="s">
        <v>96</v>
      </c>
      <c r="C522" s="8" t="s">
        <v>320</v>
      </c>
      <c r="D522" t="s">
        <v>42</v>
      </c>
      <c r="E522" t="str">
        <f t="shared" si="10"/>
        <v>SCHNEIDER_Classe 2_21351810 - Autres IGAAC : Clos et couvert</v>
      </c>
      <c r="F522" s="112" t="s">
        <v>3921</v>
      </c>
    </row>
    <row r="523" spans="1:6" x14ac:dyDescent="0.3">
      <c r="A523" t="s">
        <v>32</v>
      </c>
      <c r="B523" t="s">
        <v>96</v>
      </c>
      <c r="C523" s="8" t="s">
        <v>320</v>
      </c>
      <c r="D523" t="s">
        <v>3926</v>
      </c>
      <c r="E523" t="str">
        <f t="shared" si="10"/>
        <v>SCHNEIDER_Classe 2_21351810 - Autres IGAAC : Clos et couvert</v>
      </c>
      <c r="F523" s="112" t="s">
        <v>3922</v>
      </c>
    </row>
    <row r="524" spans="1:6" x14ac:dyDescent="0.3">
      <c r="A524" t="s">
        <v>32</v>
      </c>
      <c r="B524" t="s">
        <v>96</v>
      </c>
      <c r="C524" s="8" t="s">
        <v>320</v>
      </c>
      <c r="D524" t="s">
        <v>43</v>
      </c>
      <c r="E524" t="str">
        <f t="shared" si="10"/>
        <v>SCHNEIDER_Classe 2_21351810 - Autres IGAAC : Clos et couvert</v>
      </c>
      <c r="F524" s="112" t="s">
        <v>3921</v>
      </c>
    </row>
    <row r="525" spans="1:6" x14ac:dyDescent="0.3">
      <c r="A525" t="s">
        <v>32</v>
      </c>
      <c r="B525" t="s">
        <v>96</v>
      </c>
      <c r="C525" s="8" t="s">
        <v>320</v>
      </c>
      <c r="D525" t="s">
        <v>1892</v>
      </c>
      <c r="E525" t="str">
        <f t="shared" si="10"/>
        <v>SCHNEIDER_Classe 2_21351810 - Autres IGAAC : Clos et couvert</v>
      </c>
      <c r="F525" s="112" t="s">
        <v>3921</v>
      </c>
    </row>
    <row r="526" spans="1:6" x14ac:dyDescent="0.3">
      <c r="A526" t="s">
        <v>32</v>
      </c>
      <c r="B526" t="s">
        <v>96</v>
      </c>
      <c r="C526" s="8" t="s">
        <v>320</v>
      </c>
      <c r="D526" t="s">
        <v>44</v>
      </c>
      <c r="E526" t="str">
        <f t="shared" ref="E526:E590" si="11">A526&amp;"_"&amp;B526&amp;"_"&amp;C526</f>
        <v>SCHNEIDER_Classe 2_21351810 - Autres IGAAC : Clos et couvert</v>
      </c>
      <c r="F526" s="112" t="s">
        <v>3922</v>
      </c>
    </row>
    <row r="527" spans="1:6" x14ac:dyDescent="0.3">
      <c r="A527" t="s">
        <v>32</v>
      </c>
      <c r="B527" t="s">
        <v>96</v>
      </c>
      <c r="C527" s="8" t="s">
        <v>320</v>
      </c>
      <c r="D527" t="s">
        <v>45</v>
      </c>
      <c r="E527" t="str">
        <f t="shared" si="11"/>
        <v>SCHNEIDER_Classe 2_21351810 - Autres IGAAC : Clos et couvert</v>
      </c>
      <c r="F527" s="112" t="s">
        <v>3921</v>
      </c>
    </row>
    <row r="528" spans="1:6" x14ac:dyDescent="0.3">
      <c r="A528" t="s">
        <v>32</v>
      </c>
      <c r="B528" t="s">
        <v>96</v>
      </c>
      <c r="C528" s="8" t="s">
        <v>320</v>
      </c>
      <c r="D528" t="s">
        <v>1039</v>
      </c>
      <c r="E528" t="str">
        <f t="shared" si="11"/>
        <v>SCHNEIDER_Classe 2_21351810 - Autres IGAAC : Clos et couvert</v>
      </c>
      <c r="F528" s="112" t="s">
        <v>3922</v>
      </c>
    </row>
    <row r="529" spans="1:6" x14ac:dyDescent="0.3">
      <c r="A529" t="s">
        <v>32</v>
      </c>
      <c r="B529" t="s">
        <v>96</v>
      </c>
      <c r="C529" s="8" t="s">
        <v>320</v>
      </c>
      <c r="D529" t="s">
        <v>46</v>
      </c>
      <c r="E529" t="str">
        <f t="shared" si="11"/>
        <v>SCHNEIDER_Classe 2_21351810 - Autres IGAAC : Clos et couvert</v>
      </c>
      <c r="F529" s="112" t="s">
        <v>3922</v>
      </c>
    </row>
    <row r="530" spans="1:6" x14ac:dyDescent="0.3">
      <c r="A530" t="s">
        <v>32</v>
      </c>
      <c r="B530" t="s">
        <v>96</v>
      </c>
      <c r="C530" s="8" t="s">
        <v>320</v>
      </c>
      <c r="D530" t="s">
        <v>3927</v>
      </c>
      <c r="E530" t="str">
        <f t="shared" si="11"/>
        <v>SCHNEIDER_Classe 2_21351810 - Autres IGAAC : Clos et couvert</v>
      </c>
      <c r="F530" s="112" t="s">
        <v>3921</v>
      </c>
    </row>
    <row r="531" spans="1:6" x14ac:dyDescent="0.3">
      <c r="A531" t="s">
        <v>32</v>
      </c>
      <c r="B531" t="s">
        <v>96</v>
      </c>
      <c r="C531" s="8" t="s">
        <v>320</v>
      </c>
      <c r="D531" t="s">
        <v>47</v>
      </c>
      <c r="E531" t="str">
        <f t="shared" si="11"/>
        <v>SCHNEIDER_Classe 2_21351810 - Autres IGAAC : Clos et couvert</v>
      </c>
      <c r="F531" s="112" t="s">
        <v>3922</v>
      </c>
    </row>
    <row r="532" spans="1:6" x14ac:dyDescent="0.3">
      <c r="A532" t="s">
        <v>32</v>
      </c>
      <c r="B532" t="s">
        <v>96</v>
      </c>
      <c r="C532" s="8" t="s">
        <v>320</v>
      </c>
      <c r="D532" t="s">
        <v>48</v>
      </c>
      <c r="E532" t="str">
        <f t="shared" si="11"/>
        <v>SCHNEIDER_Classe 2_21351810 - Autres IGAAC : Clos et couvert</v>
      </c>
      <c r="F532" s="112" t="s">
        <v>3921</v>
      </c>
    </row>
    <row r="533" spans="1:6" x14ac:dyDescent="0.3">
      <c r="A533" t="s">
        <v>32</v>
      </c>
      <c r="B533" t="s">
        <v>96</v>
      </c>
      <c r="C533" s="8" t="s">
        <v>320</v>
      </c>
      <c r="D533" t="s">
        <v>326</v>
      </c>
      <c r="E533" t="str">
        <f t="shared" si="11"/>
        <v>SCHNEIDER_Classe 2_21351810 - Autres IGAAC : Clos et couvert</v>
      </c>
      <c r="F533" s="112" t="s">
        <v>3922</v>
      </c>
    </row>
    <row r="534" spans="1:6" x14ac:dyDescent="0.3">
      <c r="A534" t="s">
        <v>32</v>
      </c>
      <c r="B534" t="s">
        <v>96</v>
      </c>
      <c r="C534" t="s">
        <v>320</v>
      </c>
      <c r="D534" t="s">
        <v>811</v>
      </c>
      <c r="E534" t="str">
        <f t="shared" si="11"/>
        <v>SCHNEIDER_Classe 2_21351810 - Autres IGAAC : Clos et couvert</v>
      </c>
      <c r="F534" s="112" t="s">
        <v>3921</v>
      </c>
    </row>
    <row r="535" spans="1:6" x14ac:dyDescent="0.3">
      <c r="A535" t="s">
        <v>32</v>
      </c>
      <c r="B535" t="s">
        <v>79</v>
      </c>
      <c r="C535" t="s">
        <v>182</v>
      </c>
      <c r="D535" t="s">
        <v>83</v>
      </c>
      <c r="E535" t="str">
        <f t="shared" si="11"/>
        <v>SCHNEIDER_Classe 6_615222 - Classe 6 Travaux Pôle</v>
      </c>
      <c r="F535" s="112" t="s">
        <v>3922</v>
      </c>
    </row>
    <row r="536" spans="1:6" x14ac:dyDescent="0.3">
      <c r="A536" t="s">
        <v>32</v>
      </c>
      <c r="B536" t="s">
        <v>79</v>
      </c>
      <c r="C536" t="s">
        <v>81</v>
      </c>
      <c r="D536" t="s">
        <v>83</v>
      </c>
      <c r="E536" t="str">
        <f t="shared" si="11"/>
        <v>SCHNEIDER_Classe 6_615223 - Classe 6 Travaux Hors Pôle</v>
      </c>
      <c r="F536" s="112" t="s">
        <v>3922</v>
      </c>
    </row>
    <row r="537" spans="1:6" x14ac:dyDescent="0.3">
      <c r="A537" t="s">
        <v>33</v>
      </c>
      <c r="B537" t="s">
        <v>79</v>
      </c>
      <c r="C537" t="s">
        <v>182</v>
      </c>
      <c r="D537" t="s">
        <v>83</v>
      </c>
      <c r="E537" t="str">
        <f t="shared" si="11"/>
        <v>SEA_Classe 6_615222 - Classe 6 Travaux Pôle</v>
      </c>
      <c r="F537" s="112" t="s">
        <v>3921</v>
      </c>
    </row>
    <row r="538" spans="1:6" x14ac:dyDescent="0.3">
      <c r="A538" t="s">
        <v>33</v>
      </c>
      <c r="B538" t="s">
        <v>79</v>
      </c>
      <c r="C538" t="s">
        <v>81</v>
      </c>
      <c r="D538" t="s">
        <v>83</v>
      </c>
      <c r="E538" t="str">
        <f t="shared" si="11"/>
        <v>SEA_Classe 6_615223 - Classe 6 Travaux Hors Pôle</v>
      </c>
      <c r="F538" s="112" t="s">
        <v>3922</v>
      </c>
    </row>
    <row r="539" spans="1:6" x14ac:dyDescent="0.3">
      <c r="A539" t="s">
        <v>769</v>
      </c>
      <c r="B539" t="s">
        <v>79</v>
      </c>
      <c r="C539" t="s">
        <v>182</v>
      </c>
      <c r="D539" t="s">
        <v>83</v>
      </c>
      <c r="E539" t="str">
        <f t="shared" si="11"/>
        <v>SERSYS_Classe 6_615222 - Classe 6 Travaux Pôle</v>
      </c>
      <c r="F539" s="112" t="s">
        <v>3921</v>
      </c>
    </row>
    <row r="540" spans="1:6" x14ac:dyDescent="0.3">
      <c r="A540" t="s">
        <v>769</v>
      </c>
      <c r="B540" t="s">
        <v>79</v>
      </c>
      <c r="C540" t="s">
        <v>81</v>
      </c>
      <c r="D540" t="s">
        <v>83</v>
      </c>
      <c r="E540" t="str">
        <f t="shared" si="11"/>
        <v>SERSYS_Classe 6_615223 - Classe 6 Travaux Hors Pôle</v>
      </c>
      <c r="F540" s="112" t="s">
        <v>3922</v>
      </c>
    </row>
    <row r="541" spans="1:6" x14ac:dyDescent="0.3">
      <c r="A541" t="s">
        <v>769</v>
      </c>
      <c r="B541" t="s">
        <v>79</v>
      </c>
      <c r="C541" s="8" t="s">
        <v>241</v>
      </c>
      <c r="D541" t="s">
        <v>644</v>
      </c>
      <c r="E541" t="str">
        <f t="shared" si="11"/>
        <v>SERSYS_Classe 6_6152582 - Classe 6 Maintenance Hors Forfait</v>
      </c>
      <c r="F541" s="112" t="s">
        <v>3922</v>
      </c>
    </row>
    <row r="542" spans="1:6" x14ac:dyDescent="0.3">
      <c r="A542" t="s">
        <v>34</v>
      </c>
      <c r="B542" t="s">
        <v>96</v>
      </c>
      <c r="C542" s="2" t="s">
        <v>1869</v>
      </c>
      <c r="D542" t="s">
        <v>1870</v>
      </c>
      <c r="E542" t="str">
        <f t="shared" si="11"/>
        <v>SNTPP_Classe 2_213518999 - Accessibilité EPSVE opération AD'AP</v>
      </c>
      <c r="F542" s="112" t="s">
        <v>3922</v>
      </c>
    </row>
    <row r="543" spans="1:6" x14ac:dyDescent="0.3">
      <c r="A543" t="s">
        <v>34</v>
      </c>
      <c r="B543" t="s">
        <v>96</v>
      </c>
      <c r="C543" t="s">
        <v>507</v>
      </c>
      <c r="D543" t="s">
        <v>3920</v>
      </c>
      <c r="E543" t="str">
        <f t="shared" si="11"/>
        <v>SNTPP_Classe 2_21531020 - Matériels de signalisation, infrastructures, voiries</v>
      </c>
      <c r="F543" s="112" t="s">
        <v>3922</v>
      </c>
    </row>
    <row r="544" spans="1:6" x14ac:dyDescent="0.3">
      <c r="A544" t="s">
        <v>34</v>
      </c>
      <c r="B544" t="s">
        <v>96</v>
      </c>
      <c r="C544" t="s">
        <v>507</v>
      </c>
      <c r="D544" t="s">
        <v>38</v>
      </c>
      <c r="E544" t="str">
        <f t="shared" si="11"/>
        <v>SNTPP_Classe 2_21531020 - Matériels de signalisation, infrastructures, voiries</v>
      </c>
      <c r="F544" s="112" t="s">
        <v>3922</v>
      </c>
    </row>
    <row r="545" spans="1:6" x14ac:dyDescent="0.3">
      <c r="A545" t="s">
        <v>34</v>
      </c>
      <c r="B545" t="s">
        <v>96</v>
      </c>
      <c r="C545" t="s">
        <v>507</v>
      </c>
      <c r="D545" t="s">
        <v>3923</v>
      </c>
      <c r="E545" t="str">
        <f t="shared" si="11"/>
        <v>SNTPP_Classe 2_21531020 - Matériels de signalisation, infrastructures, voiries</v>
      </c>
      <c r="F545" s="112" t="s">
        <v>3922</v>
      </c>
    </row>
    <row r="546" spans="1:6" x14ac:dyDescent="0.3">
      <c r="A546" t="s">
        <v>34</v>
      </c>
      <c r="B546" t="s">
        <v>96</v>
      </c>
      <c r="C546" t="s">
        <v>507</v>
      </c>
      <c r="D546" t="s">
        <v>170</v>
      </c>
      <c r="E546" t="str">
        <f t="shared" si="11"/>
        <v>SNTPP_Classe 2_21531020 - Matériels de signalisation, infrastructures, voiries</v>
      </c>
      <c r="F546" s="112" t="s">
        <v>3921</v>
      </c>
    </row>
    <row r="547" spans="1:6" x14ac:dyDescent="0.3">
      <c r="A547" t="s">
        <v>34</v>
      </c>
      <c r="B547" t="s">
        <v>96</v>
      </c>
      <c r="C547" t="s">
        <v>507</v>
      </c>
      <c r="D547" t="s">
        <v>39</v>
      </c>
      <c r="E547" t="str">
        <f t="shared" si="11"/>
        <v>SNTPP_Classe 2_21531020 - Matériels de signalisation, infrastructures, voiries</v>
      </c>
      <c r="F547" s="112" t="s">
        <v>3921</v>
      </c>
    </row>
    <row r="548" spans="1:6" x14ac:dyDescent="0.3">
      <c r="A548" t="s">
        <v>34</v>
      </c>
      <c r="B548" t="s">
        <v>96</v>
      </c>
      <c r="C548" t="s">
        <v>507</v>
      </c>
      <c r="D548" t="s">
        <v>3924</v>
      </c>
      <c r="E548" t="str">
        <f t="shared" si="11"/>
        <v>SNTPP_Classe 2_21531020 - Matériels de signalisation, infrastructures, voiries</v>
      </c>
      <c r="F548" s="112" t="s">
        <v>3922</v>
      </c>
    </row>
    <row r="549" spans="1:6" x14ac:dyDescent="0.3">
      <c r="A549" t="s">
        <v>34</v>
      </c>
      <c r="B549" t="s">
        <v>96</v>
      </c>
      <c r="C549" t="s">
        <v>507</v>
      </c>
      <c r="D549" t="s">
        <v>40</v>
      </c>
      <c r="E549" t="str">
        <f t="shared" si="11"/>
        <v>SNTPP_Classe 2_21531020 - Matériels de signalisation, infrastructures, voiries</v>
      </c>
      <c r="F549" s="112" t="s">
        <v>3921</v>
      </c>
    </row>
    <row r="550" spans="1:6" x14ac:dyDescent="0.3">
      <c r="A550" t="s">
        <v>34</v>
      </c>
      <c r="B550" t="s">
        <v>96</v>
      </c>
      <c r="C550" t="s">
        <v>507</v>
      </c>
      <c r="D550" t="s">
        <v>41</v>
      </c>
      <c r="E550" t="str">
        <f t="shared" si="11"/>
        <v>SNTPP_Classe 2_21531020 - Matériels de signalisation, infrastructures, voiries</v>
      </c>
      <c r="F550" s="112" t="s">
        <v>3921</v>
      </c>
    </row>
    <row r="551" spans="1:6" x14ac:dyDescent="0.3">
      <c r="A551" t="s">
        <v>34</v>
      </c>
      <c r="B551" t="s">
        <v>96</v>
      </c>
      <c r="C551" t="s">
        <v>507</v>
      </c>
      <c r="D551" t="s">
        <v>3925</v>
      </c>
      <c r="E551" t="str">
        <f t="shared" si="11"/>
        <v>SNTPP_Classe 2_21531020 - Matériels de signalisation, infrastructures, voiries</v>
      </c>
      <c r="F551" s="112" t="s">
        <v>3922</v>
      </c>
    </row>
    <row r="552" spans="1:6" x14ac:dyDescent="0.3">
      <c r="A552" t="s">
        <v>34</v>
      </c>
      <c r="B552" t="s">
        <v>96</v>
      </c>
      <c r="C552" t="s">
        <v>507</v>
      </c>
      <c r="D552" t="s">
        <v>42</v>
      </c>
      <c r="E552" t="str">
        <f t="shared" si="11"/>
        <v>SNTPP_Classe 2_21531020 - Matériels de signalisation, infrastructures, voiries</v>
      </c>
      <c r="F552" s="112" t="s">
        <v>3921</v>
      </c>
    </row>
    <row r="553" spans="1:6" x14ac:dyDescent="0.3">
      <c r="A553" t="s">
        <v>34</v>
      </c>
      <c r="B553" t="s">
        <v>96</v>
      </c>
      <c r="C553" t="s">
        <v>507</v>
      </c>
      <c r="D553" t="s">
        <v>3926</v>
      </c>
      <c r="E553" t="str">
        <f t="shared" si="11"/>
        <v>SNTPP_Classe 2_21531020 - Matériels de signalisation, infrastructures, voiries</v>
      </c>
      <c r="F553" s="112" t="s">
        <v>3922</v>
      </c>
    </row>
    <row r="554" spans="1:6" x14ac:dyDescent="0.3">
      <c r="A554" t="s">
        <v>34</v>
      </c>
      <c r="B554" t="s">
        <v>96</v>
      </c>
      <c r="C554" t="s">
        <v>507</v>
      </c>
      <c r="D554" t="s">
        <v>43</v>
      </c>
      <c r="E554" t="str">
        <f t="shared" si="11"/>
        <v>SNTPP_Classe 2_21531020 - Matériels de signalisation, infrastructures, voiries</v>
      </c>
      <c r="F554" s="112" t="s">
        <v>3922</v>
      </c>
    </row>
    <row r="555" spans="1:6" x14ac:dyDescent="0.3">
      <c r="A555" t="s">
        <v>34</v>
      </c>
      <c r="B555" t="s">
        <v>96</v>
      </c>
      <c r="C555" t="s">
        <v>507</v>
      </c>
      <c r="D555" t="s">
        <v>1892</v>
      </c>
      <c r="E555" t="str">
        <f t="shared" si="11"/>
        <v>SNTPP_Classe 2_21531020 - Matériels de signalisation, infrastructures, voiries</v>
      </c>
      <c r="F555" s="112" t="s">
        <v>3921</v>
      </c>
    </row>
    <row r="556" spans="1:6" x14ac:dyDescent="0.3">
      <c r="A556" t="s">
        <v>34</v>
      </c>
      <c r="B556" t="s">
        <v>96</v>
      </c>
      <c r="C556" t="s">
        <v>507</v>
      </c>
      <c r="D556" t="s">
        <v>44</v>
      </c>
      <c r="E556" t="str">
        <f t="shared" si="11"/>
        <v>SNTPP_Classe 2_21531020 - Matériels de signalisation, infrastructures, voiries</v>
      </c>
      <c r="F556" s="112" t="s">
        <v>3922</v>
      </c>
    </row>
    <row r="557" spans="1:6" x14ac:dyDescent="0.3">
      <c r="A557" t="s">
        <v>34</v>
      </c>
      <c r="B557" t="s">
        <v>96</v>
      </c>
      <c r="C557" t="s">
        <v>507</v>
      </c>
      <c r="D557" t="s">
        <v>45</v>
      </c>
      <c r="E557" t="str">
        <f t="shared" si="11"/>
        <v>SNTPP_Classe 2_21531020 - Matériels de signalisation, infrastructures, voiries</v>
      </c>
      <c r="F557" s="112" t="s">
        <v>3921</v>
      </c>
    </row>
    <row r="558" spans="1:6" x14ac:dyDescent="0.3">
      <c r="A558" t="s">
        <v>34</v>
      </c>
      <c r="B558" t="s">
        <v>96</v>
      </c>
      <c r="C558" t="s">
        <v>507</v>
      </c>
      <c r="D558" t="s">
        <v>1039</v>
      </c>
      <c r="E558" t="str">
        <f t="shared" si="11"/>
        <v>SNTPP_Classe 2_21531020 - Matériels de signalisation, infrastructures, voiries</v>
      </c>
      <c r="F558" s="112" t="s">
        <v>3922</v>
      </c>
    </row>
    <row r="559" spans="1:6" x14ac:dyDescent="0.3">
      <c r="A559" t="s">
        <v>34</v>
      </c>
      <c r="B559" t="s">
        <v>96</v>
      </c>
      <c r="C559" t="s">
        <v>507</v>
      </c>
      <c r="D559" t="s">
        <v>46</v>
      </c>
      <c r="E559" t="str">
        <f t="shared" si="11"/>
        <v>SNTPP_Classe 2_21531020 - Matériels de signalisation, infrastructures, voiries</v>
      </c>
      <c r="F559" s="112" t="s">
        <v>3921</v>
      </c>
    </row>
    <row r="560" spans="1:6" x14ac:dyDescent="0.3">
      <c r="A560" t="s">
        <v>34</v>
      </c>
      <c r="B560" t="s">
        <v>96</v>
      </c>
      <c r="C560" t="s">
        <v>507</v>
      </c>
      <c r="D560" t="s">
        <v>3927</v>
      </c>
      <c r="E560" t="str">
        <f t="shared" si="11"/>
        <v>SNTPP_Classe 2_21531020 - Matériels de signalisation, infrastructures, voiries</v>
      </c>
      <c r="F560" s="112" t="s">
        <v>3922</v>
      </c>
    </row>
    <row r="561" spans="1:6" x14ac:dyDescent="0.3">
      <c r="A561" t="s">
        <v>34</v>
      </c>
      <c r="B561" t="s">
        <v>96</v>
      </c>
      <c r="C561" t="s">
        <v>507</v>
      </c>
      <c r="D561" t="s">
        <v>47</v>
      </c>
      <c r="E561" t="str">
        <f t="shared" si="11"/>
        <v>SNTPP_Classe 2_21531020 - Matériels de signalisation, infrastructures, voiries</v>
      </c>
      <c r="F561" s="112" t="s">
        <v>3922</v>
      </c>
    </row>
    <row r="562" spans="1:6" x14ac:dyDescent="0.3">
      <c r="A562" t="s">
        <v>34</v>
      </c>
      <c r="B562" t="s">
        <v>96</v>
      </c>
      <c r="C562" t="s">
        <v>507</v>
      </c>
      <c r="D562" t="s">
        <v>48</v>
      </c>
      <c r="E562" t="str">
        <f t="shared" si="11"/>
        <v>SNTPP_Classe 2_21531020 - Matériels de signalisation, infrastructures, voiries</v>
      </c>
      <c r="F562" s="112" t="s">
        <v>3921</v>
      </c>
    </row>
    <row r="563" spans="1:6" x14ac:dyDescent="0.3">
      <c r="A563" t="s">
        <v>34</v>
      </c>
      <c r="B563" t="s">
        <v>96</v>
      </c>
      <c r="C563" t="s">
        <v>507</v>
      </c>
      <c r="D563" t="s">
        <v>224</v>
      </c>
      <c r="E563" t="str">
        <f t="shared" si="11"/>
        <v>SNTPP_Classe 2_21531020 - Matériels de signalisation, infrastructures, voiries</v>
      </c>
      <c r="F563" s="112" t="s">
        <v>3922</v>
      </c>
    </row>
    <row r="564" spans="1:6" x14ac:dyDescent="0.3">
      <c r="A564" t="s">
        <v>34</v>
      </c>
      <c r="B564" t="s">
        <v>96</v>
      </c>
      <c r="C564" t="s">
        <v>507</v>
      </c>
      <c r="D564" t="s">
        <v>706</v>
      </c>
      <c r="E564" t="str">
        <f t="shared" si="11"/>
        <v>SNTPP_Classe 2_21531020 - Matériels de signalisation, infrastructures, voiries</v>
      </c>
      <c r="F564" s="112" t="s">
        <v>3921</v>
      </c>
    </row>
    <row r="565" spans="1:6" x14ac:dyDescent="0.3">
      <c r="A565" t="s">
        <v>34</v>
      </c>
      <c r="B565" t="s">
        <v>79</v>
      </c>
      <c r="C565" t="s">
        <v>182</v>
      </c>
      <c r="D565" t="s">
        <v>83</v>
      </c>
      <c r="E565" t="str">
        <f t="shared" si="11"/>
        <v>SNTPP_Classe 6_615222 - Classe 6 Travaux Pôle</v>
      </c>
      <c r="F565" s="112" t="s">
        <v>3921</v>
      </c>
    </row>
    <row r="566" spans="1:6" x14ac:dyDescent="0.3">
      <c r="A566" t="s">
        <v>34</v>
      </c>
      <c r="B566" t="s">
        <v>79</v>
      </c>
      <c r="C566" t="s">
        <v>81</v>
      </c>
      <c r="D566" t="s">
        <v>83</v>
      </c>
      <c r="E566" t="str">
        <f t="shared" si="11"/>
        <v>SNTPP_Classe 6_615223 - Classe 6 Travaux Hors Pôle</v>
      </c>
      <c r="F566" s="112" t="s">
        <v>3922</v>
      </c>
    </row>
    <row r="567" spans="1:6" x14ac:dyDescent="0.3">
      <c r="A567" t="s">
        <v>1922</v>
      </c>
      <c r="B567" t="s">
        <v>79</v>
      </c>
      <c r="C567" t="s">
        <v>163</v>
      </c>
      <c r="D567" t="s">
        <v>3932</v>
      </c>
      <c r="E567" t="str">
        <f t="shared" si="11"/>
        <v>SOCOTEC_Classe 6_62884 - Classe 6 Autres presta diverses DPT (Vérif. Réglementaires)</v>
      </c>
      <c r="F567" s="112" t="s">
        <v>3922</v>
      </c>
    </row>
    <row r="568" spans="1:6" x14ac:dyDescent="0.3">
      <c r="A568" t="s">
        <v>35</v>
      </c>
      <c r="B568" t="s">
        <v>96</v>
      </c>
      <c r="C568" s="9" t="s">
        <v>175</v>
      </c>
      <c r="D568" t="s">
        <v>191</v>
      </c>
      <c r="E568" t="str">
        <f t="shared" si="11"/>
        <v>TBES_Classe 2_21351100 - IGAAC : Matériel électrique (CFO bâtiment)</v>
      </c>
      <c r="F568" s="112" t="s">
        <v>3922</v>
      </c>
    </row>
    <row r="569" spans="1:6" x14ac:dyDescent="0.3">
      <c r="A569" t="s">
        <v>35</v>
      </c>
      <c r="B569" t="s">
        <v>96</v>
      </c>
      <c r="C569" s="9" t="s">
        <v>175</v>
      </c>
      <c r="D569" t="s">
        <v>3920</v>
      </c>
      <c r="E569" t="str">
        <f t="shared" si="11"/>
        <v>TBES_Classe 2_21351100 - IGAAC : Matériel électrique (CFO bâtiment)</v>
      </c>
      <c r="F569" s="112" t="s">
        <v>3922</v>
      </c>
    </row>
    <row r="570" spans="1:6" x14ac:dyDescent="0.3">
      <c r="A570" t="s">
        <v>35</v>
      </c>
      <c r="B570" t="s">
        <v>96</v>
      </c>
      <c r="C570" s="9" t="s">
        <v>175</v>
      </c>
      <c r="D570" t="s">
        <v>38</v>
      </c>
      <c r="E570" t="str">
        <f t="shared" si="11"/>
        <v>TBES_Classe 2_21351100 - IGAAC : Matériel électrique (CFO bâtiment)</v>
      </c>
      <c r="F570" s="112" t="s">
        <v>3921</v>
      </c>
    </row>
    <row r="571" spans="1:6" x14ac:dyDescent="0.3">
      <c r="A571" t="s">
        <v>35</v>
      </c>
      <c r="B571" t="s">
        <v>96</v>
      </c>
      <c r="C571" s="9" t="s">
        <v>175</v>
      </c>
      <c r="D571" t="s">
        <v>3923</v>
      </c>
      <c r="E571" t="str">
        <f t="shared" si="11"/>
        <v>TBES_Classe 2_21351100 - IGAAC : Matériel électrique (CFO bâtiment)</v>
      </c>
      <c r="F571" s="112" t="s">
        <v>3922</v>
      </c>
    </row>
    <row r="572" spans="1:6" x14ac:dyDescent="0.3">
      <c r="A572" t="s">
        <v>35</v>
      </c>
      <c r="B572" t="s">
        <v>96</v>
      </c>
      <c r="C572" s="9" t="s">
        <v>175</v>
      </c>
      <c r="D572" t="s">
        <v>170</v>
      </c>
      <c r="E572" t="str">
        <f t="shared" si="11"/>
        <v>TBES_Classe 2_21351100 - IGAAC : Matériel électrique (CFO bâtiment)</v>
      </c>
      <c r="F572" s="112" t="s">
        <v>3921</v>
      </c>
    </row>
    <row r="573" spans="1:6" x14ac:dyDescent="0.3">
      <c r="A573" t="s">
        <v>35</v>
      </c>
      <c r="B573" t="s">
        <v>96</v>
      </c>
      <c r="C573" s="9" t="s">
        <v>175</v>
      </c>
      <c r="D573" t="s">
        <v>39</v>
      </c>
      <c r="E573" t="str">
        <f t="shared" si="11"/>
        <v>TBES_Classe 2_21351100 - IGAAC : Matériel électrique (CFO bâtiment)</v>
      </c>
      <c r="F573" s="112" t="s">
        <v>3921</v>
      </c>
    </row>
    <row r="574" spans="1:6" x14ac:dyDescent="0.3">
      <c r="A574" t="s">
        <v>35</v>
      </c>
      <c r="B574" t="s">
        <v>96</v>
      </c>
      <c r="C574" s="9" t="s">
        <v>175</v>
      </c>
      <c r="D574" t="s">
        <v>3924</v>
      </c>
      <c r="E574" t="str">
        <f t="shared" si="11"/>
        <v>TBES_Classe 2_21351100 - IGAAC : Matériel électrique (CFO bâtiment)</v>
      </c>
      <c r="F574" s="112" t="s">
        <v>3922</v>
      </c>
    </row>
    <row r="575" spans="1:6" x14ac:dyDescent="0.3">
      <c r="A575" t="s">
        <v>35</v>
      </c>
      <c r="B575" t="s">
        <v>96</v>
      </c>
      <c r="C575" s="9" t="s">
        <v>175</v>
      </c>
      <c r="D575" t="s">
        <v>40</v>
      </c>
      <c r="E575" t="str">
        <f t="shared" si="11"/>
        <v>TBES_Classe 2_21351100 - IGAAC : Matériel électrique (CFO bâtiment)</v>
      </c>
      <c r="F575" s="112" t="s">
        <v>3921</v>
      </c>
    </row>
    <row r="576" spans="1:6" x14ac:dyDescent="0.3">
      <c r="A576" t="s">
        <v>35</v>
      </c>
      <c r="B576" t="s">
        <v>96</v>
      </c>
      <c r="C576" s="9" t="s">
        <v>175</v>
      </c>
      <c r="D576" t="s">
        <v>41</v>
      </c>
      <c r="E576" t="str">
        <f t="shared" si="11"/>
        <v>TBES_Classe 2_21351100 - IGAAC : Matériel électrique (CFO bâtiment)</v>
      </c>
      <c r="F576" s="112" t="s">
        <v>3922</v>
      </c>
    </row>
    <row r="577" spans="1:6" x14ac:dyDescent="0.3">
      <c r="A577" t="s">
        <v>35</v>
      </c>
      <c r="B577" t="s">
        <v>96</v>
      </c>
      <c r="C577" s="9" t="s">
        <v>175</v>
      </c>
      <c r="D577" t="s">
        <v>3925</v>
      </c>
      <c r="E577" t="str">
        <f>A577&amp;"_"&amp;B577&amp;"_"&amp;C577</f>
        <v>TBES_Classe 2_21351100 - IGAAC : Matériel électrique (CFO bâtiment)</v>
      </c>
      <c r="F577" s="112" t="s">
        <v>3922</v>
      </c>
    </row>
    <row r="578" spans="1:6" x14ac:dyDescent="0.3">
      <c r="A578" t="s">
        <v>35</v>
      </c>
      <c r="B578" t="s">
        <v>96</v>
      </c>
      <c r="C578" s="9" t="s">
        <v>175</v>
      </c>
      <c r="D578" t="s">
        <v>42</v>
      </c>
      <c r="E578" t="str">
        <f t="shared" si="11"/>
        <v>TBES_Classe 2_21351100 - IGAAC : Matériel électrique (CFO bâtiment)</v>
      </c>
      <c r="F578" s="112" t="s">
        <v>3921</v>
      </c>
    </row>
    <row r="579" spans="1:6" x14ac:dyDescent="0.3">
      <c r="A579" t="s">
        <v>35</v>
      </c>
      <c r="B579" t="s">
        <v>96</v>
      </c>
      <c r="C579" s="9" t="s">
        <v>175</v>
      </c>
      <c r="D579" t="s">
        <v>3926</v>
      </c>
      <c r="E579" t="str">
        <f t="shared" si="11"/>
        <v>TBES_Classe 2_21351100 - IGAAC : Matériel électrique (CFO bâtiment)</v>
      </c>
      <c r="F579" s="112" t="s">
        <v>3922</v>
      </c>
    </row>
    <row r="580" spans="1:6" x14ac:dyDescent="0.3">
      <c r="A580" t="s">
        <v>35</v>
      </c>
      <c r="B580" t="s">
        <v>96</v>
      </c>
      <c r="C580" s="9" t="s">
        <v>175</v>
      </c>
      <c r="D580" t="s">
        <v>43</v>
      </c>
      <c r="E580" t="str">
        <f t="shared" si="11"/>
        <v>TBES_Classe 2_21351100 - IGAAC : Matériel électrique (CFO bâtiment)</v>
      </c>
      <c r="F580" s="112" t="s">
        <v>3921</v>
      </c>
    </row>
    <row r="581" spans="1:6" x14ac:dyDescent="0.3">
      <c r="A581" t="s">
        <v>35</v>
      </c>
      <c r="B581" t="s">
        <v>96</v>
      </c>
      <c r="C581" s="9" t="s">
        <v>175</v>
      </c>
      <c r="D581" t="s">
        <v>1892</v>
      </c>
      <c r="E581" t="str">
        <f t="shared" si="11"/>
        <v>TBES_Classe 2_21351100 - IGAAC : Matériel électrique (CFO bâtiment)</v>
      </c>
      <c r="F581" s="112" t="s">
        <v>3922</v>
      </c>
    </row>
    <row r="582" spans="1:6" x14ac:dyDescent="0.3">
      <c r="A582" t="s">
        <v>35</v>
      </c>
      <c r="B582" t="s">
        <v>96</v>
      </c>
      <c r="C582" s="9" t="s">
        <v>175</v>
      </c>
      <c r="D582" t="s">
        <v>44</v>
      </c>
      <c r="E582" t="str">
        <f t="shared" si="11"/>
        <v>TBES_Classe 2_21351100 - IGAAC : Matériel électrique (CFO bâtiment)</v>
      </c>
      <c r="F582" s="112" t="s">
        <v>3921</v>
      </c>
    </row>
    <row r="583" spans="1:6" x14ac:dyDescent="0.3">
      <c r="A583" t="s">
        <v>35</v>
      </c>
      <c r="B583" t="s">
        <v>96</v>
      </c>
      <c r="C583" s="9" t="s">
        <v>175</v>
      </c>
      <c r="D583" t="s">
        <v>45</v>
      </c>
      <c r="E583" t="str">
        <f t="shared" si="11"/>
        <v>TBES_Classe 2_21351100 - IGAAC : Matériel électrique (CFO bâtiment)</v>
      </c>
      <c r="F583" s="112" t="s">
        <v>3922</v>
      </c>
    </row>
    <row r="584" spans="1:6" x14ac:dyDescent="0.3">
      <c r="A584" t="s">
        <v>35</v>
      </c>
      <c r="B584" t="s">
        <v>96</v>
      </c>
      <c r="C584" s="9" t="s">
        <v>175</v>
      </c>
      <c r="D584" t="s">
        <v>1039</v>
      </c>
      <c r="E584" t="str">
        <f t="shared" si="11"/>
        <v>TBES_Classe 2_21351100 - IGAAC : Matériel électrique (CFO bâtiment)</v>
      </c>
      <c r="F584" s="112" t="s">
        <v>3922</v>
      </c>
    </row>
    <row r="585" spans="1:6" x14ac:dyDescent="0.3">
      <c r="A585" t="s">
        <v>35</v>
      </c>
      <c r="B585" t="s">
        <v>96</v>
      </c>
      <c r="C585" s="9" t="s">
        <v>175</v>
      </c>
      <c r="D585" t="s">
        <v>46</v>
      </c>
      <c r="E585" t="str">
        <f t="shared" si="11"/>
        <v>TBES_Classe 2_21351100 - IGAAC : Matériel électrique (CFO bâtiment)</v>
      </c>
      <c r="F585" s="112" t="s">
        <v>3921</v>
      </c>
    </row>
    <row r="586" spans="1:6" x14ac:dyDescent="0.3">
      <c r="A586" t="s">
        <v>35</v>
      </c>
      <c r="B586" t="s">
        <v>96</v>
      </c>
      <c r="C586" s="9" t="s">
        <v>175</v>
      </c>
      <c r="D586" t="s">
        <v>3927</v>
      </c>
      <c r="E586" t="str">
        <f t="shared" si="11"/>
        <v>TBES_Classe 2_21351100 - IGAAC : Matériel électrique (CFO bâtiment)</v>
      </c>
      <c r="F586" s="112" t="s">
        <v>3922</v>
      </c>
    </row>
    <row r="587" spans="1:6" x14ac:dyDescent="0.3">
      <c r="A587" t="s">
        <v>35</v>
      </c>
      <c r="B587" t="s">
        <v>96</v>
      </c>
      <c r="C587" t="s">
        <v>175</v>
      </c>
      <c r="D587" t="s">
        <v>176</v>
      </c>
      <c r="E587" t="str">
        <f t="shared" si="11"/>
        <v>TBES_Classe 2_21351100 - IGAAC : Matériel électrique (CFO bâtiment)</v>
      </c>
      <c r="F587" s="112" t="s">
        <v>3921</v>
      </c>
    </row>
    <row r="588" spans="1:6" x14ac:dyDescent="0.3">
      <c r="A588" t="s">
        <v>35</v>
      </c>
      <c r="B588" t="s">
        <v>96</v>
      </c>
      <c r="C588" s="9" t="s">
        <v>175</v>
      </c>
      <c r="D588" t="s">
        <v>47</v>
      </c>
      <c r="E588" t="str">
        <f t="shared" si="11"/>
        <v>TBES_Classe 2_21351100 - IGAAC : Matériel électrique (CFO bâtiment)</v>
      </c>
      <c r="F588" s="112" t="s">
        <v>3922</v>
      </c>
    </row>
    <row r="589" spans="1:6" x14ac:dyDescent="0.3">
      <c r="A589" t="s">
        <v>35</v>
      </c>
      <c r="B589" t="s">
        <v>96</v>
      </c>
      <c r="C589" s="9" t="s">
        <v>175</v>
      </c>
      <c r="D589" t="s">
        <v>48</v>
      </c>
      <c r="E589" t="str">
        <f t="shared" si="11"/>
        <v>TBES_Classe 2_21351100 - IGAAC : Matériel électrique (CFO bâtiment)</v>
      </c>
      <c r="F589" s="112" t="s">
        <v>3922</v>
      </c>
    </row>
    <row r="590" spans="1:6" x14ac:dyDescent="0.3">
      <c r="A590" t="s">
        <v>35</v>
      </c>
      <c r="B590" t="s">
        <v>96</v>
      </c>
      <c r="C590" t="s">
        <v>175</v>
      </c>
      <c r="D590" t="s">
        <v>1993</v>
      </c>
      <c r="E590" t="str">
        <f t="shared" si="11"/>
        <v>TBES_Classe 2_21351100 - IGAAC : Matériel électrique (CFO bâtiment)</v>
      </c>
      <c r="F590" s="112" t="s">
        <v>3922</v>
      </c>
    </row>
    <row r="591" spans="1:6" x14ac:dyDescent="0.3">
      <c r="A591" t="s">
        <v>35</v>
      </c>
      <c r="B591" t="s">
        <v>96</v>
      </c>
      <c r="C591" t="s">
        <v>175</v>
      </c>
      <c r="D591" t="s">
        <v>1320</v>
      </c>
      <c r="E591" t="str">
        <f t="shared" ref="E591:E641" si="12">A591&amp;"_"&amp;B591&amp;"_"&amp;C591</f>
        <v>TBES_Classe 2_21351100 - IGAAC : Matériel électrique (CFO bâtiment)</v>
      </c>
      <c r="F591" s="112" t="s">
        <v>3922</v>
      </c>
    </row>
    <row r="592" spans="1:6" x14ac:dyDescent="0.3">
      <c r="A592" t="s">
        <v>35</v>
      </c>
      <c r="B592" t="s">
        <v>96</v>
      </c>
      <c r="C592" t="s">
        <v>175</v>
      </c>
      <c r="D592" t="s">
        <v>2610</v>
      </c>
      <c r="E592" t="str">
        <f t="shared" si="12"/>
        <v>TBES_Classe 2_21351100 - IGAAC : Matériel électrique (CFO bâtiment)</v>
      </c>
      <c r="F592" s="112" t="s">
        <v>3922</v>
      </c>
    </row>
    <row r="593" spans="1:6" x14ac:dyDescent="0.3">
      <c r="A593" t="s">
        <v>35</v>
      </c>
      <c r="B593" t="s">
        <v>96</v>
      </c>
      <c r="C593" t="s">
        <v>175</v>
      </c>
      <c r="D593" t="s">
        <v>3277</v>
      </c>
      <c r="E593" t="str">
        <f t="shared" si="12"/>
        <v>TBES_Classe 2_21351100 - IGAAC : Matériel électrique (CFO bâtiment)</v>
      </c>
      <c r="F593" s="112" t="s">
        <v>3922</v>
      </c>
    </row>
    <row r="594" spans="1:6" x14ac:dyDescent="0.3">
      <c r="A594" t="s">
        <v>35</v>
      </c>
      <c r="B594" t="s">
        <v>96</v>
      </c>
      <c r="C594" s="9" t="s">
        <v>1422</v>
      </c>
      <c r="D594" t="s">
        <v>3920</v>
      </c>
      <c r="E594" t="str">
        <f t="shared" si="12"/>
        <v>TBES_Classe 2_21351200 - IGAAC : Matériel téléphonique-informatique-alarmes-videosurveillance (CFA bâtiment)</v>
      </c>
      <c r="F594" s="112" t="s">
        <v>3922</v>
      </c>
    </row>
    <row r="595" spans="1:6" x14ac:dyDescent="0.3">
      <c r="A595" t="s">
        <v>35</v>
      </c>
      <c r="B595" t="s">
        <v>96</v>
      </c>
      <c r="C595" s="9" t="s">
        <v>1422</v>
      </c>
      <c r="D595" t="s">
        <v>38</v>
      </c>
      <c r="E595" t="str">
        <f t="shared" si="12"/>
        <v>TBES_Classe 2_21351200 - IGAAC : Matériel téléphonique-informatique-alarmes-videosurveillance (CFA bâtiment)</v>
      </c>
      <c r="F595" s="112" t="s">
        <v>3922</v>
      </c>
    </row>
    <row r="596" spans="1:6" x14ac:dyDescent="0.3">
      <c r="A596" t="s">
        <v>35</v>
      </c>
      <c r="B596" t="s">
        <v>96</v>
      </c>
      <c r="C596" s="9" t="s">
        <v>1422</v>
      </c>
      <c r="D596" t="s">
        <v>3923</v>
      </c>
      <c r="E596" t="str">
        <f t="shared" si="12"/>
        <v>TBES_Classe 2_21351200 - IGAAC : Matériel téléphonique-informatique-alarmes-videosurveillance (CFA bâtiment)</v>
      </c>
      <c r="F596" s="112" t="s">
        <v>3921</v>
      </c>
    </row>
    <row r="597" spans="1:6" x14ac:dyDescent="0.3">
      <c r="A597" t="s">
        <v>35</v>
      </c>
      <c r="B597" t="s">
        <v>96</v>
      </c>
      <c r="C597" s="9" t="s">
        <v>1422</v>
      </c>
      <c r="D597" t="s">
        <v>170</v>
      </c>
      <c r="E597" t="str">
        <f t="shared" si="12"/>
        <v>TBES_Classe 2_21351200 - IGAAC : Matériel téléphonique-informatique-alarmes-videosurveillance (CFA bâtiment)</v>
      </c>
      <c r="F597" s="112" t="s">
        <v>3922</v>
      </c>
    </row>
    <row r="598" spans="1:6" x14ac:dyDescent="0.3">
      <c r="A598" t="s">
        <v>35</v>
      </c>
      <c r="B598" t="s">
        <v>96</v>
      </c>
      <c r="C598" s="9" t="s">
        <v>1422</v>
      </c>
      <c r="D598" t="s">
        <v>39</v>
      </c>
      <c r="E598" t="str">
        <f t="shared" si="12"/>
        <v>TBES_Classe 2_21351200 - IGAAC : Matériel téléphonique-informatique-alarmes-videosurveillance (CFA bâtiment)</v>
      </c>
      <c r="F598" s="112" t="s">
        <v>3921</v>
      </c>
    </row>
    <row r="599" spans="1:6" x14ac:dyDescent="0.3">
      <c r="A599" t="s">
        <v>35</v>
      </c>
      <c r="B599" t="s">
        <v>96</v>
      </c>
      <c r="C599" s="9" t="s">
        <v>1422</v>
      </c>
      <c r="D599" t="s">
        <v>3924</v>
      </c>
      <c r="E599" t="str">
        <f t="shared" si="12"/>
        <v>TBES_Classe 2_21351200 - IGAAC : Matériel téléphonique-informatique-alarmes-videosurveillance (CFA bâtiment)</v>
      </c>
      <c r="F599" s="112" t="s">
        <v>3921</v>
      </c>
    </row>
    <row r="600" spans="1:6" x14ac:dyDescent="0.3">
      <c r="A600" t="s">
        <v>35</v>
      </c>
      <c r="B600" t="s">
        <v>96</v>
      </c>
      <c r="C600" s="9" t="s">
        <v>1422</v>
      </c>
      <c r="D600" t="s">
        <v>40</v>
      </c>
      <c r="E600" t="str">
        <f t="shared" si="12"/>
        <v>TBES_Classe 2_21351200 - IGAAC : Matériel téléphonique-informatique-alarmes-videosurveillance (CFA bâtiment)</v>
      </c>
      <c r="F600" s="112" t="s">
        <v>3922</v>
      </c>
    </row>
    <row r="601" spans="1:6" x14ac:dyDescent="0.3">
      <c r="A601" t="s">
        <v>35</v>
      </c>
      <c r="B601" t="s">
        <v>96</v>
      </c>
      <c r="C601" s="9" t="s">
        <v>1422</v>
      </c>
      <c r="D601" t="s">
        <v>41</v>
      </c>
      <c r="E601" t="str">
        <f t="shared" si="12"/>
        <v>TBES_Classe 2_21351200 - IGAAC : Matériel téléphonique-informatique-alarmes-videosurveillance (CFA bâtiment)</v>
      </c>
      <c r="F601" s="112" t="s">
        <v>3921</v>
      </c>
    </row>
    <row r="602" spans="1:6" x14ac:dyDescent="0.3">
      <c r="A602" t="s">
        <v>35</v>
      </c>
      <c r="B602" t="s">
        <v>96</v>
      </c>
      <c r="C602" s="9" t="s">
        <v>1422</v>
      </c>
      <c r="D602" t="s">
        <v>3925</v>
      </c>
      <c r="E602" t="str">
        <f t="shared" si="12"/>
        <v>TBES_Classe 2_21351200 - IGAAC : Matériel téléphonique-informatique-alarmes-videosurveillance (CFA bâtiment)</v>
      </c>
      <c r="F602" s="112" t="s">
        <v>3922</v>
      </c>
    </row>
    <row r="603" spans="1:6" x14ac:dyDescent="0.3">
      <c r="A603" t="s">
        <v>35</v>
      </c>
      <c r="B603" t="s">
        <v>96</v>
      </c>
      <c r="C603" s="9" t="s">
        <v>1422</v>
      </c>
      <c r="D603" t="s">
        <v>42</v>
      </c>
      <c r="E603" t="str">
        <f t="shared" si="12"/>
        <v>TBES_Classe 2_21351200 - IGAAC : Matériel téléphonique-informatique-alarmes-videosurveillance (CFA bâtiment)</v>
      </c>
      <c r="F603" s="112" t="s">
        <v>3922</v>
      </c>
    </row>
    <row r="604" spans="1:6" x14ac:dyDescent="0.3">
      <c r="A604" t="s">
        <v>35</v>
      </c>
      <c r="B604" t="s">
        <v>96</v>
      </c>
      <c r="C604" s="9" t="s">
        <v>1422</v>
      </c>
      <c r="D604" t="s">
        <v>3926</v>
      </c>
      <c r="E604" t="str">
        <f t="shared" si="12"/>
        <v>TBES_Classe 2_21351200 - IGAAC : Matériel téléphonique-informatique-alarmes-videosurveillance (CFA bâtiment)</v>
      </c>
      <c r="F604" s="112" t="s">
        <v>3921</v>
      </c>
    </row>
    <row r="605" spans="1:6" x14ac:dyDescent="0.3">
      <c r="A605" t="s">
        <v>35</v>
      </c>
      <c r="B605" t="s">
        <v>96</v>
      </c>
      <c r="C605" s="9" t="s">
        <v>1422</v>
      </c>
      <c r="D605" t="s">
        <v>43</v>
      </c>
      <c r="E605" t="str">
        <f t="shared" si="12"/>
        <v>TBES_Classe 2_21351200 - IGAAC : Matériel téléphonique-informatique-alarmes-videosurveillance (CFA bâtiment)</v>
      </c>
      <c r="F605" s="112" t="s">
        <v>3922</v>
      </c>
    </row>
    <row r="606" spans="1:6" x14ac:dyDescent="0.3">
      <c r="A606" t="s">
        <v>35</v>
      </c>
      <c r="B606" t="s">
        <v>96</v>
      </c>
      <c r="C606" s="9" t="s">
        <v>1422</v>
      </c>
      <c r="D606" t="s">
        <v>1892</v>
      </c>
      <c r="E606" t="str">
        <f t="shared" si="12"/>
        <v>TBES_Classe 2_21351200 - IGAAC : Matériel téléphonique-informatique-alarmes-videosurveillance (CFA bâtiment)</v>
      </c>
      <c r="F606" s="112" t="s">
        <v>3921</v>
      </c>
    </row>
    <row r="607" spans="1:6" x14ac:dyDescent="0.3">
      <c r="A607" t="s">
        <v>35</v>
      </c>
      <c r="B607" t="s">
        <v>96</v>
      </c>
      <c r="C607" s="9" t="s">
        <v>1422</v>
      </c>
      <c r="D607" t="s">
        <v>44</v>
      </c>
      <c r="E607" t="str">
        <f t="shared" si="12"/>
        <v>TBES_Classe 2_21351200 - IGAAC : Matériel téléphonique-informatique-alarmes-videosurveillance (CFA bâtiment)</v>
      </c>
      <c r="F607" s="112" t="s">
        <v>3922</v>
      </c>
    </row>
    <row r="608" spans="1:6" x14ac:dyDescent="0.3">
      <c r="A608" t="s">
        <v>35</v>
      </c>
      <c r="B608" t="s">
        <v>96</v>
      </c>
      <c r="C608" s="9" t="s">
        <v>1422</v>
      </c>
      <c r="D608" t="s">
        <v>45</v>
      </c>
      <c r="E608" t="str">
        <f t="shared" si="12"/>
        <v>TBES_Classe 2_21351200 - IGAAC : Matériel téléphonique-informatique-alarmes-videosurveillance (CFA bâtiment)</v>
      </c>
      <c r="F608" s="112" t="s">
        <v>3921</v>
      </c>
    </row>
    <row r="609" spans="1:6" x14ac:dyDescent="0.3">
      <c r="A609" t="s">
        <v>35</v>
      </c>
      <c r="B609" t="s">
        <v>96</v>
      </c>
      <c r="C609" s="9" t="s">
        <v>1422</v>
      </c>
      <c r="D609" t="s">
        <v>1039</v>
      </c>
      <c r="E609" t="str">
        <f t="shared" si="12"/>
        <v>TBES_Classe 2_21351200 - IGAAC : Matériel téléphonique-informatique-alarmes-videosurveillance (CFA bâtiment)</v>
      </c>
      <c r="F609" s="112" t="s">
        <v>3922</v>
      </c>
    </row>
    <row r="610" spans="1:6" x14ac:dyDescent="0.3">
      <c r="A610" t="s">
        <v>35</v>
      </c>
      <c r="B610" t="s">
        <v>96</v>
      </c>
      <c r="C610" s="9" t="s">
        <v>1422</v>
      </c>
      <c r="D610" t="s">
        <v>46</v>
      </c>
      <c r="E610" t="str">
        <f t="shared" si="12"/>
        <v>TBES_Classe 2_21351200 - IGAAC : Matériel téléphonique-informatique-alarmes-videosurveillance (CFA bâtiment)</v>
      </c>
      <c r="F610" s="112" t="s">
        <v>3922</v>
      </c>
    </row>
    <row r="611" spans="1:6" x14ac:dyDescent="0.3">
      <c r="A611" t="s">
        <v>35</v>
      </c>
      <c r="B611" t="s">
        <v>96</v>
      </c>
      <c r="C611" s="9" t="s">
        <v>1422</v>
      </c>
      <c r="D611" t="s">
        <v>3927</v>
      </c>
      <c r="E611" t="str">
        <f t="shared" si="12"/>
        <v>TBES_Classe 2_21351200 - IGAAC : Matériel téléphonique-informatique-alarmes-videosurveillance (CFA bâtiment)</v>
      </c>
      <c r="F611" s="112" t="s">
        <v>3921</v>
      </c>
    </row>
    <row r="612" spans="1:6" x14ac:dyDescent="0.3">
      <c r="A612" t="s">
        <v>35</v>
      </c>
      <c r="B612" t="s">
        <v>96</v>
      </c>
      <c r="C612" s="9" t="s">
        <v>1422</v>
      </c>
      <c r="D612" t="s">
        <v>47</v>
      </c>
      <c r="E612" t="str">
        <f t="shared" si="12"/>
        <v>TBES_Classe 2_21351200 - IGAAC : Matériel téléphonique-informatique-alarmes-videosurveillance (CFA bâtiment)</v>
      </c>
      <c r="F612" s="112" t="s">
        <v>3922</v>
      </c>
    </row>
    <row r="613" spans="1:6" x14ac:dyDescent="0.3">
      <c r="A613" t="s">
        <v>35</v>
      </c>
      <c r="B613" t="s">
        <v>96</v>
      </c>
      <c r="C613" s="9" t="s">
        <v>1422</v>
      </c>
      <c r="D613" t="s">
        <v>48</v>
      </c>
      <c r="E613" t="str">
        <f t="shared" si="12"/>
        <v>TBES_Classe 2_21351200 - IGAAC : Matériel téléphonique-informatique-alarmes-videosurveillance (CFA bâtiment)</v>
      </c>
      <c r="F613" s="112" t="s">
        <v>3921</v>
      </c>
    </row>
    <row r="614" spans="1:6" x14ac:dyDescent="0.3">
      <c r="A614" t="s">
        <v>35</v>
      </c>
      <c r="B614" t="s">
        <v>96</v>
      </c>
      <c r="C614" t="s">
        <v>1422</v>
      </c>
      <c r="D614" t="s">
        <v>1423</v>
      </c>
      <c r="E614" t="str">
        <f t="shared" si="12"/>
        <v>TBES_Classe 2_21351200 - IGAAC : Matériel téléphonique-informatique-alarmes-videosurveillance (CFA bâtiment)</v>
      </c>
      <c r="F614" s="112" t="s">
        <v>3922</v>
      </c>
    </row>
    <row r="615" spans="1:6" x14ac:dyDescent="0.3">
      <c r="A615" t="s">
        <v>35</v>
      </c>
      <c r="B615" t="s">
        <v>96</v>
      </c>
      <c r="C615" t="s">
        <v>1422</v>
      </c>
      <c r="D615" t="s">
        <v>2252</v>
      </c>
      <c r="E615" t="str">
        <f t="shared" si="12"/>
        <v>TBES_Classe 2_21351200 - IGAAC : Matériel téléphonique-informatique-alarmes-videosurveillance (CFA bâtiment)</v>
      </c>
      <c r="F615" s="112" t="s">
        <v>3922</v>
      </c>
    </row>
    <row r="616" spans="1:6" x14ac:dyDescent="0.3">
      <c r="A616" t="s">
        <v>35</v>
      </c>
      <c r="B616" t="s">
        <v>96</v>
      </c>
      <c r="C616" t="s">
        <v>1029</v>
      </c>
      <c r="D616" t="s">
        <v>1670</v>
      </c>
      <c r="E616" t="str">
        <f t="shared" si="12"/>
        <v>TBES_Classe 2_21351400 - IGAAC : Installations chauffage (chauff bâtiment)</v>
      </c>
      <c r="F616" s="112" t="s">
        <v>3922</v>
      </c>
    </row>
    <row r="617" spans="1:6" x14ac:dyDescent="0.3">
      <c r="A617" t="s">
        <v>35</v>
      </c>
      <c r="B617" t="s">
        <v>96</v>
      </c>
      <c r="C617" t="s">
        <v>288</v>
      </c>
      <c r="D617" t="s">
        <v>3933</v>
      </c>
      <c r="E617" t="str">
        <f t="shared" si="12"/>
        <v>TBES_Classe 2_21351820 - Autres IGAAC : Petits travaux et agencement</v>
      </c>
      <c r="F617" s="112" t="s">
        <v>3922</v>
      </c>
    </row>
    <row r="618" spans="1:6" x14ac:dyDescent="0.3">
      <c r="A618" t="s">
        <v>35</v>
      </c>
      <c r="B618" t="s">
        <v>96</v>
      </c>
      <c r="C618" t="s">
        <v>288</v>
      </c>
      <c r="D618" t="s">
        <v>3934</v>
      </c>
      <c r="E618" t="str">
        <f t="shared" si="12"/>
        <v>TBES_Classe 2_21351820 - Autres IGAAC : Petits travaux et agencement</v>
      </c>
      <c r="F618" s="112" t="s">
        <v>3922</v>
      </c>
    </row>
    <row r="619" spans="1:6" x14ac:dyDescent="0.3">
      <c r="A619" t="s">
        <v>35</v>
      </c>
      <c r="B619" t="s">
        <v>96</v>
      </c>
      <c r="C619" t="s">
        <v>288</v>
      </c>
      <c r="D619" t="s">
        <v>1174</v>
      </c>
      <c r="E619" t="str">
        <f t="shared" si="12"/>
        <v>TBES_Classe 2_21351820 - Autres IGAAC : Petits travaux et agencement</v>
      </c>
      <c r="F619" s="112" t="s">
        <v>3922</v>
      </c>
    </row>
    <row r="620" spans="1:6" x14ac:dyDescent="0.3">
      <c r="A620" t="s">
        <v>35</v>
      </c>
      <c r="B620" t="s">
        <v>96</v>
      </c>
      <c r="C620" s="8" t="s">
        <v>201</v>
      </c>
      <c r="D620" t="s">
        <v>3920</v>
      </c>
      <c r="E620" t="str">
        <f t="shared" si="12"/>
        <v>TBES_Classe 2_21351850 - Autres IGAAC : Système de contrôle d'accès</v>
      </c>
      <c r="F620" s="112" t="s">
        <v>3922</v>
      </c>
    </row>
    <row r="621" spans="1:6" x14ac:dyDescent="0.3">
      <c r="A621" t="s">
        <v>35</v>
      </c>
      <c r="B621" t="s">
        <v>96</v>
      </c>
      <c r="C621" s="8" t="s">
        <v>201</v>
      </c>
      <c r="D621" t="s">
        <v>38</v>
      </c>
      <c r="E621" t="str">
        <f t="shared" si="12"/>
        <v>TBES_Classe 2_21351850 - Autres IGAAC : Système de contrôle d'accès</v>
      </c>
      <c r="F621" s="112" t="s">
        <v>3921</v>
      </c>
    </row>
    <row r="622" spans="1:6" x14ac:dyDescent="0.3">
      <c r="A622" t="s">
        <v>35</v>
      </c>
      <c r="B622" t="s">
        <v>96</v>
      </c>
      <c r="C622" s="8" t="s">
        <v>201</v>
      </c>
      <c r="D622" t="s">
        <v>3923</v>
      </c>
      <c r="E622" t="str">
        <f t="shared" si="12"/>
        <v>TBES_Classe 2_21351850 - Autres IGAAC : Système de contrôle d'accès</v>
      </c>
      <c r="F622" s="112" t="s">
        <v>3922</v>
      </c>
    </row>
    <row r="623" spans="1:6" x14ac:dyDescent="0.3">
      <c r="A623" t="s">
        <v>35</v>
      </c>
      <c r="B623" t="s">
        <v>96</v>
      </c>
      <c r="C623" s="8" t="s">
        <v>201</v>
      </c>
      <c r="D623" t="s">
        <v>170</v>
      </c>
      <c r="E623" t="str">
        <f t="shared" si="12"/>
        <v>TBES_Classe 2_21351850 - Autres IGAAC : Système de contrôle d'accès</v>
      </c>
      <c r="F623" s="112" t="s">
        <v>3921</v>
      </c>
    </row>
    <row r="624" spans="1:6" x14ac:dyDescent="0.3">
      <c r="A624" t="s">
        <v>35</v>
      </c>
      <c r="B624" t="s">
        <v>96</v>
      </c>
      <c r="C624" s="8" t="s">
        <v>201</v>
      </c>
      <c r="D624" t="s">
        <v>39</v>
      </c>
      <c r="E624" t="str">
        <f t="shared" si="12"/>
        <v>TBES_Classe 2_21351850 - Autres IGAAC : Système de contrôle d'accès</v>
      </c>
      <c r="F624" s="112" t="s">
        <v>3921</v>
      </c>
    </row>
    <row r="625" spans="1:6" x14ac:dyDescent="0.3">
      <c r="A625" t="s">
        <v>35</v>
      </c>
      <c r="B625" t="s">
        <v>96</v>
      </c>
      <c r="C625" s="8" t="s">
        <v>201</v>
      </c>
      <c r="D625" t="s">
        <v>3924</v>
      </c>
      <c r="E625" t="str">
        <f t="shared" si="12"/>
        <v>TBES_Classe 2_21351850 - Autres IGAAC : Système de contrôle d'accès</v>
      </c>
      <c r="F625" s="112" t="s">
        <v>3922</v>
      </c>
    </row>
    <row r="626" spans="1:6" x14ac:dyDescent="0.3">
      <c r="A626" t="s">
        <v>35</v>
      </c>
      <c r="B626" t="s">
        <v>96</v>
      </c>
      <c r="C626" s="8" t="s">
        <v>201</v>
      </c>
      <c r="D626" t="s">
        <v>40</v>
      </c>
      <c r="E626" t="str">
        <f t="shared" si="12"/>
        <v>TBES_Classe 2_21351850 - Autres IGAAC : Système de contrôle d'accès</v>
      </c>
      <c r="F626" s="112" t="s">
        <v>3921</v>
      </c>
    </row>
    <row r="627" spans="1:6" x14ac:dyDescent="0.3">
      <c r="A627" t="s">
        <v>35</v>
      </c>
      <c r="B627" t="s">
        <v>96</v>
      </c>
      <c r="C627" s="8" t="s">
        <v>201</v>
      </c>
      <c r="D627" t="s">
        <v>41</v>
      </c>
      <c r="E627" t="str">
        <f t="shared" si="12"/>
        <v>TBES_Classe 2_21351850 - Autres IGAAC : Système de contrôle d'accès</v>
      </c>
      <c r="F627" s="112" t="s">
        <v>3922</v>
      </c>
    </row>
    <row r="628" spans="1:6" x14ac:dyDescent="0.3">
      <c r="A628" t="s">
        <v>35</v>
      </c>
      <c r="B628" t="s">
        <v>96</v>
      </c>
      <c r="C628" s="8" t="s">
        <v>201</v>
      </c>
      <c r="D628" t="s">
        <v>3925</v>
      </c>
      <c r="E628" t="str">
        <f t="shared" si="12"/>
        <v>TBES_Classe 2_21351850 - Autres IGAAC : Système de contrôle d'accès</v>
      </c>
      <c r="F628" s="112" t="s">
        <v>3922</v>
      </c>
    </row>
    <row r="629" spans="1:6" x14ac:dyDescent="0.3">
      <c r="A629" t="s">
        <v>35</v>
      </c>
      <c r="B629" t="s">
        <v>96</v>
      </c>
      <c r="C629" s="8" t="s">
        <v>201</v>
      </c>
      <c r="D629" t="s">
        <v>42</v>
      </c>
      <c r="E629" t="str">
        <f t="shared" si="12"/>
        <v>TBES_Classe 2_21351850 - Autres IGAAC : Système de contrôle d'accès</v>
      </c>
      <c r="F629" s="112" t="s">
        <v>3921</v>
      </c>
    </row>
    <row r="630" spans="1:6" x14ac:dyDescent="0.3">
      <c r="A630" t="s">
        <v>35</v>
      </c>
      <c r="B630" t="s">
        <v>96</v>
      </c>
      <c r="C630" s="8" t="s">
        <v>201</v>
      </c>
      <c r="D630" t="s">
        <v>3926</v>
      </c>
      <c r="E630" t="str">
        <f t="shared" si="12"/>
        <v>TBES_Classe 2_21351850 - Autres IGAAC : Système de contrôle d'accès</v>
      </c>
      <c r="F630" s="112" t="s">
        <v>3922</v>
      </c>
    </row>
    <row r="631" spans="1:6" x14ac:dyDescent="0.3">
      <c r="A631" t="s">
        <v>35</v>
      </c>
      <c r="B631" t="s">
        <v>96</v>
      </c>
      <c r="C631" s="8" t="s">
        <v>201</v>
      </c>
      <c r="D631" t="s">
        <v>43</v>
      </c>
      <c r="E631" t="str">
        <f t="shared" si="12"/>
        <v>TBES_Classe 2_21351850 - Autres IGAAC : Système de contrôle d'accès</v>
      </c>
      <c r="F631" s="112" t="s">
        <v>3921</v>
      </c>
    </row>
    <row r="632" spans="1:6" x14ac:dyDescent="0.3">
      <c r="A632" t="s">
        <v>35</v>
      </c>
      <c r="B632" t="s">
        <v>96</v>
      </c>
      <c r="C632" s="8" t="s">
        <v>201</v>
      </c>
      <c r="D632" t="s">
        <v>1892</v>
      </c>
      <c r="E632" t="str">
        <f t="shared" si="12"/>
        <v>TBES_Classe 2_21351850 - Autres IGAAC : Système de contrôle d'accès</v>
      </c>
      <c r="F632" s="112" t="s">
        <v>3922</v>
      </c>
    </row>
    <row r="633" spans="1:6" x14ac:dyDescent="0.3">
      <c r="A633" t="s">
        <v>35</v>
      </c>
      <c r="B633" t="s">
        <v>96</v>
      </c>
      <c r="C633" s="8" t="s">
        <v>201</v>
      </c>
      <c r="D633" t="s">
        <v>44</v>
      </c>
      <c r="E633" t="str">
        <f t="shared" si="12"/>
        <v>TBES_Classe 2_21351850 - Autres IGAAC : Système de contrôle d'accès</v>
      </c>
      <c r="F633" s="112" t="s">
        <v>3921</v>
      </c>
    </row>
    <row r="634" spans="1:6" x14ac:dyDescent="0.3">
      <c r="A634" t="s">
        <v>35</v>
      </c>
      <c r="B634" t="s">
        <v>96</v>
      </c>
      <c r="C634" s="8" t="s">
        <v>201</v>
      </c>
      <c r="D634" t="s">
        <v>45</v>
      </c>
      <c r="E634" t="str">
        <f t="shared" si="12"/>
        <v>TBES_Classe 2_21351850 - Autres IGAAC : Système de contrôle d'accès</v>
      </c>
      <c r="F634" s="112" t="s">
        <v>3922</v>
      </c>
    </row>
    <row r="635" spans="1:6" x14ac:dyDescent="0.3">
      <c r="A635" t="s">
        <v>35</v>
      </c>
      <c r="B635" t="s">
        <v>96</v>
      </c>
      <c r="C635" s="8" t="s">
        <v>201</v>
      </c>
      <c r="D635" t="s">
        <v>1039</v>
      </c>
      <c r="E635" t="str">
        <f t="shared" si="12"/>
        <v>TBES_Classe 2_21351850 - Autres IGAAC : Système de contrôle d'accès</v>
      </c>
      <c r="F635" s="112" t="s">
        <v>3922</v>
      </c>
    </row>
    <row r="636" spans="1:6" x14ac:dyDescent="0.3">
      <c r="A636" t="s">
        <v>35</v>
      </c>
      <c r="B636" t="s">
        <v>96</v>
      </c>
      <c r="C636" s="8" t="s">
        <v>201</v>
      </c>
      <c r="D636" t="s">
        <v>46</v>
      </c>
      <c r="E636" t="str">
        <f t="shared" si="12"/>
        <v>TBES_Classe 2_21351850 - Autres IGAAC : Système de contrôle d'accès</v>
      </c>
      <c r="F636" s="112" t="s">
        <v>3921</v>
      </c>
    </row>
    <row r="637" spans="1:6" x14ac:dyDescent="0.3">
      <c r="A637" t="s">
        <v>35</v>
      </c>
      <c r="B637" t="s">
        <v>96</v>
      </c>
      <c r="C637" s="8" t="s">
        <v>201</v>
      </c>
      <c r="D637" t="s">
        <v>3927</v>
      </c>
      <c r="E637" t="str">
        <f t="shared" si="12"/>
        <v>TBES_Classe 2_21351850 - Autres IGAAC : Système de contrôle d'accès</v>
      </c>
      <c r="F637" s="112" t="s">
        <v>3922</v>
      </c>
    </row>
    <row r="638" spans="1:6" x14ac:dyDescent="0.3">
      <c r="A638" t="s">
        <v>35</v>
      </c>
      <c r="B638" t="s">
        <v>96</v>
      </c>
      <c r="C638" s="8" t="s">
        <v>201</v>
      </c>
      <c r="D638" t="s">
        <v>47</v>
      </c>
      <c r="E638" t="str">
        <f t="shared" si="12"/>
        <v>TBES_Classe 2_21351850 - Autres IGAAC : Système de contrôle d'accès</v>
      </c>
      <c r="F638" s="112" t="s">
        <v>3921</v>
      </c>
    </row>
    <row r="639" spans="1:6" x14ac:dyDescent="0.3">
      <c r="A639" t="s">
        <v>35</v>
      </c>
      <c r="B639" t="s">
        <v>96</v>
      </c>
      <c r="C639" s="8" t="s">
        <v>201</v>
      </c>
      <c r="D639" t="s">
        <v>48</v>
      </c>
      <c r="E639" t="str">
        <f t="shared" si="12"/>
        <v>TBES_Classe 2_21351850 - Autres IGAAC : Système de contrôle d'accès</v>
      </c>
      <c r="F639" s="112" t="s">
        <v>3922</v>
      </c>
    </row>
    <row r="640" spans="1:6" x14ac:dyDescent="0.3">
      <c r="A640" t="s">
        <v>35</v>
      </c>
      <c r="B640" t="s">
        <v>96</v>
      </c>
      <c r="C640" s="8" t="s">
        <v>201</v>
      </c>
      <c r="D640" t="s">
        <v>202</v>
      </c>
      <c r="E640" t="str">
        <f t="shared" si="12"/>
        <v>TBES_Classe 2_21351850 - Autres IGAAC : Système de contrôle d'accès</v>
      </c>
      <c r="F640" s="112" t="s">
        <v>3922</v>
      </c>
    </row>
    <row r="641" spans="1:6" x14ac:dyDescent="0.3">
      <c r="A641" t="s">
        <v>35</v>
      </c>
      <c r="B641" t="s">
        <v>96</v>
      </c>
      <c r="C641" s="8" t="s">
        <v>201</v>
      </c>
      <c r="D641" t="s">
        <v>224</v>
      </c>
      <c r="E641" t="str">
        <f t="shared" si="12"/>
        <v>TBES_Classe 2_21351850 - Autres IGAAC : Système de contrôle d'accès</v>
      </c>
      <c r="F641" s="112" t="s">
        <v>3921</v>
      </c>
    </row>
    <row r="642" spans="1:6" x14ac:dyDescent="0.3">
      <c r="A642" t="s">
        <v>35</v>
      </c>
      <c r="B642" t="s">
        <v>96</v>
      </c>
      <c r="C642" t="s">
        <v>201</v>
      </c>
      <c r="D642" t="s">
        <v>2065</v>
      </c>
      <c r="F642" s="112" t="s">
        <v>3922</v>
      </c>
    </row>
    <row r="643" spans="1:6" x14ac:dyDescent="0.3">
      <c r="A643" t="s">
        <v>35</v>
      </c>
      <c r="B643" t="s">
        <v>96</v>
      </c>
      <c r="C643" t="s">
        <v>201</v>
      </c>
      <c r="D643" t="s">
        <v>2311</v>
      </c>
      <c r="F643" s="112" t="s">
        <v>3921</v>
      </c>
    </row>
    <row r="644" spans="1:6" x14ac:dyDescent="0.3">
      <c r="A644" t="s">
        <v>35</v>
      </c>
      <c r="B644" t="s">
        <v>96</v>
      </c>
      <c r="C644" t="s">
        <v>201</v>
      </c>
      <c r="D644" t="s">
        <v>2661</v>
      </c>
      <c r="F644" s="112" t="s">
        <v>3921</v>
      </c>
    </row>
    <row r="645" spans="1:6" x14ac:dyDescent="0.3">
      <c r="A645" t="s">
        <v>35</v>
      </c>
      <c r="B645" t="s">
        <v>96</v>
      </c>
      <c r="C645" t="s">
        <v>201</v>
      </c>
      <c r="D645" t="s">
        <v>3935</v>
      </c>
      <c r="F645" s="112" t="s">
        <v>3922</v>
      </c>
    </row>
    <row r="646" spans="1:6" x14ac:dyDescent="0.3">
      <c r="A646" t="s">
        <v>35</v>
      </c>
      <c r="B646" t="s">
        <v>96</v>
      </c>
      <c r="C646" t="s">
        <v>201</v>
      </c>
      <c r="D646" t="s">
        <v>3313</v>
      </c>
      <c r="F646" s="112" t="s">
        <v>3921</v>
      </c>
    </row>
    <row r="647" spans="1:6" x14ac:dyDescent="0.3">
      <c r="A647" t="s">
        <v>35</v>
      </c>
      <c r="B647" t="s">
        <v>96</v>
      </c>
      <c r="C647" s="2" t="s">
        <v>1869</v>
      </c>
      <c r="D647" t="s">
        <v>1870</v>
      </c>
      <c r="F647" s="112" t="s">
        <v>3922</v>
      </c>
    </row>
    <row r="648" spans="1:6" x14ac:dyDescent="0.3">
      <c r="A648" t="s">
        <v>35</v>
      </c>
      <c r="B648" t="s">
        <v>96</v>
      </c>
      <c r="C648" s="8" t="s">
        <v>3298</v>
      </c>
      <c r="D648" t="s">
        <v>3920</v>
      </c>
      <c r="F648" s="112" t="s">
        <v>3922</v>
      </c>
    </row>
    <row r="649" spans="1:6" x14ac:dyDescent="0.3">
      <c r="A649" t="s">
        <v>35</v>
      </c>
      <c r="B649" t="s">
        <v>96</v>
      </c>
      <c r="C649" s="8" t="s">
        <v>3298</v>
      </c>
      <c r="D649" t="s">
        <v>38</v>
      </c>
      <c r="F649" s="112" t="s">
        <v>3921</v>
      </c>
    </row>
    <row r="650" spans="1:6" x14ac:dyDescent="0.3">
      <c r="A650" t="s">
        <v>35</v>
      </c>
      <c r="B650" t="s">
        <v>96</v>
      </c>
      <c r="C650" s="8" t="s">
        <v>3298</v>
      </c>
      <c r="D650" t="s">
        <v>3923</v>
      </c>
      <c r="F650" s="112" t="s">
        <v>3922</v>
      </c>
    </row>
    <row r="651" spans="1:6" x14ac:dyDescent="0.3">
      <c r="A651" t="s">
        <v>35</v>
      </c>
      <c r="B651" t="s">
        <v>96</v>
      </c>
      <c r="C651" s="8" t="s">
        <v>3298</v>
      </c>
      <c r="D651" t="s">
        <v>170</v>
      </c>
      <c r="F651" s="112" t="s">
        <v>3921</v>
      </c>
    </row>
    <row r="652" spans="1:6" x14ac:dyDescent="0.3">
      <c r="A652" t="s">
        <v>35</v>
      </c>
      <c r="B652" t="s">
        <v>96</v>
      </c>
      <c r="C652" s="8" t="s">
        <v>3298</v>
      </c>
      <c r="D652" t="s">
        <v>39</v>
      </c>
      <c r="F652" s="112" t="s">
        <v>3922</v>
      </c>
    </row>
    <row r="653" spans="1:6" x14ac:dyDescent="0.3">
      <c r="A653" t="s">
        <v>35</v>
      </c>
      <c r="B653" t="s">
        <v>96</v>
      </c>
      <c r="C653" s="8" t="s">
        <v>3298</v>
      </c>
      <c r="D653" t="s">
        <v>3924</v>
      </c>
      <c r="F653" s="112" t="s">
        <v>3921</v>
      </c>
    </row>
    <row r="654" spans="1:6" x14ac:dyDescent="0.3">
      <c r="A654" t="s">
        <v>35</v>
      </c>
      <c r="B654" t="s">
        <v>96</v>
      </c>
      <c r="C654" s="8" t="s">
        <v>3298</v>
      </c>
      <c r="D654" t="s">
        <v>40</v>
      </c>
      <c r="F654" s="112" t="s">
        <v>3922</v>
      </c>
    </row>
    <row r="655" spans="1:6" x14ac:dyDescent="0.3">
      <c r="A655" t="s">
        <v>35</v>
      </c>
      <c r="B655" t="s">
        <v>96</v>
      </c>
      <c r="C655" s="8" t="s">
        <v>3298</v>
      </c>
      <c r="D655" t="s">
        <v>41</v>
      </c>
      <c r="F655" s="112" t="s">
        <v>3922</v>
      </c>
    </row>
    <row r="656" spans="1:6" x14ac:dyDescent="0.3">
      <c r="A656" t="s">
        <v>35</v>
      </c>
      <c r="B656" t="s">
        <v>96</v>
      </c>
      <c r="C656" s="8" t="s">
        <v>3298</v>
      </c>
      <c r="D656" t="s">
        <v>3925</v>
      </c>
      <c r="F656" s="112" t="s">
        <v>3921</v>
      </c>
    </row>
    <row r="657" spans="1:6" x14ac:dyDescent="0.3">
      <c r="A657" t="s">
        <v>35</v>
      </c>
      <c r="B657" t="s">
        <v>96</v>
      </c>
      <c r="C657" s="8" t="s">
        <v>3298</v>
      </c>
      <c r="D657" t="s">
        <v>42</v>
      </c>
      <c r="F657" s="112" t="s">
        <v>3922</v>
      </c>
    </row>
    <row r="658" spans="1:6" x14ac:dyDescent="0.3">
      <c r="A658" t="s">
        <v>35</v>
      </c>
      <c r="B658" t="s">
        <v>96</v>
      </c>
      <c r="C658" s="8" t="s">
        <v>3298</v>
      </c>
      <c r="D658" t="s">
        <v>3926</v>
      </c>
      <c r="F658" s="112" t="s">
        <v>3921</v>
      </c>
    </row>
    <row r="659" spans="1:6" x14ac:dyDescent="0.3">
      <c r="A659" t="s">
        <v>35</v>
      </c>
      <c r="B659" t="s">
        <v>96</v>
      </c>
      <c r="C659" s="8" t="s">
        <v>3298</v>
      </c>
      <c r="D659" t="s">
        <v>43</v>
      </c>
      <c r="F659" s="112" t="s">
        <v>3922</v>
      </c>
    </row>
    <row r="660" spans="1:6" x14ac:dyDescent="0.3">
      <c r="A660" t="s">
        <v>35</v>
      </c>
      <c r="B660" t="s">
        <v>96</v>
      </c>
      <c r="C660" s="8" t="s">
        <v>3298</v>
      </c>
      <c r="D660" t="s">
        <v>1892</v>
      </c>
      <c r="F660" s="112" t="s">
        <v>3922</v>
      </c>
    </row>
    <row r="661" spans="1:6" x14ac:dyDescent="0.3">
      <c r="A661" t="s">
        <v>35</v>
      </c>
      <c r="B661" t="s">
        <v>96</v>
      </c>
      <c r="C661" s="8" t="s">
        <v>3298</v>
      </c>
      <c r="D661" t="s">
        <v>44</v>
      </c>
      <c r="F661" s="112" t="s">
        <v>3922</v>
      </c>
    </row>
    <row r="662" spans="1:6" x14ac:dyDescent="0.3">
      <c r="A662" t="s">
        <v>35</v>
      </c>
      <c r="B662" t="s">
        <v>96</v>
      </c>
      <c r="C662" s="8" t="s">
        <v>3298</v>
      </c>
      <c r="D662" t="s">
        <v>45</v>
      </c>
      <c r="F662" s="112" t="s">
        <v>3922</v>
      </c>
    </row>
    <row r="663" spans="1:6" x14ac:dyDescent="0.3">
      <c r="A663" t="s">
        <v>35</v>
      </c>
      <c r="B663" t="s">
        <v>96</v>
      </c>
      <c r="C663" s="8" t="s">
        <v>3298</v>
      </c>
      <c r="D663" t="s">
        <v>1039</v>
      </c>
      <c r="F663" s="112" t="s">
        <v>3922</v>
      </c>
    </row>
    <row r="664" spans="1:6" x14ac:dyDescent="0.3">
      <c r="A664" t="s">
        <v>35</v>
      </c>
      <c r="B664" t="s">
        <v>96</v>
      </c>
      <c r="C664" s="8" t="s">
        <v>3298</v>
      </c>
      <c r="D664" t="s">
        <v>46</v>
      </c>
      <c r="F664" s="112" t="s">
        <v>3922</v>
      </c>
    </row>
    <row r="665" spans="1:6" x14ac:dyDescent="0.3">
      <c r="A665" t="s">
        <v>35</v>
      </c>
      <c r="B665" t="s">
        <v>96</v>
      </c>
      <c r="C665" s="8" t="s">
        <v>3298</v>
      </c>
      <c r="D665" t="s">
        <v>3927</v>
      </c>
      <c r="F665" s="112" t="s">
        <v>3921</v>
      </c>
    </row>
    <row r="666" spans="1:6" x14ac:dyDescent="0.3">
      <c r="A666" t="s">
        <v>35</v>
      </c>
      <c r="B666" t="s">
        <v>96</v>
      </c>
      <c r="C666" s="8" t="s">
        <v>3298</v>
      </c>
      <c r="D666" t="s">
        <v>47</v>
      </c>
      <c r="F666" s="112" t="s">
        <v>3921</v>
      </c>
    </row>
    <row r="667" spans="1:6" x14ac:dyDescent="0.3">
      <c r="A667" t="s">
        <v>35</v>
      </c>
      <c r="B667" t="s">
        <v>96</v>
      </c>
      <c r="C667" s="8" t="s">
        <v>3298</v>
      </c>
      <c r="D667" t="s">
        <v>48</v>
      </c>
      <c r="F667" s="112" t="s">
        <v>3922</v>
      </c>
    </row>
    <row r="668" spans="1:6" x14ac:dyDescent="0.3">
      <c r="A668" t="s">
        <v>35</v>
      </c>
      <c r="B668" t="s">
        <v>96</v>
      </c>
      <c r="C668" s="8" t="s">
        <v>657</v>
      </c>
      <c r="D668" t="s">
        <v>3920</v>
      </c>
      <c r="F668" s="112" t="s">
        <v>3921</v>
      </c>
    </row>
    <row r="669" spans="1:6" x14ac:dyDescent="0.3">
      <c r="A669" t="s">
        <v>35</v>
      </c>
      <c r="B669" t="s">
        <v>96</v>
      </c>
      <c r="C669" s="8" t="s">
        <v>657</v>
      </c>
      <c r="D669" t="s">
        <v>38</v>
      </c>
      <c r="F669" s="112" t="s">
        <v>3922</v>
      </c>
    </row>
    <row r="670" spans="1:6" x14ac:dyDescent="0.3">
      <c r="A670" t="s">
        <v>35</v>
      </c>
      <c r="B670" t="s">
        <v>96</v>
      </c>
      <c r="C670" s="8" t="s">
        <v>657</v>
      </c>
      <c r="D670" t="s">
        <v>3923</v>
      </c>
      <c r="F670" s="112" t="s">
        <v>3922</v>
      </c>
    </row>
    <row r="671" spans="1:6" x14ac:dyDescent="0.3">
      <c r="A671" t="s">
        <v>35</v>
      </c>
      <c r="B671" t="s">
        <v>96</v>
      </c>
      <c r="C671" s="8" t="s">
        <v>657</v>
      </c>
      <c r="D671" t="s">
        <v>170</v>
      </c>
      <c r="F671" s="112" t="s">
        <v>3921</v>
      </c>
    </row>
    <row r="672" spans="1:6" x14ac:dyDescent="0.3">
      <c r="A672" t="s">
        <v>35</v>
      </c>
      <c r="B672" t="s">
        <v>96</v>
      </c>
      <c r="C672" s="8" t="s">
        <v>657</v>
      </c>
      <c r="D672" t="s">
        <v>39</v>
      </c>
      <c r="F672" s="112" t="s">
        <v>3922</v>
      </c>
    </row>
    <row r="673" spans="1:6" x14ac:dyDescent="0.3">
      <c r="A673" t="s">
        <v>35</v>
      </c>
      <c r="B673" t="s">
        <v>96</v>
      </c>
      <c r="C673" s="8" t="s">
        <v>657</v>
      </c>
      <c r="D673" t="s">
        <v>3924</v>
      </c>
      <c r="F673" s="112" t="s">
        <v>3921</v>
      </c>
    </row>
    <row r="674" spans="1:6" x14ac:dyDescent="0.3">
      <c r="A674" t="s">
        <v>35</v>
      </c>
      <c r="B674" t="s">
        <v>96</v>
      </c>
      <c r="C674" s="8" t="s">
        <v>657</v>
      </c>
      <c r="D674" t="s">
        <v>40</v>
      </c>
      <c r="F674" s="112" t="s">
        <v>3922</v>
      </c>
    </row>
    <row r="675" spans="1:6" x14ac:dyDescent="0.3">
      <c r="A675" t="s">
        <v>35</v>
      </c>
      <c r="B675" t="s">
        <v>96</v>
      </c>
      <c r="C675" s="8" t="s">
        <v>657</v>
      </c>
      <c r="D675" t="s">
        <v>41</v>
      </c>
      <c r="F675" s="112" t="s">
        <v>3921</v>
      </c>
    </row>
    <row r="676" spans="1:6" x14ac:dyDescent="0.3">
      <c r="A676" t="s">
        <v>35</v>
      </c>
      <c r="B676" t="s">
        <v>96</v>
      </c>
      <c r="C676" s="8" t="s">
        <v>657</v>
      </c>
      <c r="D676" t="s">
        <v>3925</v>
      </c>
      <c r="F676" s="112" t="s">
        <v>3922</v>
      </c>
    </row>
    <row r="677" spans="1:6" x14ac:dyDescent="0.3">
      <c r="A677" t="s">
        <v>35</v>
      </c>
      <c r="B677" t="s">
        <v>96</v>
      </c>
      <c r="C677" s="8" t="s">
        <v>657</v>
      </c>
      <c r="D677" t="s">
        <v>42</v>
      </c>
      <c r="F677" s="112" t="s">
        <v>3922</v>
      </c>
    </row>
    <row r="678" spans="1:6" x14ac:dyDescent="0.3">
      <c r="A678" t="s">
        <v>35</v>
      </c>
      <c r="B678" t="s">
        <v>96</v>
      </c>
      <c r="C678" s="8" t="s">
        <v>657</v>
      </c>
      <c r="D678" t="s">
        <v>3926</v>
      </c>
      <c r="F678" s="112" t="s">
        <v>3921</v>
      </c>
    </row>
    <row r="679" spans="1:6" x14ac:dyDescent="0.3">
      <c r="A679" t="s">
        <v>35</v>
      </c>
      <c r="B679" t="s">
        <v>96</v>
      </c>
      <c r="C679" s="8" t="s">
        <v>657</v>
      </c>
      <c r="D679" t="s">
        <v>43</v>
      </c>
      <c r="F679" s="112" t="s">
        <v>3922</v>
      </c>
    </row>
    <row r="680" spans="1:6" x14ac:dyDescent="0.3">
      <c r="A680" t="s">
        <v>35</v>
      </c>
      <c r="B680" t="s">
        <v>96</v>
      </c>
      <c r="C680" s="8" t="s">
        <v>657</v>
      </c>
      <c r="D680" t="s">
        <v>1892</v>
      </c>
      <c r="F680" s="112" t="s">
        <v>3921</v>
      </c>
    </row>
    <row r="681" spans="1:6" x14ac:dyDescent="0.3">
      <c r="A681" t="s">
        <v>35</v>
      </c>
      <c r="B681" t="s">
        <v>96</v>
      </c>
      <c r="C681" s="8" t="s">
        <v>657</v>
      </c>
      <c r="D681" t="s">
        <v>44</v>
      </c>
      <c r="F681" s="112" t="s">
        <v>3922</v>
      </c>
    </row>
    <row r="682" spans="1:6" x14ac:dyDescent="0.3">
      <c r="A682" t="s">
        <v>35</v>
      </c>
      <c r="B682" t="s">
        <v>96</v>
      </c>
      <c r="C682" s="8" t="s">
        <v>657</v>
      </c>
      <c r="D682" t="s">
        <v>45</v>
      </c>
      <c r="F682" s="112" t="s">
        <v>3922</v>
      </c>
    </row>
    <row r="683" spans="1:6" x14ac:dyDescent="0.3">
      <c r="A683" t="s">
        <v>35</v>
      </c>
      <c r="B683" t="s">
        <v>96</v>
      </c>
      <c r="C683" s="8" t="s">
        <v>657</v>
      </c>
      <c r="D683" t="s">
        <v>1039</v>
      </c>
      <c r="F683" s="112" t="s">
        <v>3922</v>
      </c>
    </row>
    <row r="684" spans="1:6" x14ac:dyDescent="0.3">
      <c r="A684" t="s">
        <v>35</v>
      </c>
      <c r="B684" t="s">
        <v>96</v>
      </c>
      <c r="C684" s="8" t="s">
        <v>657</v>
      </c>
      <c r="D684" t="s">
        <v>46</v>
      </c>
      <c r="F684" s="112" t="s">
        <v>3922</v>
      </c>
    </row>
    <row r="685" spans="1:6" x14ac:dyDescent="0.3">
      <c r="A685" t="s">
        <v>35</v>
      </c>
      <c r="B685" t="s">
        <v>96</v>
      </c>
      <c r="C685" s="8" t="s">
        <v>657</v>
      </c>
      <c r="D685" t="s">
        <v>3927</v>
      </c>
      <c r="F685" s="112" t="s">
        <v>3922</v>
      </c>
    </row>
    <row r="686" spans="1:6" x14ac:dyDescent="0.3">
      <c r="A686" t="s">
        <v>35</v>
      </c>
      <c r="B686" t="s">
        <v>96</v>
      </c>
      <c r="C686" s="8" t="s">
        <v>657</v>
      </c>
      <c r="D686" t="s">
        <v>47</v>
      </c>
      <c r="F686" s="112" t="s">
        <v>3922</v>
      </c>
    </row>
    <row r="687" spans="1:6" x14ac:dyDescent="0.3">
      <c r="A687" t="s">
        <v>35</v>
      </c>
      <c r="B687" t="s">
        <v>96</v>
      </c>
      <c r="C687" s="8" t="s">
        <v>657</v>
      </c>
      <c r="D687" t="s">
        <v>48</v>
      </c>
      <c r="F687" s="112" t="s">
        <v>3922</v>
      </c>
    </row>
    <row r="688" spans="1:6" x14ac:dyDescent="0.3">
      <c r="A688" t="s">
        <v>35</v>
      </c>
      <c r="B688" t="s">
        <v>79</v>
      </c>
      <c r="C688" t="s">
        <v>182</v>
      </c>
      <c r="D688" t="s">
        <v>83</v>
      </c>
      <c r="F688" s="112" t="s">
        <v>3922</v>
      </c>
    </row>
    <row r="689" spans="1:6" x14ac:dyDescent="0.3">
      <c r="A689" t="s">
        <v>35</v>
      </c>
      <c r="B689" t="s">
        <v>79</v>
      </c>
      <c r="C689" t="s">
        <v>81</v>
      </c>
      <c r="D689" t="s">
        <v>83</v>
      </c>
      <c r="F689" s="112" t="s">
        <v>3922</v>
      </c>
    </row>
    <row r="690" spans="1:6" x14ac:dyDescent="0.3">
      <c r="A690" t="s">
        <v>36</v>
      </c>
      <c r="B690" t="s">
        <v>96</v>
      </c>
      <c r="C690" s="8" t="s">
        <v>1029</v>
      </c>
      <c r="D690" t="s">
        <v>3920</v>
      </c>
      <c r="F690" s="112" t="s">
        <v>3922</v>
      </c>
    </row>
    <row r="691" spans="1:6" x14ac:dyDescent="0.3">
      <c r="A691" t="s">
        <v>36</v>
      </c>
      <c r="B691" t="s">
        <v>96</v>
      </c>
      <c r="C691" s="8" t="s">
        <v>1029</v>
      </c>
      <c r="D691" t="s">
        <v>38</v>
      </c>
      <c r="F691" s="112" t="s">
        <v>3922</v>
      </c>
    </row>
    <row r="692" spans="1:6" x14ac:dyDescent="0.3">
      <c r="A692" t="s">
        <v>36</v>
      </c>
      <c r="B692" t="s">
        <v>96</v>
      </c>
      <c r="C692" s="8" t="s">
        <v>1029</v>
      </c>
      <c r="D692" t="s">
        <v>3923</v>
      </c>
      <c r="F692" s="112" t="s">
        <v>3922</v>
      </c>
    </row>
    <row r="693" spans="1:6" x14ac:dyDescent="0.3">
      <c r="A693" t="s">
        <v>36</v>
      </c>
      <c r="B693" t="s">
        <v>96</v>
      </c>
      <c r="C693" s="8" t="s">
        <v>1029</v>
      </c>
      <c r="D693" t="s">
        <v>170</v>
      </c>
      <c r="F693" s="112" t="s">
        <v>3922</v>
      </c>
    </row>
    <row r="694" spans="1:6" x14ac:dyDescent="0.3">
      <c r="A694" t="s">
        <v>36</v>
      </c>
      <c r="B694" t="s">
        <v>96</v>
      </c>
      <c r="C694" s="8" t="s">
        <v>1029</v>
      </c>
      <c r="D694" t="s">
        <v>39</v>
      </c>
      <c r="F694" s="112" t="s">
        <v>3922</v>
      </c>
    </row>
    <row r="695" spans="1:6" x14ac:dyDescent="0.3">
      <c r="A695" t="s">
        <v>36</v>
      </c>
      <c r="B695" t="s">
        <v>96</v>
      </c>
      <c r="C695" s="8" t="s">
        <v>1029</v>
      </c>
      <c r="D695" t="s">
        <v>3924</v>
      </c>
      <c r="F695" s="112" t="s">
        <v>3922</v>
      </c>
    </row>
    <row r="696" spans="1:6" x14ac:dyDescent="0.3">
      <c r="A696" t="s">
        <v>36</v>
      </c>
      <c r="B696" t="s">
        <v>96</v>
      </c>
      <c r="C696" s="8" t="s">
        <v>1029</v>
      </c>
      <c r="D696" t="s">
        <v>40</v>
      </c>
      <c r="F696" s="112" t="s">
        <v>3922</v>
      </c>
    </row>
    <row r="697" spans="1:6" x14ac:dyDescent="0.3">
      <c r="A697" t="s">
        <v>36</v>
      </c>
      <c r="B697" t="s">
        <v>96</v>
      </c>
      <c r="C697" s="8" t="s">
        <v>1029</v>
      </c>
      <c r="D697" t="s">
        <v>41</v>
      </c>
      <c r="F697" s="112" t="s">
        <v>3922</v>
      </c>
    </row>
    <row r="698" spans="1:6" x14ac:dyDescent="0.3">
      <c r="A698" t="s">
        <v>36</v>
      </c>
      <c r="B698" t="s">
        <v>96</v>
      </c>
      <c r="C698" s="8" t="s">
        <v>1029</v>
      </c>
      <c r="D698" t="s">
        <v>3925</v>
      </c>
      <c r="F698" s="112" t="s">
        <v>3922</v>
      </c>
    </row>
    <row r="699" spans="1:6" x14ac:dyDescent="0.3">
      <c r="A699" t="s">
        <v>36</v>
      </c>
      <c r="B699" t="s">
        <v>96</v>
      </c>
      <c r="C699" s="8" t="s">
        <v>1029</v>
      </c>
      <c r="D699" t="s">
        <v>42</v>
      </c>
      <c r="F699" s="112" t="s">
        <v>3922</v>
      </c>
    </row>
    <row r="700" spans="1:6" x14ac:dyDescent="0.3">
      <c r="A700" t="s">
        <v>36</v>
      </c>
      <c r="B700" t="s">
        <v>96</v>
      </c>
      <c r="C700" s="8" t="s">
        <v>1029</v>
      </c>
      <c r="D700" t="s">
        <v>3926</v>
      </c>
      <c r="F700" s="112" t="s">
        <v>3922</v>
      </c>
    </row>
    <row r="701" spans="1:6" x14ac:dyDescent="0.3">
      <c r="A701" t="s">
        <v>36</v>
      </c>
      <c r="B701" t="s">
        <v>96</v>
      </c>
      <c r="C701" s="8" t="s">
        <v>1029</v>
      </c>
      <c r="D701" t="s">
        <v>43</v>
      </c>
      <c r="F701" s="112" t="s">
        <v>3922</v>
      </c>
    </row>
    <row r="702" spans="1:6" x14ac:dyDescent="0.3">
      <c r="A702" t="s">
        <v>36</v>
      </c>
      <c r="B702" t="s">
        <v>96</v>
      </c>
      <c r="C702" s="8" t="s">
        <v>1029</v>
      </c>
      <c r="D702" t="s">
        <v>1892</v>
      </c>
      <c r="F702" s="112" t="s">
        <v>3922</v>
      </c>
    </row>
    <row r="703" spans="1:6" x14ac:dyDescent="0.3">
      <c r="A703" t="s">
        <v>36</v>
      </c>
      <c r="B703" t="s">
        <v>96</v>
      </c>
      <c r="C703" s="8" t="s">
        <v>1029</v>
      </c>
      <c r="D703" t="s">
        <v>44</v>
      </c>
      <c r="F703" s="112" t="s">
        <v>3922</v>
      </c>
    </row>
    <row r="704" spans="1:6" x14ac:dyDescent="0.3">
      <c r="A704" t="s">
        <v>36</v>
      </c>
      <c r="B704" t="s">
        <v>96</v>
      </c>
      <c r="C704" s="8" t="s">
        <v>1029</v>
      </c>
      <c r="D704" t="s">
        <v>45</v>
      </c>
      <c r="F704" s="112" t="s">
        <v>3922</v>
      </c>
    </row>
    <row r="705" spans="1:6" x14ac:dyDescent="0.3">
      <c r="A705" t="s">
        <v>36</v>
      </c>
      <c r="B705" t="s">
        <v>96</v>
      </c>
      <c r="C705" s="8" t="s">
        <v>1029</v>
      </c>
      <c r="D705" t="s">
        <v>1039</v>
      </c>
      <c r="F705" s="112" t="s">
        <v>3922</v>
      </c>
    </row>
    <row r="706" spans="1:6" x14ac:dyDescent="0.3">
      <c r="A706" t="s">
        <v>36</v>
      </c>
      <c r="B706" t="s">
        <v>96</v>
      </c>
      <c r="C706" s="8" t="s">
        <v>1029</v>
      </c>
      <c r="D706" t="s">
        <v>46</v>
      </c>
      <c r="F706" s="112" t="s">
        <v>3922</v>
      </c>
    </row>
    <row r="707" spans="1:6" x14ac:dyDescent="0.3">
      <c r="A707" t="s">
        <v>36</v>
      </c>
      <c r="B707" t="s">
        <v>96</v>
      </c>
      <c r="C707" s="8" t="s">
        <v>1029</v>
      </c>
      <c r="D707" t="s">
        <v>3927</v>
      </c>
      <c r="F707" s="112" t="s">
        <v>3922</v>
      </c>
    </row>
    <row r="708" spans="1:6" x14ac:dyDescent="0.3">
      <c r="A708" t="s">
        <v>36</v>
      </c>
      <c r="B708" t="s">
        <v>96</v>
      </c>
      <c r="C708" s="8" t="s">
        <v>1029</v>
      </c>
      <c r="D708" t="s">
        <v>47</v>
      </c>
      <c r="F708" s="112" t="s">
        <v>3922</v>
      </c>
    </row>
    <row r="709" spans="1:6" x14ac:dyDescent="0.3">
      <c r="A709" t="s">
        <v>36</v>
      </c>
      <c r="B709" t="s">
        <v>96</v>
      </c>
      <c r="C709" s="8" t="s">
        <v>1029</v>
      </c>
      <c r="D709" t="s">
        <v>48</v>
      </c>
      <c r="F709" s="112" t="s">
        <v>3922</v>
      </c>
    </row>
    <row r="710" spans="1:6" x14ac:dyDescent="0.3">
      <c r="A710" t="s">
        <v>36</v>
      </c>
      <c r="B710" t="s">
        <v>79</v>
      </c>
      <c r="C710" s="8" t="s">
        <v>241</v>
      </c>
      <c r="D710" t="s">
        <v>253</v>
      </c>
      <c r="F710" s="112" t="s">
        <v>3922</v>
      </c>
    </row>
    <row r="711" spans="1:6" x14ac:dyDescent="0.3">
      <c r="A711" t="s">
        <v>37</v>
      </c>
      <c r="B711" t="s">
        <v>79</v>
      </c>
      <c r="C711" s="8" t="s">
        <v>241</v>
      </c>
      <c r="D711" t="s">
        <v>368</v>
      </c>
      <c r="F711" s="112" t="s">
        <v>3922</v>
      </c>
    </row>
  </sheetData>
  <autoFilter ref="A1:E684" xr:uid="{329F0F2B-B9C6-414D-963F-9BF6124CC423}">
    <sortState xmlns:xlrd2="http://schemas.microsoft.com/office/spreadsheetml/2017/richdata2" ref="A2:E641">
      <sortCondition ref="D1:D640"/>
    </sortState>
  </autoFilter>
  <sortState xmlns:xlrd2="http://schemas.microsoft.com/office/spreadsheetml/2017/richdata2" ref="A2:D711">
    <sortCondition ref="A2"/>
    <sortCondition ref="B2"/>
    <sortCondition ref="C2"/>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DC4E7-CD39-4292-B521-C5418739061C}">
  <sheetPr codeName="Feuil13"/>
  <dimension ref="A1:A2"/>
  <sheetViews>
    <sheetView workbookViewId="0"/>
  </sheetViews>
  <sheetFormatPr baseColWidth="10" defaultColWidth="11.44140625" defaultRowHeight="14.4" x14ac:dyDescent="0.3"/>
  <sheetData>
    <row r="1" spans="1:1" x14ac:dyDescent="0.3">
      <c r="A1" t="s">
        <v>182</v>
      </c>
    </row>
    <row r="2" spans="1:1" x14ac:dyDescent="0.3">
      <c r="A2" t="s">
        <v>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D5D8A603EC4E42B564D2BD94ED6140" ma:contentTypeVersion="4" ma:contentTypeDescription="Crée un document." ma:contentTypeScope="" ma:versionID="02ef7b01b87f55b3edc75b232be0ac45">
  <xsd:schema xmlns:xsd="http://www.w3.org/2001/XMLSchema" xmlns:xs="http://www.w3.org/2001/XMLSchema" xmlns:p="http://schemas.microsoft.com/office/2006/metadata/properties" xmlns:ns2="a7d95a53-3292-4973-97bf-797264bde477" targetNamespace="http://schemas.microsoft.com/office/2006/metadata/properties" ma:root="true" ma:fieldsID="3b2276b323d680b0a0b5c97e87ec6da2" ns2:_="">
    <xsd:import namespace="a7d95a53-3292-4973-97bf-797264bde4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d95a53-3292-4973-97bf-797264bde47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4739883-EF64-4AB9-8F29-B4E2F5FD5587}">
  <ds:schemaRefs>
    <ds:schemaRef ds:uri="http://www.w3.org/XML/1998/namespace"/>
    <ds:schemaRef ds:uri="http://purl.org/dc/terms/"/>
    <ds:schemaRef ds:uri="http://schemas.microsoft.com/office/infopath/2007/PartnerControls"/>
    <ds:schemaRef ds:uri="http://purl.org/dc/elements/1.1/"/>
    <ds:schemaRef ds:uri="http://schemas.microsoft.com/office/2006/documentManagement/types"/>
    <ds:schemaRef ds:uri="http://schemas.openxmlformats.org/package/2006/metadata/core-properties"/>
    <ds:schemaRef ds:uri="http://schemas.microsoft.com/office/2006/metadata/properties"/>
    <ds:schemaRef ds:uri="a7d95a53-3292-4973-97bf-797264bde477"/>
    <ds:schemaRef ds:uri="http://purl.org/dc/dcmitype/"/>
  </ds:schemaRefs>
</ds:datastoreItem>
</file>

<file path=customXml/itemProps2.xml><?xml version="1.0" encoding="utf-8"?>
<ds:datastoreItem xmlns:ds="http://schemas.openxmlformats.org/officeDocument/2006/customXml" ds:itemID="{7805EAA8-7E1C-430C-B56E-7FD334D99A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d95a53-3292-4973-97bf-797264bde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01CD22E-0350-4C4E-ADC6-9FA928AE50E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971</vt:i4>
      </vt:variant>
    </vt:vector>
  </HeadingPairs>
  <TitlesOfParts>
    <vt:vector size="973" baseType="lpstr">
      <vt:lpstr>Demande OS</vt:lpstr>
      <vt:lpstr>Liste des UFS pour les techs</vt:lpstr>
      <vt:lpstr>Classes</vt:lpstr>
      <vt:lpstr>DropdownList</vt:lpstr>
      <vt:lpstr>Entreprises</vt:lpstr>
      <vt:lpstr>'Liste des UFS pour les techs'!Impression_des_titres</vt:lpstr>
      <vt:lpstr>ReferentsDPT</vt:lpstr>
      <vt:lpstr>ValidList_G10</vt:lpstr>
      <vt:lpstr>ValidList_G1005</vt:lpstr>
      <vt:lpstr>ValidList_G101</vt:lpstr>
      <vt:lpstr>ValidList_G1011</vt:lpstr>
      <vt:lpstr>ValidList_G1013</vt:lpstr>
      <vt:lpstr>ValidList_G1014</vt:lpstr>
      <vt:lpstr>ValidList_G1016</vt:lpstr>
      <vt:lpstr>ValidList_G1017</vt:lpstr>
      <vt:lpstr>ValidList_G1018</vt:lpstr>
      <vt:lpstr>ValidList_G1019</vt:lpstr>
      <vt:lpstr>ValidList_G102</vt:lpstr>
      <vt:lpstr>ValidList_G1020</vt:lpstr>
      <vt:lpstr>ValidList_G1021</vt:lpstr>
      <vt:lpstr>ValidList_G1022</vt:lpstr>
      <vt:lpstr>ValidList_G1024</vt:lpstr>
      <vt:lpstr>ValidList_G1025</vt:lpstr>
      <vt:lpstr>ValidList_G1026</vt:lpstr>
      <vt:lpstr>ValidList_G1027</vt:lpstr>
      <vt:lpstr>ValidList_G103</vt:lpstr>
      <vt:lpstr>ValidList_G1030</vt:lpstr>
      <vt:lpstr>ValidList_G1031</vt:lpstr>
      <vt:lpstr>ValidList_G1032</vt:lpstr>
      <vt:lpstr>ValidList_G1033</vt:lpstr>
      <vt:lpstr>ValidList_G1034</vt:lpstr>
      <vt:lpstr>ValidList_G1036</vt:lpstr>
      <vt:lpstr>ValidList_G1038</vt:lpstr>
      <vt:lpstr>ValidList_G1039</vt:lpstr>
      <vt:lpstr>ValidList_G104</vt:lpstr>
      <vt:lpstr>ValidList_G1040</vt:lpstr>
      <vt:lpstr>ValidList_G1041</vt:lpstr>
      <vt:lpstr>ValidList_G1042</vt:lpstr>
      <vt:lpstr>ValidList_G1043</vt:lpstr>
      <vt:lpstr>ValidList_G105</vt:lpstr>
      <vt:lpstr>ValidList_G1051</vt:lpstr>
      <vt:lpstr>ValidList_G1052</vt:lpstr>
      <vt:lpstr>ValidList_G1055</vt:lpstr>
      <vt:lpstr>ValidList_G1056</vt:lpstr>
      <vt:lpstr>ValidList_G1057</vt:lpstr>
      <vt:lpstr>ValidList_G1058</vt:lpstr>
      <vt:lpstr>ValidList_G1059</vt:lpstr>
      <vt:lpstr>ValidList_G106</vt:lpstr>
      <vt:lpstr>ValidList_G1062</vt:lpstr>
      <vt:lpstr>ValidList_G1063</vt:lpstr>
      <vt:lpstr>ValidList_G1064</vt:lpstr>
      <vt:lpstr>ValidList_G1065</vt:lpstr>
      <vt:lpstr>ValidList_G1068</vt:lpstr>
      <vt:lpstr>ValidList_G1069</vt:lpstr>
      <vt:lpstr>ValidList_G107</vt:lpstr>
      <vt:lpstr>ValidList_G1070</vt:lpstr>
      <vt:lpstr>ValidList_G1072</vt:lpstr>
      <vt:lpstr>ValidList_G1073</vt:lpstr>
      <vt:lpstr>ValidList_G1075</vt:lpstr>
      <vt:lpstr>ValidList_G108</vt:lpstr>
      <vt:lpstr>ValidList_G1080</vt:lpstr>
      <vt:lpstr>ValidList_G1081</vt:lpstr>
      <vt:lpstr>ValidList_G1082</vt:lpstr>
      <vt:lpstr>ValidList_G1083</vt:lpstr>
      <vt:lpstr>ValidList_G1084</vt:lpstr>
      <vt:lpstr>ValidList_G1086</vt:lpstr>
      <vt:lpstr>ValidList_G11</vt:lpstr>
      <vt:lpstr>ValidList_G110</vt:lpstr>
      <vt:lpstr>ValidList_G1103</vt:lpstr>
      <vt:lpstr>ValidList_G1104</vt:lpstr>
      <vt:lpstr>ValidList_G111</vt:lpstr>
      <vt:lpstr>ValidList_G1110</vt:lpstr>
      <vt:lpstr>ValidList_G1111</vt:lpstr>
      <vt:lpstr>ValidList_G1112</vt:lpstr>
      <vt:lpstr>ValidList_G1113</vt:lpstr>
      <vt:lpstr>ValidList_G1114</vt:lpstr>
      <vt:lpstr>ValidList_G1115</vt:lpstr>
      <vt:lpstr>ValidList_G1118</vt:lpstr>
      <vt:lpstr>ValidList_G1119</vt:lpstr>
      <vt:lpstr>ValidList_G112</vt:lpstr>
      <vt:lpstr>ValidList_G1122</vt:lpstr>
      <vt:lpstr>ValidList_G113</vt:lpstr>
      <vt:lpstr>ValidList_G114</vt:lpstr>
      <vt:lpstr>ValidList_G115</vt:lpstr>
      <vt:lpstr>ValidList_G116</vt:lpstr>
      <vt:lpstr>ValidList_G117</vt:lpstr>
      <vt:lpstr>ValidList_G118</vt:lpstr>
      <vt:lpstr>ValidList_G119</vt:lpstr>
      <vt:lpstr>ValidList_G12</vt:lpstr>
      <vt:lpstr>ValidList_G121</vt:lpstr>
      <vt:lpstr>ValidList_G122</vt:lpstr>
      <vt:lpstr>ValidList_G123</vt:lpstr>
      <vt:lpstr>ValidList_G124</vt:lpstr>
      <vt:lpstr>ValidList_G125</vt:lpstr>
      <vt:lpstr>ValidList_G126</vt:lpstr>
      <vt:lpstr>ValidList_G127</vt:lpstr>
      <vt:lpstr>ValidList_G128</vt:lpstr>
      <vt:lpstr>ValidList_G13</vt:lpstr>
      <vt:lpstr>ValidList_G130</vt:lpstr>
      <vt:lpstr>ValidList_G131</vt:lpstr>
      <vt:lpstr>ValidList_G135</vt:lpstr>
      <vt:lpstr>ValidList_G136</vt:lpstr>
      <vt:lpstr>ValidList_G143</vt:lpstr>
      <vt:lpstr>ValidList_G144</vt:lpstr>
      <vt:lpstr>ValidList_G145</vt:lpstr>
      <vt:lpstr>ValidList_G146</vt:lpstr>
      <vt:lpstr>ValidList_G147</vt:lpstr>
      <vt:lpstr>ValidList_G148</vt:lpstr>
      <vt:lpstr>ValidList_G149</vt:lpstr>
      <vt:lpstr>ValidList_G150</vt:lpstr>
      <vt:lpstr>ValidList_G151</vt:lpstr>
      <vt:lpstr>ValidList_G153</vt:lpstr>
      <vt:lpstr>ValidList_G154</vt:lpstr>
      <vt:lpstr>ValidList_G155</vt:lpstr>
      <vt:lpstr>ValidList_G156</vt:lpstr>
      <vt:lpstr>ValidList_G157</vt:lpstr>
      <vt:lpstr>ValidList_G158</vt:lpstr>
      <vt:lpstr>ValidList_G159</vt:lpstr>
      <vt:lpstr>ValidList_G16</vt:lpstr>
      <vt:lpstr>ValidList_G160</vt:lpstr>
      <vt:lpstr>ValidList_G161</vt:lpstr>
      <vt:lpstr>ValidList_G162</vt:lpstr>
      <vt:lpstr>ValidList_G163</vt:lpstr>
      <vt:lpstr>ValidList_G164</vt:lpstr>
      <vt:lpstr>ValidList_G165</vt:lpstr>
      <vt:lpstr>ValidList_G166</vt:lpstr>
      <vt:lpstr>ValidList_G167</vt:lpstr>
      <vt:lpstr>ValidList_G168</vt:lpstr>
      <vt:lpstr>ValidList_G17</vt:lpstr>
      <vt:lpstr>ValidList_G174</vt:lpstr>
      <vt:lpstr>ValidList_G175</vt:lpstr>
      <vt:lpstr>ValidList_G176</vt:lpstr>
      <vt:lpstr>ValidList_G177</vt:lpstr>
      <vt:lpstr>ValidList_G179</vt:lpstr>
      <vt:lpstr>ValidList_G18</vt:lpstr>
      <vt:lpstr>ValidList_G180</vt:lpstr>
      <vt:lpstr>ValidList_G181</vt:lpstr>
      <vt:lpstr>ValidList_G182</vt:lpstr>
      <vt:lpstr>ValidList_G183</vt:lpstr>
      <vt:lpstr>ValidList_G184</vt:lpstr>
      <vt:lpstr>ValidList_G187</vt:lpstr>
      <vt:lpstr>ValidList_G19</vt:lpstr>
      <vt:lpstr>ValidList_G192</vt:lpstr>
      <vt:lpstr>ValidList_G193</vt:lpstr>
      <vt:lpstr>ValidList_G194</vt:lpstr>
      <vt:lpstr>ValidList_G195</vt:lpstr>
      <vt:lpstr>ValidList_G196</vt:lpstr>
      <vt:lpstr>ValidList_G197</vt:lpstr>
      <vt:lpstr>ValidList_G198</vt:lpstr>
      <vt:lpstr>ValidList_G20</vt:lpstr>
      <vt:lpstr>ValidList_G201</vt:lpstr>
      <vt:lpstr>ValidList_G202</vt:lpstr>
      <vt:lpstr>ValidList_G203</vt:lpstr>
      <vt:lpstr>ValidList_G204</vt:lpstr>
      <vt:lpstr>ValidList_G205</vt:lpstr>
      <vt:lpstr>ValidList_G206</vt:lpstr>
      <vt:lpstr>ValidList_G207</vt:lpstr>
      <vt:lpstr>ValidList_G208</vt:lpstr>
      <vt:lpstr>ValidList_G209</vt:lpstr>
      <vt:lpstr>ValidList_G21</vt:lpstr>
      <vt:lpstr>ValidList_G210</vt:lpstr>
      <vt:lpstr>ValidList_G216</vt:lpstr>
      <vt:lpstr>ValidList_G217</vt:lpstr>
      <vt:lpstr>ValidList_G218</vt:lpstr>
      <vt:lpstr>ValidList_G219</vt:lpstr>
      <vt:lpstr>ValidList_G22</vt:lpstr>
      <vt:lpstr>ValidList_G220</vt:lpstr>
      <vt:lpstr>ValidList_G221</vt:lpstr>
      <vt:lpstr>ValidList_G222</vt:lpstr>
      <vt:lpstr>ValidList_G223</vt:lpstr>
      <vt:lpstr>ValidList_G224</vt:lpstr>
      <vt:lpstr>ValidList_G225</vt:lpstr>
      <vt:lpstr>ValidList_G226</vt:lpstr>
      <vt:lpstr>ValidList_G23</vt:lpstr>
      <vt:lpstr>ValidList_G234</vt:lpstr>
      <vt:lpstr>ValidList_G235</vt:lpstr>
      <vt:lpstr>ValidList_G236</vt:lpstr>
      <vt:lpstr>ValidList_G238</vt:lpstr>
      <vt:lpstr>ValidList_G239</vt:lpstr>
      <vt:lpstr>ValidList_G24</vt:lpstr>
      <vt:lpstr>ValidList_G240</vt:lpstr>
      <vt:lpstr>ValidList_G241</vt:lpstr>
      <vt:lpstr>ValidList_G242</vt:lpstr>
      <vt:lpstr>ValidList_G243</vt:lpstr>
      <vt:lpstr>ValidList_G244</vt:lpstr>
      <vt:lpstr>ValidList_G245</vt:lpstr>
      <vt:lpstr>ValidList_G246</vt:lpstr>
      <vt:lpstr>ValidList_G247</vt:lpstr>
      <vt:lpstr>ValidList_G248</vt:lpstr>
      <vt:lpstr>ValidList_G249</vt:lpstr>
      <vt:lpstr>ValidList_G25</vt:lpstr>
      <vt:lpstr>ValidList_G253</vt:lpstr>
      <vt:lpstr>ValidList_G254</vt:lpstr>
      <vt:lpstr>ValidList_G26</vt:lpstr>
      <vt:lpstr>ValidList_G268</vt:lpstr>
      <vt:lpstr>ValidList_G269</vt:lpstr>
      <vt:lpstr>ValidList_G27</vt:lpstr>
      <vt:lpstr>ValidList_G270</vt:lpstr>
      <vt:lpstr>ValidList_G271</vt:lpstr>
      <vt:lpstr>ValidList_G272</vt:lpstr>
      <vt:lpstr>ValidList_G273</vt:lpstr>
      <vt:lpstr>ValidList_G274</vt:lpstr>
      <vt:lpstr>ValidList_G275</vt:lpstr>
      <vt:lpstr>ValidList_G276</vt:lpstr>
      <vt:lpstr>ValidList_G280</vt:lpstr>
      <vt:lpstr>ValidList_G282</vt:lpstr>
      <vt:lpstr>ValidList_G283</vt:lpstr>
      <vt:lpstr>ValidList_G284</vt:lpstr>
      <vt:lpstr>ValidList_G285</vt:lpstr>
      <vt:lpstr>ValidList_G286</vt:lpstr>
      <vt:lpstr>ValidList_G287</vt:lpstr>
      <vt:lpstr>ValidList_G292</vt:lpstr>
      <vt:lpstr>ValidList_G293</vt:lpstr>
      <vt:lpstr>ValidList_G294</vt:lpstr>
      <vt:lpstr>ValidList_G295</vt:lpstr>
      <vt:lpstr>ValidList_G296</vt:lpstr>
      <vt:lpstr>ValidList_G297</vt:lpstr>
      <vt:lpstr>ValidList_G298</vt:lpstr>
      <vt:lpstr>ValidList_G299</vt:lpstr>
      <vt:lpstr>ValidList_G3</vt:lpstr>
      <vt:lpstr>ValidList_G300</vt:lpstr>
      <vt:lpstr>ValidList_G301</vt:lpstr>
      <vt:lpstr>ValidList_G302</vt:lpstr>
      <vt:lpstr>ValidList_G303</vt:lpstr>
      <vt:lpstr>ValidList_G304</vt:lpstr>
      <vt:lpstr>ValidList_G305</vt:lpstr>
      <vt:lpstr>ValidList_G306</vt:lpstr>
      <vt:lpstr>ValidList_G31</vt:lpstr>
      <vt:lpstr>ValidList_G310</vt:lpstr>
      <vt:lpstr>ValidList_G311</vt:lpstr>
      <vt:lpstr>ValidList_G312</vt:lpstr>
      <vt:lpstr>ValidList_G313</vt:lpstr>
      <vt:lpstr>ValidList_G314</vt:lpstr>
      <vt:lpstr>ValidList_G315</vt:lpstr>
      <vt:lpstr>ValidList_G316</vt:lpstr>
      <vt:lpstr>ValidList_G317</vt:lpstr>
      <vt:lpstr>ValidList_G318</vt:lpstr>
      <vt:lpstr>ValidList_G319</vt:lpstr>
      <vt:lpstr>ValidList_G32</vt:lpstr>
      <vt:lpstr>ValidList_G320</vt:lpstr>
      <vt:lpstr>ValidList_G321</vt:lpstr>
      <vt:lpstr>ValidList_G322</vt:lpstr>
      <vt:lpstr>ValidList_G325</vt:lpstr>
      <vt:lpstr>ValidList_G327</vt:lpstr>
      <vt:lpstr>ValidList_G328</vt:lpstr>
      <vt:lpstr>ValidList_G329</vt:lpstr>
      <vt:lpstr>ValidList_G33</vt:lpstr>
      <vt:lpstr>ValidList_G330</vt:lpstr>
      <vt:lpstr>ValidList_G331</vt:lpstr>
      <vt:lpstr>ValidList_G332</vt:lpstr>
      <vt:lpstr>ValidList_G333</vt:lpstr>
      <vt:lpstr>ValidList_G334</vt:lpstr>
      <vt:lpstr>ValidList_G335</vt:lpstr>
      <vt:lpstr>ValidList_G336</vt:lpstr>
      <vt:lpstr>ValidList_G337</vt:lpstr>
      <vt:lpstr>ValidList_G34</vt:lpstr>
      <vt:lpstr>ValidList_G340</vt:lpstr>
      <vt:lpstr>ValidList_G341</vt:lpstr>
      <vt:lpstr>ValidList_G342</vt:lpstr>
      <vt:lpstr>ValidList_G344</vt:lpstr>
      <vt:lpstr>ValidList_G346</vt:lpstr>
      <vt:lpstr>ValidList_G347</vt:lpstr>
      <vt:lpstr>ValidList_G348</vt:lpstr>
      <vt:lpstr>ValidList_G349</vt:lpstr>
      <vt:lpstr>ValidList_G35</vt:lpstr>
      <vt:lpstr>ValidList_G351</vt:lpstr>
      <vt:lpstr>ValidList_G352</vt:lpstr>
      <vt:lpstr>ValidList_G353</vt:lpstr>
      <vt:lpstr>ValidList_G354</vt:lpstr>
      <vt:lpstr>ValidList_G355</vt:lpstr>
      <vt:lpstr>ValidList_G356</vt:lpstr>
      <vt:lpstr>ValidList_G357</vt:lpstr>
      <vt:lpstr>ValidList_G358</vt:lpstr>
      <vt:lpstr>ValidList_G359</vt:lpstr>
      <vt:lpstr>ValidList_G36</vt:lpstr>
      <vt:lpstr>ValidList_G360</vt:lpstr>
      <vt:lpstr>ValidList_G361</vt:lpstr>
      <vt:lpstr>ValidList_G362</vt:lpstr>
      <vt:lpstr>ValidList_G363</vt:lpstr>
      <vt:lpstr>ValidList_G364</vt:lpstr>
      <vt:lpstr>ValidList_G365</vt:lpstr>
      <vt:lpstr>ValidList_G366</vt:lpstr>
      <vt:lpstr>ValidList_G367</vt:lpstr>
      <vt:lpstr>ValidList_G369</vt:lpstr>
      <vt:lpstr>ValidList_G37</vt:lpstr>
      <vt:lpstr>ValidList_G370</vt:lpstr>
      <vt:lpstr>ValidList_G371</vt:lpstr>
      <vt:lpstr>ValidList_G372</vt:lpstr>
      <vt:lpstr>ValidList_G373</vt:lpstr>
      <vt:lpstr>ValidList_G374</vt:lpstr>
      <vt:lpstr>ValidList_G375</vt:lpstr>
      <vt:lpstr>ValidList_G38</vt:lpstr>
      <vt:lpstr>ValidList_G381</vt:lpstr>
      <vt:lpstr>ValidList_G382</vt:lpstr>
      <vt:lpstr>ValidList_G384</vt:lpstr>
      <vt:lpstr>ValidList_G385</vt:lpstr>
      <vt:lpstr>ValidList_G387</vt:lpstr>
      <vt:lpstr>ValidList_G389</vt:lpstr>
      <vt:lpstr>ValidList_G39</vt:lpstr>
      <vt:lpstr>ValidList_G391</vt:lpstr>
      <vt:lpstr>ValidList_G392</vt:lpstr>
      <vt:lpstr>ValidList_G393</vt:lpstr>
      <vt:lpstr>ValidList_G394</vt:lpstr>
      <vt:lpstr>ValidList_G395</vt:lpstr>
      <vt:lpstr>ValidList_G396</vt:lpstr>
      <vt:lpstr>ValidList_G397</vt:lpstr>
      <vt:lpstr>ValidList_G398</vt:lpstr>
      <vt:lpstr>ValidList_G399</vt:lpstr>
      <vt:lpstr>ValidList_G4</vt:lpstr>
      <vt:lpstr>ValidList_G400</vt:lpstr>
      <vt:lpstr>ValidList_G401</vt:lpstr>
      <vt:lpstr>ValidList_G402</vt:lpstr>
      <vt:lpstr>ValidList_G403</vt:lpstr>
      <vt:lpstr>ValidList_G404</vt:lpstr>
      <vt:lpstr>ValidList_G408</vt:lpstr>
      <vt:lpstr>ValidList_G409</vt:lpstr>
      <vt:lpstr>ValidList_G413</vt:lpstr>
      <vt:lpstr>ValidList_G417</vt:lpstr>
      <vt:lpstr>ValidList_G418</vt:lpstr>
      <vt:lpstr>ValidList_G419</vt:lpstr>
      <vt:lpstr>ValidList_G42</vt:lpstr>
      <vt:lpstr>ValidList_G420</vt:lpstr>
      <vt:lpstr>ValidList_G421</vt:lpstr>
      <vt:lpstr>ValidList_G425</vt:lpstr>
      <vt:lpstr>ValidList_G426</vt:lpstr>
      <vt:lpstr>ValidList_G428</vt:lpstr>
      <vt:lpstr>ValidList_G429</vt:lpstr>
      <vt:lpstr>ValidList_G43</vt:lpstr>
      <vt:lpstr>ValidList_G430</vt:lpstr>
      <vt:lpstr>ValidList_G431</vt:lpstr>
      <vt:lpstr>ValidList_G432</vt:lpstr>
      <vt:lpstr>ValidList_G433</vt:lpstr>
      <vt:lpstr>ValidList_G436</vt:lpstr>
      <vt:lpstr>ValidList_G437</vt:lpstr>
      <vt:lpstr>ValidList_G438</vt:lpstr>
      <vt:lpstr>ValidList_G439</vt:lpstr>
      <vt:lpstr>ValidList_G44</vt:lpstr>
      <vt:lpstr>ValidList_G440</vt:lpstr>
      <vt:lpstr>ValidList_G441</vt:lpstr>
      <vt:lpstr>ValidList_G442</vt:lpstr>
      <vt:lpstr>ValidList_G443</vt:lpstr>
      <vt:lpstr>ValidList_G444</vt:lpstr>
      <vt:lpstr>ValidList_G445</vt:lpstr>
      <vt:lpstr>ValidList_G446</vt:lpstr>
      <vt:lpstr>ValidList_G447</vt:lpstr>
      <vt:lpstr>ValidList_G448</vt:lpstr>
      <vt:lpstr>ValidList_G45</vt:lpstr>
      <vt:lpstr>ValidList_G451</vt:lpstr>
      <vt:lpstr>ValidList_G452</vt:lpstr>
      <vt:lpstr>ValidList_G454</vt:lpstr>
      <vt:lpstr>ValidList_G455</vt:lpstr>
      <vt:lpstr>ValidList_G456</vt:lpstr>
      <vt:lpstr>ValidList_G457</vt:lpstr>
      <vt:lpstr>ValidList_G458</vt:lpstr>
      <vt:lpstr>ValidList_G459</vt:lpstr>
      <vt:lpstr>ValidList_G460</vt:lpstr>
      <vt:lpstr>ValidList_G461</vt:lpstr>
      <vt:lpstr>ValidList_G462</vt:lpstr>
      <vt:lpstr>ValidList_G463</vt:lpstr>
      <vt:lpstr>ValidList_G465</vt:lpstr>
      <vt:lpstr>ValidList_G466</vt:lpstr>
      <vt:lpstr>ValidList_G467</vt:lpstr>
      <vt:lpstr>ValidList_G468</vt:lpstr>
      <vt:lpstr>ValidList_G469</vt:lpstr>
      <vt:lpstr>ValidList_G470</vt:lpstr>
      <vt:lpstr>ValidList_G471</vt:lpstr>
      <vt:lpstr>ValidList_G472</vt:lpstr>
      <vt:lpstr>ValidList_G473</vt:lpstr>
      <vt:lpstr>ValidList_G475</vt:lpstr>
      <vt:lpstr>ValidList_G476</vt:lpstr>
      <vt:lpstr>ValidList_G477</vt:lpstr>
      <vt:lpstr>ValidList_G478</vt:lpstr>
      <vt:lpstr>ValidList_G479</vt:lpstr>
      <vt:lpstr>ValidList_G48</vt:lpstr>
      <vt:lpstr>ValidList_G480</vt:lpstr>
      <vt:lpstr>ValidList_G481</vt:lpstr>
      <vt:lpstr>ValidList_G483</vt:lpstr>
      <vt:lpstr>ValidList_G484</vt:lpstr>
      <vt:lpstr>ValidList_G486</vt:lpstr>
      <vt:lpstr>ValidList_G487</vt:lpstr>
      <vt:lpstr>ValidList_G489</vt:lpstr>
      <vt:lpstr>ValidList_G49</vt:lpstr>
      <vt:lpstr>ValidList_G490</vt:lpstr>
      <vt:lpstr>ValidList_G491</vt:lpstr>
      <vt:lpstr>ValidList_G496</vt:lpstr>
      <vt:lpstr>ValidList_G497</vt:lpstr>
      <vt:lpstr>ValidList_G498</vt:lpstr>
      <vt:lpstr>ValidList_G499</vt:lpstr>
      <vt:lpstr>ValidList_G5</vt:lpstr>
      <vt:lpstr>ValidList_G50</vt:lpstr>
      <vt:lpstr>ValidList_G502</vt:lpstr>
      <vt:lpstr>ValidList_G503</vt:lpstr>
      <vt:lpstr>ValidList_G507</vt:lpstr>
      <vt:lpstr>ValidList_G508</vt:lpstr>
      <vt:lpstr>ValidList_G509</vt:lpstr>
      <vt:lpstr>ValidList_G51</vt:lpstr>
      <vt:lpstr>ValidList_G510</vt:lpstr>
      <vt:lpstr>ValidList_G511</vt:lpstr>
      <vt:lpstr>ValidList_G512</vt:lpstr>
      <vt:lpstr>ValidList_G513</vt:lpstr>
      <vt:lpstr>ValidList_G515</vt:lpstr>
      <vt:lpstr>ValidList_G516</vt:lpstr>
      <vt:lpstr>ValidList_G517</vt:lpstr>
      <vt:lpstr>ValidList_G518</vt:lpstr>
      <vt:lpstr>ValidList_G519</vt:lpstr>
      <vt:lpstr>ValidList_G52</vt:lpstr>
      <vt:lpstr>ValidList_G520</vt:lpstr>
      <vt:lpstr>ValidList_G521</vt:lpstr>
      <vt:lpstr>ValidList_G524</vt:lpstr>
      <vt:lpstr>ValidList_G528</vt:lpstr>
      <vt:lpstr>ValidList_G53</vt:lpstr>
      <vt:lpstr>ValidList_G533</vt:lpstr>
      <vt:lpstr>ValidList_G534</vt:lpstr>
      <vt:lpstr>ValidList_G535</vt:lpstr>
      <vt:lpstr>ValidList_G538</vt:lpstr>
      <vt:lpstr>ValidList_G539</vt:lpstr>
      <vt:lpstr>ValidList_G54</vt:lpstr>
      <vt:lpstr>ValidList_G540</vt:lpstr>
      <vt:lpstr>ValidList_G544</vt:lpstr>
      <vt:lpstr>ValidList_G545</vt:lpstr>
      <vt:lpstr>ValidList_G546</vt:lpstr>
      <vt:lpstr>ValidList_G549</vt:lpstr>
      <vt:lpstr>ValidList_G550</vt:lpstr>
      <vt:lpstr>ValidList_G551</vt:lpstr>
      <vt:lpstr>ValidList_G552</vt:lpstr>
      <vt:lpstr>ValidList_G553</vt:lpstr>
      <vt:lpstr>ValidList_G554</vt:lpstr>
      <vt:lpstr>ValidList_G555</vt:lpstr>
      <vt:lpstr>ValidList_G556</vt:lpstr>
      <vt:lpstr>ValidList_G557</vt:lpstr>
      <vt:lpstr>ValidList_G558</vt:lpstr>
      <vt:lpstr>ValidList_G559</vt:lpstr>
      <vt:lpstr>ValidList_G560</vt:lpstr>
      <vt:lpstr>ValidList_G561</vt:lpstr>
      <vt:lpstr>ValidList_G562</vt:lpstr>
      <vt:lpstr>ValidList_G565</vt:lpstr>
      <vt:lpstr>ValidList_G566</vt:lpstr>
      <vt:lpstr>ValidList_G567</vt:lpstr>
      <vt:lpstr>ValidList_G568</vt:lpstr>
      <vt:lpstr>ValidList_G574</vt:lpstr>
      <vt:lpstr>ValidList_G576</vt:lpstr>
      <vt:lpstr>ValidList_G58</vt:lpstr>
      <vt:lpstr>ValidList_G580</vt:lpstr>
      <vt:lpstr>ValidList_G581</vt:lpstr>
      <vt:lpstr>ValidList_G582</vt:lpstr>
      <vt:lpstr>ValidList_G583</vt:lpstr>
      <vt:lpstr>ValidList_G584</vt:lpstr>
      <vt:lpstr>ValidList_G585</vt:lpstr>
      <vt:lpstr>ValidList_G586</vt:lpstr>
      <vt:lpstr>ValidList_G587</vt:lpstr>
      <vt:lpstr>ValidList_G588</vt:lpstr>
      <vt:lpstr>ValidList_G589</vt:lpstr>
      <vt:lpstr>ValidList_G59</vt:lpstr>
      <vt:lpstr>ValidList_G591</vt:lpstr>
      <vt:lpstr>ValidList_G592</vt:lpstr>
      <vt:lpstr>ValidList_G593</vt:lpstr>
      <vt:lpstr>ValidList_G594</vt:lpstr>
      <vt:lpstr>ValidList_G595</vt:lpstr>
      <vt:lpstr>ValidList_G596</vt:lpstr>
      <vt:lpstr>ValidList_G597</vt:lpstr>
      <vt:lpstr>ValidList_G6</vt:lpstr>
      <vt:lpstr>ValidList_G60</vt:lpstr>
      <vt:lpstr>ValidList_G603</vt:lpstr>
      <vt:lpstr>ValidList_G604</vt:lpstr>
      <vt:lpstr>ValidList_G606</vt:lpstr>
      <vt:lpstr>ValidList_G607</vt:lpstr>
      <vt:lpstr>ValidList_G608</vt:lpstr>
      <vt:lpstr>ValidList_G609</vt:lpstr>
      <vt:lpstr>ValidList_G612</vt:lpstr>
      <vt:lpstr>ValidList_G613</vt:lpstr>
      <vt:lpstr>ValidList_G615</vt:lpstr>
      <vt:lpstr>ValidList_G616</vt:lpstr>
      <vt:lpstr>ValidList_G617</vt:lpstr>
      <vt:lpstr>ValidList_G619</vt:lpstr>
      <vt:lpstr>ValidList_G622</vt:lpstr>
      <vt:lpstr>ValidList_G625</vt:lpstr>
      <vt:lpstr>ValidList_G626</vt:lpstr>
      <vt:lpstr>ValidList_G629</vt:lpstr>
      <vt:lpstr>ValidList_G630</vt:lpstr>
      <vt:lpstr>ValidList_G631</vt:lpstr>
      <vt:lpstr>ValidList_G632</vt:lpstr>
      <vt:lpstr>ValidList_G633</vt:lpstr>
      <vt:lpstr>ValidList_G634</vt:lpstr>
      <vt:lpstr>ValidList_G637</vt:lpstr>
      <vt:lpstr>ValidList_G645</vt:lpstr>
      <vt:lpstr>ValidList_G646</vt:lpstr>
      <vt:lpstr>ValidList_G647</vt:lpstr>
      <vt:lpstr>ValidList_G648</vt:lpstr>
      <vt:lpstr>ValidList_G649</vt:lpstr>
      <vt:lpstr>ValidList_G650</vt:lpstr>
      <vt:lpstr>ValidList_G651</vt:lpstr>
      <vt:lpstr>ValidList_G652</vt:lpstr>
      <vt:lpstr>ValidList_G653</vt:lpstr>
      <vt:lpstr>ValidList_G654</vt:lpstr>
      <vt:lpstr>ValidList_G655</vt:lpstr>
      <vt:lpstr>ValidList_G656</vt:lpstr>
      <vt:lpstr>ValidList_G657</vt:lpstr>
      <vt:lpstr>ValidList_G658</vt:lpstr>
      <vt:lpstr>ValidList_G659</vt:lpstr>
      <vt:lpstr>ValidList_G660</vt:lpstr>
      <vt:lpstr>ValidList_G661</vt:lpstr>
      <vt:lpstr>ValidList_G664</vt:lpstr>
      <vt:lpstr>ValidList_G665</vt:lpstr>
      <vt:lpstr>ValidList_G666</vt:lpstr>
      <vt:lpstr>ValidList_G667</vt:lpstr>
      <vt:lpstr>ValidList_G668</vt:lpstr>
      <vt:lpstr>ValidList_G669</vt:lpstr>
      <vt:lpstr>ValidList_G670</vt:lpstr>
      <vt:lpstr>ValidList_G671</vt:lpstr>
      <vt:lpstr>ValidList_G672</vt:lpstr>
      <vt:lpstr>ValidList_G678</vt:lpstr>
      <vt:lpstr>ValidList_G679</vt:lpstr>
      <vt:lpstr>ValidList_G681</vt:lpstr>
      <vt:lpstr>ValidList_G683</vt:lpstr>
      <vt:lpstr>ValidList_G684</vt:lpstr>
      <vt:lpstr>ValidList_G685</vt:lpstr>
      <vt:lpstr>ValidList_G690</vt:lpstr>
      <vt:lpstr>ValidList_G691</vt:lpstr>
      <vt:lpstr>ValidList_G692</vt:lpstr>
      <vt:lpstr>ValidList_G693</vt:lpstr>
      <vt:lpstr>ValidList_G694</vt:lpstr>
      <vt:lpstr>ValidList_G696</vt:lpstr>
      <vt:lpstr>ValidList_G697</vt:lpstr>
      <vt:lpstr>ValidList_G698</vt:lpstr>
      <vt:lpstr>ValidList_G699</vt:lpstr>
      <vt:lpstr>ValidList_G7</vt:lpstr>
      <vt:lpstr>ValidList_G700</vt:lpstr>
      <vt:lpstr>ValidList_G701</vt:lpstr>
      <vt:lpstr>ValidList_G702</vt:lpstr>
      <vt:lpstr>ValidList_G703</vt:lpstr>
      <vt:lpstr>ValidList_G71</vt:lpstr>
      <vt:lpstr>ValidList_G712</vt:lpstr>
      <vt:lpstr>ValidList_G713</vt:lpstr>
      <vt:lpstr>ValidList_G714</vt:lpstr>
      <vt:lpstr>ValidList_G715</vt:lpstr>
      <vt:lpstr>ValidList_G716</vt:lpstr>
      <vt:lpstr>ValidList_G717</vt:lpstr>
      <vt:lpstr>ValidList_G718</vt:lpstr>
      <vt:lpstr>ValidList_G719</vt:lpstr>
      <vt:lpstr>ValidList_G72</vt:lpstr>
      <vt:lpstr>ValidList_G720</vt:lpstr>
      <vt:lpstr>ValidList_G721</vt:lpstr>
      <vt:lpstr>ValidList_G722</vt:lpstr>
      <vt:lpstr>ValidList_G725</vt:lpstr>
      <vt:lpstr>ValidList_G728</vt:lpstr>
      <vt:lpstr>ValidList_G73</vt:lpstr>
      <vt:lpstr>ValidList_G730</vt:lpstr>
      <vt:lpstr>ValidList_G731</vt:lpstr>
      <vt:lpstr>ValidList_G732</vt:lpstr>
      <vt:lpstr>ValidList_G733</vt:lpstr>
      <vt:lpstr>ValidList_G735</vt:lpstr>
      <vt:lpstr>ValidList_G736</vt:lpstr>
      <vt:lpstr>ValidList_G739</vt:lpstr>
      <vt:lpstr>ValidList_G74</vt:lpstr>
      <vt:lpstr>ValidList_G740</vt:lpstr>
      <vt:lpstr>ValidList_G741</vt:lpstr>
      <vt:lpstr>ValidList_G742</vt:lpstr>
      <vt:lpstr>ValidList_G743</vt:lpstr>
      <vt:lpstr>ValidList_G744</vt:lpstr>
      <vt:lpstr>ValidList_G745</vt:lpstr>
      <vt:lpstr>ValidList_G746</vt:lpstr>
      <vt:lpstr>ValidList_G747</vt:lpstr>
      <vt:lpstr>ValidList_G75</vt:lpstr>
      <vt:lpstr>ValidList_G751</vt:lpstr>
      <vt:lpstr>ValidList_G752</vt:lpstr>
      <vt:lpstr>ValidList_G753</vt:lpstr>
      <vt:lpstr>ValidList_G754</vt:lpstr>
      <vt:lpstr>ValidList_G755</vt:lpstr>
      <vt:lpstr>ValidList_G756</vt:lpstr>
      <vt:lpstr>ValidList_G757</vt:lpstr>
      <vt:lpstr>ValidList_G758</vt:lpstr>
      <vt:lpstr>ValidList_G759</vt:lpstr>
      <vt:lpstr>ValidList_G76</vt:lpstr>
      <vt:lpstr>ValidList_G760</vt:lpstr>
      <vt:lpstr>ValidList_G762</vt:lpstr>
      <vt:lpstr>ValidList_G763</vt:lpstr>
      <vt:lpstr>ValidList_G764</vt:lpstr>
      <vt:lpstr>ValidList_G769</vt:lpstr>
      <vt:lpstr>ValidList_G77</vt:lpstr>
      <vt:lpstr>ValidList_G770</vt:lpstr>
      <vt:lpstr>ValidList_G771</vt:lpstr>
      <vt:lpstr>ValidList_G772</vt:lpstr>
      <vt:lpstr>ValidList_G773</vt:lpstr>
      <vt:lpstr>ValidList_G774</vt:lpstr>
      <vt:lpstr>ValidList_G775</vt:lpstr>
      <vt:lpstr>ValidList_G776</vt:lpstr>
      <vt:lpstr>ValidList_G777</vt:lpstr>
      <vt:lpstr>ValidList_G778</vt:lpstr>
      <vt:lpstr>ValidList_G779</vt:lpstr>
      <vt:lpstr>ValidList_G78</vt:lpstr>
      <vt:lpstr>ValidList_G780</vt:lpstr>
      <vt:lpstr>ValidList_G781</vt:lpstr>
      <vt:lpstr>ValidList_G782</vt:lpstr>
      <vt:lpstr>ValidList_G783</vt:lpstr>
      <vt:lpstr>ValidList_G784</vt:lpstr>
      <vt:lpstr>ValidList_G785</vt:lpstr>
      <vt:lpstr>ValidList_G786</vt:lpstr>
      <vt:lpstr>ValidList_G787</vt:lpstr>
      <vt:lpstr>ValidList_G788</vt:lpstr>
      <vt:lpstr>ValidList_G789</vt:lpstr>
      <vt:lpstr>ValidList_G79</vt:lpstr>
      <vt:lpstr>ValidList_G790</vt:lpstr>
      <vt:lpstr>ValidList_G791</vt:lpstr>
      <vt:lpstr>ValidList_G792</vt:lpstr>
      <vt:lpstr>ValidList_G793</vt:lpstr>
      <vt:lpstr>ValidList_G794</vt:lpstr>
      <vt:lpstr>ValidList_G795</vt:lpstr>
      <vt:lpstr>ValidList_G796</vt:lpstr>
      <vt:lpstr>ValidList_G798</vt:lpstr>
      <vt:lpstr>ValidList_G799</vt:lpstr>
      <vt:lpstr>ValidList_G8</vt:lpstr>
      <vt:lpstr>ValidList_G80</vt:lpstr>
      <vt:lpstr>ValidList_G800</vt:lpstr>
      <vt:lpstr>ValidList_G801</vt:lpstr>
      <vt:lpstr>ValidList_G803</vt:lpstr>
      <vt:lpstr>ValidList_G804</vt:lpstr>
      <vt:lpstr>ValidList_G809</vt:lpstr>
      <vt:lpstr>ValidList_G81</vt:lpstr>
      <vt:lpstr>ValidList_G810</vt:lpstr>
      <vt:lpstr>ValidList_G811</vt:lpstr>
      <vt:lpstr>ValidList_G812</vt:lpstr>
      <vt:lpstr>ValidList_G813</vt:lpstr>
      <vt:lpstr>ValidList_G817</vt:lpstr>
      <vt:lpstr>ValidList_G818</vt:lpstr>
      <vt:lpstr>ValidList_G819</vt:lpstr>
      <vt:lpstr>ValidList_G82</vt:lpstr>
      <vt:lpstr>ValidList_G825</vt:lpstr>
      <vt:lpstr>ValidList_G827</vt:lpstr>
      <vt:lpstr>ValidList_G828</vt:lpstr>
      <vt:lpstr>ValidList_G829</vt:lpstr>
      <vt:lpstr>ValidList_G83</vt:lpstr>
      <vt:lpstr>ValidList_G830</vt:lpstr>
      <vt:lpstr>ValidList_G831</vt:lpstr>
      <vt:lpstr>ValidList_G832</vt:lpstr>
      <vt:lpstr>ValidList_G834</vt:lpstr>
      <vt:lpstr>ValidList_G835</vt:lpstr>
      <vt:lpstr>ValidList_G836</vt:lpstr>
      <vt:lpstr>ValidList_G838</vt:lpstr>
      <vt:lpstr>ValidList_G84</vt:lpstr>
      <vt:lpstr>ValidList_G840</vt:lpstr>
      <vt:lpstr>ValidList_G841</vt:lpstr>
      <vt:lpstr>ValidList_G842</vt:lpstr>
      <vt:lpstr>ValidList_G843</vt:lpstr>
      <vt:lpstr>ValidList_G844</vt:lpstr>
      <vt:lpstr>ValidList_G845</vt:lpstr>
      <vt:lpstr>ValidList_G846</vt:lpstr>
      <vt:lpstr>ValidList_G849</vt:lpstr>
      <vt:lpstr>ValidList_G85</vt:lpstr>
      <vt:lpstr>ValidList_G850</vt:lpstr>
      <vt:lpstr>ValidList_G851</vt:lpstr>
      <vt:lpstr>ValidList_G852</vt:lpstr>
      <vt:lpstr>ValidList_G853</vt:lpstr>
      <vt:lpstr>ValidList_G854</vt:lpstr>
      <vt:lpstr>ValidList_G856</vt:lpstr>
      <vt:lpstr>ValidList_G857</vt:lpstr>
      <vt:lpstr>ValidList_G859</vt:lpstr>
      <vt:lpstr>ValidList_G860</vt:lpstr>
      <vt:lpstr>ValidList_G865</vt:lpstr>
      <vt:lpstr>ValidList_G876</vt:lpstr>
      <vt:lpstr>ValidList_G879</vt:lpstr>
      <vt:lpstr>ValidList_G880</vt:lpstr>
      <vt:lpstr>ValidList_G885</vt:lpstr>
      <vt:lpstr>ValidList_G886</vt:lpstr>
      <vt:lpstr>ValidList_G887</vt:lpstr>
      <vt:lpstr>ValidList_G890</vt:lpstr>
      <vt:lpstr>ValidList_G891</vt:lpstr>
      <vt:lpstr>ValidList_G892</vt:lpstr>
      <vt:lpstr>ValidList_G893</vt:lpstr>
      <vt:lpstr>ValidList_G894</vt:lpstr>
      <vt:lpstr>ValidList_G895</vt:lpstr>
      <vt:lpstr>ValidList_G896</vt:lpstr>
      <vt:lpstr>ValidList_G897</vt:lpstr>
      <vt:lpstr>ValidList_G898</vt:lpstr>
      <vt:lpstr>ValidList_G899</vt:lpstr>
      <vt:lpstr>ValidList_G9</vt:lpstr>
      <vt:lpstr>ValidList_G900</vt:lpstr>
      <vt:lpstr>ValidList_G901</vt:lpstr>
      <vt:lpstr>ValidList_G902</vt:lpstr>
      <vt:lpstr>ValidList_G903</vt:lpstr>
      <vt:lpstr>ValidList_G904</vt:lpstr>
      <vt:lpstr>ValidList_G905</vt:lpstr>
      <vt:lpstr>ValidList_G906</vt:lpstr>
      <vt:lpstr>ValidList_G907</vt:lpstr>
      <vt:lpstr>ValidList_G908</vt:lpstr>
      <vt:lpstr>ValidList_G91</vt:lpstr>
      <vt:lpstr>ValidList_G910</vt:lpstr>
      <vt:lpstr>ValidList_G911</vt:lpstr>
      <vt:lpstr>ValidList_G914</vt:lpstr>
      <vt:lpstr>ValidList_G916</vt:lpstr>
      <vt:lpstr>ValidList_G917</vt:lpstr>
      <vt:lpstr>ValidList_G918</vt:lpstr>
      <vt:lpstr>ValidList_G919</vt:lpstr>
      <vt:lpstr>ValidList_G92</vt:lpstr>
      <vt:lpstr>ValidList_G920</vt:lpstr>
      <vt:lpstr>ValidList_G921</vt:lpstr>
      <vt:lpstr>ValidList_G922</vt:lpstr>
      <vt:lpstr>ValidList_G927</vt:lpstr>
      <vt:lpstr>ValidList_G928</vt:lpstr>
      <vt:lpstr>ValidList_G929</vt:lpstr>
      <vt:lpstr>ValidList_G93</vt:lpstr>
      <vt:lpstr>ValidList_G930</vt:lpstr>
      <vt:lpstr>ValidList_G931</vt:lpstr>
      <vt:lpstr>ValidList_G932</vt:lpstr>
      <vt:lpstr>ValidList_G933</vt:lpstr>
      <vt:lpstr>ValidList_G935</vt:lpstr>
      <vt:lpstr>ValidList_G936</vt:lpstr>
      <vt:lpstr>ValidList_G937</vt:lpstr>
      <vt:lpstr>ValidList_G938</vt:lpstr>
      <vt:lpstr>ValidList_G939</vt:lpstr>
      <vt:lpstr>ValidList_G94</vt:lpstr>
      <vt:lpstr>ValidList_G940</vt:lpstr>
      <vt:lpstr>ValidList_G941</vt:lpstr>
      <vt:lpstr>ValidList_G942</vt:lpstr>
      <vt:lpstr>ValidList_G943</vt:lpstr>
      <vt:lpstr>ValidList_G947</vt:lpstr>
      <vt:lpstr>ValidList_G949</vt:lpstr>
      <vt:lpstr>ValidList_G95</vt:lpstr>
      <vt:lpstr>ValidList_G950</vt:lpstr>
      <vt:lpstr>ValidList_G951</vt:lpstr>
      <vt:lpstr>ValidList_G952</vt:lpstr>
      <vt:lpstr>ValidList_G953</vt:lpstr>
      <vt:lpstr>ValidList_G954</vt:lpstr>
      <vt:lpstr>ValidList_G955</vt:lpstr>
      <vt:lpstr>ValidList_G956</vt:lpstr>
      <vt:lpstr>ValidList_G957</vt:lpstr>
      <vt:lpstr>ValidList_G958</vt:lpstr>
      <vt:lpstr>ValidList_G960</vt:lpstr>
      <vt:lpstr>ValidList_G961</vt:lpstr>
      <vt:lpstr>ValidList_G962</vt:lpstr>
      <vt:lpstr>ValidList_G963</vt:lpstr>
      <vt:lpstr>ValidList_G964</vt:lpstr>
      <vt:lpstr>ValidList_G965</vt:lpstr>
      <vt:lpstr>ValidList_G966</vt:lpstr>
      <vt:lpstr>ValidList_G974</vt:lpstr>
      <vt:lpstr>ValidList_G975</vt:lpstr>
      <vt:lpstr>ValidList_G978</vt:lpstr>
      <vt:lpstr>ValidList_G979</vt:lpstr>
      <vt:lpstr>ValidList_G980</vt:lpstr>
      <vt:lpstr>ValidList_G981</vt:lpstr>
      <vt:lpstr>ValidList_G982</vt:lpstr>
      <vt:lpstr>ValidList_G983</vt:lpstr>
      <vt:lpstr>ValidList_G984</vt:lpstr>
      <vt:lpstr>ValidList_H10</vt:lpstr>
      <vt:lpstr>ValidList_H1005</vt:lpstr>
      <vt:lpstr>ValidList_H101</vt:lpstr>
      <vt:lpstr>ValidList_H1013</vt:lpstr>
      <vt:lpstr>ValidList_H1014</vt:lpstr>
      <vt:lpstr>ValidList_H1016</vt:lpstr>
      <vt:lpstr>ValidList_H1020</vt:lpstr>
      <vt:lpstr>ValidList_H1025</vt:lpstr>
      <vt:lpstr>ValidList_H1026</vt:lpstr>
      <vt:lpstr>ValidList_H1027</vt:lpstr>
      <vt:lpstr>ValidList_H1032</vt:lpstr>
      <vt:lpstr>ValidList_H1033</vt:lpstr>
      <vt:lpstr>ValidList_H1034</vt:lpstr>
      <vt:lpstr>ValidList_H104</vt:lpstr>
      <vt:lpstr>ValidList_H105</vt:lpstr>
      <vt:lpstr>ValidList_H1051</vt:lpstr>
      <vt:lpstr>ValidList_H1056</vt:lpstr>
      <vt:lpstr>ValidList_H1057</vt:lpstr>
      <vt:lpstr>ValidList_H1068</vt:lpstr>
      <vt:lpstr>ValidList_H1072</vt:lpstr>
      <vt:lpstr>ValidList_H1075</vt:lpstr>
      <vt:lpstr>ValidList_H1082</vt:lpstr>
      <vt:lpstr>ValidList_H1083</vt:lpstr>
      <vt:lpstr>ValidList_H1104</vt:lpstr>
      <vt:lpstr>ValidList_H111</vt:lpstr>
      <vt:lpstr>ValidList_H1110</vt:lpstr>
      <vt:lpstr>ValidList_H1119</vt:lpstr>
      <vt:lpstr>ValidList_H112</vt:lpstr>
      <vt:lpstr>ValidList_H119</vt:lpstr>
      <vt:lpstr>ValidList_H121</vt:lpstr>
      <vt:lpstr>ValidList_H123</vt:lpstr>
      <vt:lpstr>ValidList_H124</vt:lpstr>
      <vt:lpstr>ValidList_H126</vt:lpstr>
      <vt:lpstr>ValidList_H127</vt:lpstr>
      <vt:lpstr>ValidList_H128</vt:lpstr>
      <vt:lpstr>ValidList_H136</vt:lpstr>
      <vt:lpstr>ValidList_H149</vt:lpstr>
      <vt:lpstr>ValidList_H151</vt:lpstr>
      <vt:lpstr>ValidList_H157</vt:lpstr>
      <vt:lpstr>ValidList_H169</vt:lpstr>
      <vt:lpstr>ValidList_H17</vt:lpstr>
      <vt:lpstr>ValidList_H174</vt:lpstr>
      <vt:lpstr>ValidList_H175</vt:lpstr>
      <vt:lpstr>ValidList_H176</vt:lpstr>
      <vt:lpstr>ValidList_H182</vt:lpstr>
      <vt:lpstr>ValidList_H184</vt:lpstr>
      <vt:lpstr>ValidList_H187</vt:lpstr>
      <vt:lpstr>ValidList_H196</vt:lpstr>
      <vt:lpstr>ValidList_H198</vt:lpstr>
      <vt:lpstr>ValidList_H204</vt:lpstr>
      <vt:lpstr>ValidList_H205</vt:lpstr>
      <vt:lpstr>ValidList_H24</vt:lpstr>
      <vt:lpstr>ValidList_H275</vt:lpstr>
      <vt:lpstr>ValidList_H276</vt:lpstr>
      <vt:lpstr>ValidList_H295</vt:lpstr>
      <vt:lpstr>ValidList_H297</vt:lpstr>
      <vt:lpstr>ValidList_H298</vt:lpstr>
      <vt:lpstr>ValidList_H302</vt:lpstr>
      <vt:lpstr>ValidList_H303</vt:lpstr>
      <vt:lpstr>ValidList_H304</vt:lpstr>
      <vt:lpstr>ValidList_H305</vt:lpstr>
      <vt:lpstr>ValidList_H306</vt:lpstr>
      <vt:lpstr>ValidList_H310</vt:lpstr>
      <vt:lpstr>ValidList_H312</vt:lpstr>
      <vt:lpstr>ValidList_H328</vt:lpstr>
      <vt:lpstr>ValidList_H347</vt:lpstr>
      <vt:lpstr>ValidList_H351</vt:lpstr>
      <vt:lpstr>ValidList_H352</vt:lpstr>
      <vt:lpstr>ValidList_H353</vt:lpstr>
      <vt:lpstr>ValidList_H354</vt:lpstr>
      <vt:lpstr>ValidList_H355</vt:lpstr>
      <vt:lpstr>ValidList_H358</vt:lpstr>
      <vt:lpstr>ValidList_H361</vt:lpstr>
      <vt:lpstr>ValidList_H363</vt:lpstr>
      <vt:lpstr>ValidList_H365</vt:lpstr>
      <vt:lpstr>ValidList_H380</vt:lpstr>
      <vt:lpstr>ValidList_H381</vt:lpstr>
      <vt:lpstr>ValidList_H382</vt:lpstr>
      <vt:lpstr>ValidList_H389</vt:lpstr>
      <vt:lpstr>ValidList_H392</vt:lpstr>
      <vt:lpstr>ValidList_H393</vt:lpstr>
      <vt:lpstr>ValidList_H394</vt:lpstr>
      <vt:lpstr>ValidList_H395</vt:lpstr>
      <vt:lpstr>ValidList_H396</vt:lpstr>
      <vt:lpstr>ValidList_H409</vt:lpstr>
      <vt:lpstr>ValidList_H418</vt:lpstr>
      <vt:lpstr>ValidList_H420</vt:lpstr>
      <vt:lpstr>ValidList_H430</vt:lpstr>
      <vt:lpstr>ValidList_H431</vt:lpstr>
      <vt:lpstr>ValidList_H432</vt:lpstr>
      <vt:lpstr>ValidList_H433</vt:lpstr>
      <vt:lpstr>ValidList_H443</vt:lpstr>
      <vt:lpstr>ValidList_H445</vt:lpstr>
      <vt:lpstr>ValidList_H448</vt:lpstr>
      <vt:lpstr>ValidList_H451</vt:lpstr>
      <vt:lpstr>ValidList_H452</vt:lpstr>
      <vt:lpstr>ValidList_H454</vt:lpstr>
      <vt:lpstr>ValidList_H456</vt:lpstr>
      <vt:lpstr>ValidList_H457</vt:lpstr>
      <vt:lpstr>ValidList_H458</vt:lpstr>
      <vt:lpstr>ValidList_H459</vt:lpstr>
      <vt:lpstr>ValidList_H461</vt:lpstr>
      <vt:lpstr>ValidList_H462</vt:lpstr>
      <vt:lpstr>ValidList_H465</vt:lpstr>
      <vt:lpstr>ValidList_H467</vt:lpstr>
      <vt:lpstr>ValidList_H468</vt:lpstr>
      <vt:lpstr>ValidList_H469</vt:lpstr>
      <vt:lpstr>ValidList_H477</vt:lpstr>
      <vt:lpstr>ValidList_H483</vt:lpstr>
      <vt:lpstr>ValidList_H486</vt:lpstr>
      <vt:lpstr>ValidList_H5</vt:lpstr>
      <vt:lpstr>ValidList_H511</vt:lpstr>
      <vt:lpstr>ValidList_H517</vt:lpstr>
      <vt:lpstr>ValidList_H524</vt:lpstr>
      <vt:lpstr>ValidList_H539</vt:lpstr>
      <vt:lpstr>ValidList_H540</vt:lpstr>
      <vt:lpstr>ValidList_H544</vt:lpstr>
      <vt:lpstr>ValidList_H546</vt:lpstr>
      <vt:lpstr>ValidList_H550</vt:lpstr>
      <vt:lpstr>ValidList_H556</vt:lpstr>
      <vt:lpstr>ValidList_H562</vt:lpstr>
      <vt:lpstr>ValidList_H567</vt:lpstr>
      <vt:lpstr>ValidList_H569</vt:lpstr>
      <vt:lpstr>ValidList_H574</vt:lpstr>
      <vt:lpstr>ValidList_H576</vt:lpstr>
      <vt:lpstr>ValidList_H586</vt:lpstr>
      <vt:lpstr>ValidList_H589</vt:lpstr>
      <vt:lpstr>ValidList_H592</vt:lpstr>
      <vt:lpstr>ValidList_H6</vt:lpstr>
      <vt:lpstr>ValidList_H604</vt:lpstr>
      <vt:lpstr>ValidList_H606</vt:lpstr>
      <vt:lpstr>ValidList_H616</vt:lpstr>
      <vt:lpstr>ValidList_H631</vt:lpstr>
      <vt:lpstr>ValidList_H634</vt:lpstr>
      <vt:lpstr>ValidList_H635</vt:lpstr>
      <vt:lpstr>ValidList_H636</vt:lpstr>
      <vt:lpstr>ValidList_H637</vt:lpstr>
      <vt:lpstr>ValidList_H646</vt:lpstr>
      <vt:lpstr>ValidList_H647</vt:lpstr>
      <vt:lpstr>ValidList_H648</vt:lpstr>
      <vt:lpstr>ValidList_H649</vt:lpstr>
      <vt:lpstr>ValidList_H650</vt:lpstr>
      <vt:lpstr>ValidList_H656</vt:lpstr>
      <vt:lpstr>ValidList_H657</vt:lpstr>
      <vt:lpstr>ValidList_H659</vt:lpstr>
      <vt:lpstr>ValidList_H672</vt:lpstr>
      <vt:lpstr>ValidList_H678</vt:lpstr>
      <vt:lpstr>ValidList_H681</vt:lpstr>
      <vt:lpstr>ValidList_H691</vt:lpstr>
      <vt:lpstr>ValidList_H693</vt:lpstr>
      <vt:lpstr>ValidList_H7</vt:lpstr>
      <vt:lpstr>ValidList_H702</vt:lpstr>
      <vt:lpstr>ValidList_H716</vt:lpstr>
      <vt:lpstr>ValidList_H717</vt:lpstr>
      <vt:lpstr>ValidList_H719</vt:lpstr>
      <vt:lpstr>ValidList_H720</vt:lpstr>
      <vt:lpstr>ValidList_H721</vt:lpstr>
      <vt:lpstr>ValidList_H733</vt:lpstr>
      <vt:lpstr>ValidList_H735</vt:lpstr>
      <vt:lpstr>ValidList_H736</vt:lpstr>
      <vt:lpstr>ValidList_H744</vt:lpstr>
      <vt:lpstr>ValidList_H746</vt:lpstr>
      <vt:lpstr>ValidList_H752</vt:lpstr>
      <vt:lpstr>ValidList_H754</vt:lpstr>
      <vt:lpstr>ValidList_H756</vt:lpstr>
      <vt:lpstr>ValidList_H757</vt:lpstr>
      <vt:lpstr>ValidList_H758</vt:lpstr>
      <vt:lpstr>ValidList_H769</vt:lpstr>
      <vt:lpstr>ValidList_H770</vt:lpstr>
      <vt:lpstr>ValidList_H775</vt:lpstr>
      <vt:lpstr>ValidList_H777</vt:lpstr>
      <vt:lpstr>ValidList_H778</vt:lpstr>
      <vt:lpstr>ValidList_H779</vt:lpstr>
      <vt:lpstr>ValidList_H780</vt:lpstr>
      <vt:lpstr>ValidList_H781</vt:lpstr>
      <vt:lpstr>ValidList_H782</vt:lpstr>
      <vt:lpstr>ValidList_H785</vt:lpstr>
      <vt:lpstr>ValidList_H789</vt:lpstr>
      <vt:lpstr>ValidList_H790</vt:lpstr>
      <vt:lpstr>ValidList_H799</vt:lpstr>
      <vt:lpstr>ValidList_H8</vt:lpstr>
      <vt:lpstr>ValidList_H80</vt:lpstr>
      <vt:lpstr>ValidList_H801</vt:lpstr>
      <vt:lpstr>ValidList_H803</vt:lpstr>
      <vt:lpstr>ValidList_H809</vt:lpstr>
      <vt:lpstr>ValidList_H817</vt:lpstr>
      <vt:lpstr>ValidList_H825</vt:lpstr>
      <vt:lpstr>ValidList_H832</vt:lpstr>
      <vt:lpstr>ValidList_H834</vt:lpstr>
      <vt:lpstr>ValidList_H835</vt:lpstr>
      <vt:lpstr>ValidList_H841</vt:lpstr>
      <vt:lpstr>ValidList_H844</vt:lpstr>
      <vt:lpstr>ValidList_H846</vt:lpstr>
      <vt:lpstr>ValidList_H851</vt:lpstr>
      <vt:lpstr>ValidList_H865</vt:lpstr>
      <vt:lpstr>ValidList_H886</vt:lpstr>
      <vt:lpstr>ValidList_H891</vt:lpstr>
      <vt:lpstr>ValidList_H892</vt:lpstr>
      <vt:lpstr>ValidList_H896</vt:lpstr>
      <vt:lpstr>ValidList_H899</vt:lpstr>
      <vt:lpstr>ValidList_H9</vt:lpstr>
      <vt:lpstr>ValidList_H900</vt:lpstr>
      <vt:lpstr>ValidList_H901</vt:lpstr>
      <vt:lpstr>ValidList_H914</vt:lpstr>
      <vt:lpstr>ValidList_H916</vt:lpstr>
      <vt:lpstr>ValidList_H917</vt:lpstr>
      <vt:lpstr>ValidList_H918</vt:lpstr>
      <vt:lpstr>ValidList_H92</vt:lpstr>
      <vt:lpstr>ValidList_H920</vt:lpstr>
      <vt:lpstr>ValidList_H921</vt:lpstr>
      <vt:lpstr>ValidList_H923</vt:lpstr>
      <vt:lpstr>ValidList_H936</vt:lpstr>
      <vt:lpstr>ValidList_H937</vt:lpstr>
      <vt:lpstr>ValidList_H939</vt:lpstr>
      <vt:lpstr>ValidList_H940</vt:lpstr>
      <vt:lpstr>ValidList_H942</vt:lpstr>
      <vt:lpstr>ValidList_H944</vt:lpstr>
      <vt:lpstr>ValidList_H947</vt:lpstr>
      <vt:lpstr>ValidList_H949</vt:lpstr>
      <vt:lpstr>ValidList_H95</vt:lpstr>
      <vt:lpstr>ValidList_H953</vt:lpstr>
      <vt:lpstr>ValidList_H96</vt:lpstr>
      <vt:lpstr>ValidList_H963</vt:lpstr>
      <vt:lpstr>ValidList_H966</vt:lpstr>
      <vt:lpstr>ValidList_H974</vt:lpstr>
      <vt:lpstr>ValidList_H978</vt:lpstr>
      <vt:lpstr>ValidList_H979</vt:lpstr>
      <vt:lpstr>ValidList_H980</vt:lpstr>
      <vt:lpstr>ValidList_H981</vt:lpstr>
      <vt:lpstr>ValidList_H982</vt:lpstr>
      <vt:lpstr>ValidList_H984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Romain, LETELLIER</dc:creator>
  <cp:keywords/>
  <dc:description/>
  <cp:lastModifiedBy>Philippe, DOMERCQ</cp:lastModifiedBy>
  <cp:revision/>
  <dcterms:created xsi:type="dcterms:W3CDTF">2015-06-05T18:19:34Z</dcterms:created>
  <dcterms:modified xsi:type="dcterms:W3CDTF">2026-02-04T13:07:00Z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0x0101005AD5D8A603EC4E42B564D2BD94ED6140</vt:lpwstr>
  </property>
</Properties>
</file>